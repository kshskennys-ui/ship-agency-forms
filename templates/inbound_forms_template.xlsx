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trlProps/ctrlProp1.xml" ContentType="application/vnd.ms-excel.controlproperties+xml"/>
  <Override PartName="/xl/ctrlProps/ctrlProp10.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tabRatio="927" activeTab="4"/>
  </bookViews>
  <sheets>
    <sheet name="Cstm Rgd" sheetId="23" r:id="rId1"/>
    <sheet name="Cstm Inb" sheetId="24" r:id="rId2"/>
    <sheet name="Cstm Outb" sheetId="25" r:id="rId3"/>
    <sheet name="Cstm Prob" sheetId="26" r:id="rId4"/>
    <sheet name="Gen Inb" sheetId="1" r:id="rId5"/>
    <sheet name="Cgo Inb" sheetId="3" r:id="rId6"/>
    <sheet name="Gen Outb" sheetId="2" r:id="rId7"/>
    <sheet name="Cgo Outb" sheetId="4" r:id="rId8"/>
    <sheet name="Crew Inb" sheetId="17" r:id="rId9"/>
    <sheet name="Immi In" sheetId="40" r:id="rId10"/>
    <sheet name="Crew Dwn" sheetId="30" r:id="rId11"/>
    <sheet name="Crew Outb" sheetId="31" r:id="rId12"/>
    <sheet name="Crew Up" sheetId="35" r:id="rId13"/>
    <sheet name="Shore Pass" sheetId="39" r:id="rId14"/>
    <sheet name="Health Dclr" sheetId="11" r:id="rId15"/>
    <sheet name="Parts A" sheetId="10" r:id="rId16"/>
    <sheet name="Blst Wtr" sheetId="27" r:id="rId17"/>
    <sheet name="Q-Record In" sheetId="41" r:id="rId18"/>
    <sheet name="Q-Record Out" sheetId="37" r:id="rId19"/>
    <sheet name="Q-Inb" sheetId="14" r:id="rId20"/>
    <sheet name="Q-Outb" sheetId="15" r:id="rId21"/>
    <sheet name="Q-Process" sheetId="34" r:id="rId22"/>
    <sheet name="Formalities" sheetId="28" r:id="rId23"/>
    <sheet name="IMO Gen Inb" sheetId="5" r:id="rId24"/>
    <sheet name="IMO Gen Outb" sheetId="6" r:id="rId25"/>
    <sheet name="IMO Cgo Inb" sheetId="7" r:id="rId26"/>
    <sheet name="IMO Cgo Outb" sheetId="8" r:id="rId27"/>
    <sheet name="IMO Crew Inb" sheetId="9" r:id="rId28"/>
    <sheet name="IMO Crew Outb" sheetId="36" r:id="rId29"/>
    <sheet name="Tnng App" sheetId="18" r:id="rId30"/>
    <sheet name="Pre Immi" sheetId="20" r:id="rId31"/>
    <sheet name="Pre MSA" sheetId="21" r:id="rId32"/>
    <sheet name="Pre Cstm" sheetId="19" r:id="rId33"/>
    <sheet name="Receipt" sheetId="38" r:id="rId34"/>
    <sheet name="Mpt Cntr" sheetId="42" r:id="rId35"/>
  </sheets>
  <externalReferences>
    <externalReference r:id="rId36"/>
  </externalReferences>
  <definedNames>
    <definedName name="_xlnm._FilterDatabase" localSheetId="8" hidden="1">'Crew Inb'!$A$10:$K$32</definedName>
    <definedName name="_xlnm.Print_Area" localSheetId="16">'Blst Wtr'!$A$1:$N$31</definedName>
    <definedName name="_xlnm.Print_Area" localSheetId="5">'Cgo Inb'!$A$1:$G$38</definedName>
    <definedName name="_xlnm.Print_Area" localSheetId="7">'Cgo Outb'!$A$1:$G$38</definedName>
    <definedName name="_xlnm.Print_Area" localSheetId="10">'Crew Dwn'!$B$1:$H$20</definedName>
    <definedName name="_xlnm.Print_Area" localSheetId="8">'Crew Inb'!$A$1:$K$36</definedName>
    <definedName name="_xlnm.Print_Area" localSheetId="11">'Crew Outb'!$A$1:$K$51</definedName>
    <definedName name="_xlnm.Print_Area" localSheetId="12">'Crew Up'!$B$1:$H$20</definedName>
    <definedName name="_xlnm.Print_Area" localSheetId="4">'Gen Inb'!$A$1:$X$39</definedName>
    <definedName name="_xlnm.Print_Area" localSheetId="6">'Gen Outb'!$A$1:$X$50</definedName>
    <definedName name="_xlnm.Print_Area" localSheetId="14">'Health Dclr'!$A$1:$AO$94</definedName>
    <definedName name="_xlnm.Print_Area" localSheetId="27">'IMO Crew Inb'!$A$1:$M$52</definedName>
    <definedName name="_xlnm.Print_Area" localSheetId="28">'IMO Crew Outb'!$A$1:$M$52</definedName>
    <definedName name="_xlnm.Print_Area" localSheetId="23">'IMO Gen Inb'!$A$1:$L$26</definedName>
    <definedName name="_xlnm.Print_Area" localSheetId="24">'IMO Gen Outb'!$A$1:$L$26</definedName>
    <definedName name="_xlnm.Print_Area" localSheetId="17">'Q-Record In'!$A$1:$AD$30</definedName>
    <definedName name="_xlnm.Print_Area" localSheetId="18">'Q-Record Out'!$A$1:$AD$30</definedName>
    <definedName name="_xlnm.Print_Area" localSheetId="29">'Tnng App'!$A$1:$T$53</definedName>
    <definedName name="出入境事由">[1]Sheet2!$B$2:$B$14</definedName>
    <definedName name="国籍">[1]Sheet2!$C$2:$C$284</definedName>
    <definedName name="九十天期_90days">'Tnng App'!$C$35</definedName>
    <definedName name="签证种类">[1]Sheet2!$E$2:$E$21</definedName>
    <definedName name="性别">[1]Sheet2!$F$2:$F$5</definedName>
    <definedName name="证件类别">[1]Sheet2!$G$2:$G$4</definedName>
    <definedName name="职务">[1]Sheet2!$A$2:$A$26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D10" authorId="0">
      <text>
        <r>
          <rPr>
            <b/>
            <sz val="9"/>
            <rFont val="宋体"/>
            <charset val="134"/>
          </rPr>
          <t>作者:</t>
        </r>
        <r>
          <rPr>
            <sz val="9"/>
            <rFont val="宋体"/>
            <charset val="134"/>
          </rPr>
          <t xml:space="preserve">
过境重柜（不显示）</t>
        </r>
      </text>
    </comment>
    <comment ref="E10" authorId="0">
      <text>
        <r>
          <rPr>
            <b/>
            <sz val="9"/>
            <rFont val="宋体"/>
            <charset val="134"/>
          </rPr>
          <t>作者:</t>
        </r>
        <r>
          <rPr>
            <sz val="9"/>
            <rFont val="宋体"/>
            <charset val="134"/>
          </rPr>
          <t xml:space="preserve">
过境重柜（不显示）</t>
        </r>
      </text>
    </comment>
    <comment ref="H10" authorId="0">
      <text>
        <r>
          <rPr>
            <b/>
            <sz val="9"/>
            <rFont val="宋体"/>
            <charset val="134"/>
          </rPr>
          <t>作者:</t>
        </r>
        <r>
          <rPr>
            <sz val="9"/>
            <rFont val="宋体"/>
            <charset val="134"/>
          </rPr>
          <t xml:space="preserve">
过境吉柜（不显示）</t>
        </r>
      </text>
    </comment>
    <comment ref="I10" authorId="0">
      <text>
        <r>
          <rPr>
            <b/>
            <sz val="9"/>
            <rFont val="宋体"/>
            <charset val="134"/>
          </rPr>
          <t>作者:</t>
        </r>
        <r>
          <rPr>
            <sz val="9"/>
            <rFont val="宋体"/>
            <charset val="134"/>
          </rPr>
          <t xml:space="preserve">
过境吉柜（不显示）</t>
        </r>
      </text>
    </comment>
  </commentList>
</comments>
</file>

<file path=xl/comments2.xml><?xml version="1.0" encoding="utf-8"?>
<comments xmlns="http://schemas.openxmlformats.org/spreadsheetml/2006/main">
  <authors>
    <author>作者</author>
  </authors>
  <commentList>
    <comment ref="A1" authorId="0">
      <text>
        <r>
          <rPr>
            <b/>
            <sz val="9"/>
            <rFont val="宋体"/>
            <charset val="134"/>
          </rPr>
          <t>作者:</t>
        </r>
        <r>
          <rPr>
            <sz val="9"/>
            <rFont val="宋体"/>
            <charset val="134"/>
          </rPr>
          <t xml:space="preserve">
船员登记证件的证件号码</t>
        </r>
        <r>
          <rPr>
            <sz val="9"/>
            <rFont val="Tahoma"/>
            <charset val="134"/>
          </rPr>
          <t>.(</t>
        </r>
        <r>
          <rPr>
            <sz val="9"/>
            <rFont val="宋体"/>
            <charset val="134"/>
          </rPr>
          <t>例子</t>
        </r>
        <r>
          <rPr>
            <sz val="9"/>
            <rFont val="Tahoma"/>
            <charset val="134"/>
          </rPr>
          <t>:440106198204139632).</t>
        </r>
        <r>
          <rPr>
            <sz val="9"/>
            <rFont val="宋体"/>
            <charset val="134"/>
          </rPr>
          <t>此项为必填</t>
        </r>
        <r>
          <rPr>
            <sz val="9"/>
            <rFont val="Tahoma"/>
            <charset val="134"/>
          </rPr>
          <t>.</t>
        </r>
      </text>
    </comment>
    <comment ref="B1" authorId="0">
      <text>
        <r>
          <rPr>
            <b/>
            <sz val="9"/>
            <rFont val="宋体"/>
            <charset val="134"/>
          </rPr>
          <t>作者:</t>
        </r>
        <r>
          <rPr>
            <sz val="9"/>
            <rFont val="宋体"/>
            <charset val="134"/>
          </rPr>
          <t xml:space="preserve">
船员登记的证件类别</t>
        </r>
        <r>
          <rPr>
            <sz val="9"/>
            <rFont val="Tahoma"/>
            <charset val="134"/>
          </rPr>
          <t>.</t>
        </r>
        <r>
          <rPr>
            <sz val="9"/>
            <rFont val="宋体"/>
            <charset val="134"/>
          </rPr>
          <t>必须填写海员证、普通护照、港澳通行证</t>
        </r>
        <r>
          <rPr>
            <sz val="9"/>
            <rFont val="Tahoma"/>
            <charset val="134"/>
          </rPr>
          <t>3</t>
        </r>
        <r>
          <rPr>
            <sz val="9"/>
            <rFont val="宋体"/>
            <charset val="134"/>
          </rPr>
          <t>个值的其中一个</t>
        </r>
        <r>
          <rPr>
            <sz val="9"/>
            <rFont val="Tahoma"/>
            <charset val="134"/>
          </rPr>
          <t>.(</t>
        </r>
        <r>
          <rPr>
            <sz val="9"/>
            <rFont val="宋体"/>
            <charset val="134"/>
          </rPr>
          <t>例子</t>
        </r>
        <r>
          <rPr>
            <sz val="9"/>
            <rFont val="Tahoma"/>
            <charset val="134"/>
          </rPr>
          <t>:</t>
        </r>
        <r>
          <rPr>
            <sz val="9"/>
            <rFont val="宋体"/>
            <charset val="134"/>
          </rPr>
          <t>普通护照</t>
        </r>
        <r>
          <rPr>
            <sz val="9"/>
            <rFont val="Tahoma"/>
            <charset val="134"/>
          </rPr>
          <t>).</t>
        </r>
        <r>
          <rPr>
            <sz val="9"/>
            <rFont val="宋体"/>
            <charset val="134"/>
          </rPr>
          <t>此项为必填</t>
        </r>
        <r>
          <rPr>
            <sz val="9"/>
            <rFont val="Tahoma"/>
            <charset val="134"/>
          </rPr>
          <t>.</t>
        </r>
      </text>
    </comment>
    <comment ref="C1" authorId="0">
      <text>
        <r>
          <rPr>
            <b/>
            <sz val="9"/>
            <rFont val="宋体"/>
            <charset val="134"/>
          </rPr>
          <t>作者:</t>
        </r>
        <r>
          <rPr>
            <sz val="9"/>
            <rFont val="宋体"/>
            <charset val="134"/>
          </rPr>
          <t xml:space="preserve">
旅客所属的国籍</t>
        </r>
        <r>
          <rPr>
            <sz val="9"/>
            <rFont val="Tahoma"/>
            <charset val="134"/>
          </rPr>
          <t>.</t>
        </r>
        <r>
          <rPr>
            <sz val="9"/>
            <rFont val="宋体"/>
            <charset val="134"/>
          </rPr>
          <t>必须填写中国、中国香港、中国澳门三个值的其中一个</t>
        </r>
        <r>
          <rPr>
            <sz val="9"/>
            <rFont val="Tahoma"/>
            <charset val="134"/>
          </rPr>
          <t>.(</t>
        </r>
        <r>
          <rPr>
            <sz val="9"/>
            <rFont val="宋体"/>
            <charset val="134"/>
          </rPr>
          <t>例子</t>
        </r>
        <r>
          <rPr>
            <sz val="9"/>
            <rFont val="Tahoma"/>
            <charset val="134"/>
          </rPr>
          <t>:</t>
        </r>
        <r>
          <rPr>
            <sz val="9"/>
            <rFont val="宋体"/>
            <charset val="134"/>
          </rPr>
          <t>中国</t>
        </r>
        <r>
          <rPr>
            <sz val="9"/>
            <rFont val="Tahoma"/>
            <charset val="134"/>
          </rPr>
          <t>).</t>
        </r>
        <r>
          <rPr>
            <sz val="9"/>
            <rFont val="宋体"/>
            <charset val="134"/>
          </rPr>
          <t>此项为必填</t>
        </r>
        <r>
          <rPr>
            <sz val="9"/>
            <rFont val="Tahoma"/>
            <charset val="134"/>
          </rPr>
          <t>.</t>
        </r>
      </text>
    </comment>
    <comment ref="D1" authorId="0">
      <text>
        <r>
          <rPr>
            <b/>
            <sz val="9"/>
            <rFont val="宋体"/>
            <charset val="134"/>
          </rPr>
          <t>作者:</t>
        </r>
        <r>
          <rPr>
            <sz val="9"/>
            <rFont val="宋体"/>
            <charset val="134"/>
          </rPr>
          <t xml:space="preserve">
船员的姓名</t>
        </r>
        <r>
          <rPr>
            <sz val="9"/>
            <rFont val="Tahoma"/>
            <charset val="134"/>
          </rPr>
          <t>.(</t>
        </r>
        <r>
          <rPr>
            <sz val="9"/>
            <rFont val="宋体"/>
            <charset val="134"/>
          </rPr>
          <t>例子</t>
        </r>
        <r>
          <rPr>
            <sz val="9"/>
            <rFont val="Tahoma"/>
            <charset val="134"/>
          </rPr>
          <t>:</t>
        </r>
        <r>
          <rPr>
            <sz val="9"/>
            <rFont val="宋体"/>
            <charset val="134"/>
          </rPr>
          <t>黄华</t>
        </r>
        <r>
          <rPr>
            <sz val="9"/>
            <rFont val="Tahoma"/>
            <charset val="134"/>
          </rPr>
          <t>).</t>
        </r>
        <r>
          <rPr>
            <sz val="9"/>
            <rFont val="宋体"/>
            <charset val="134"/>
          </rPr>
          <t>此项为必填</t>
        </r>
        <r>
          <rPr>
            <sz val="9"/>
            <rFont val="Tahoma"/>
            <charset val="134"/>
          </rPr>
          <t>.</t>
        </r>
      </text>
    </comment>
    <comment ref="E1" authorId="0">
      <text>
        <r>
          <rPr>
            <b/>
            <sz val="9"/>
            <rFont val="宋体"/>
            <charset val="134"/>
          </rPr>
          <t>作者:</t>
        </r>
        <r>
          <rPr>
            <sz val="9"/>
            <rFont val="宋体"/>
            <charset val="134"/>
          </rPr>
          <t xml:space="preserve">
船员性别</t>
        </r>
        <r>
          <rPr>
            <sz val="9"/>
            <rFont val="Tahoma"/>
            <charset val="134"/>
          </rPr>
          <t>.</t>
        </r>
        <r>
          <rPr>
            <sz val="9"/>
            <rFont val="宋体"/>
            <charset val="134"/>
          </rPr>
          <t>只可以填写男或者女</t>
        </r>
        <r>
          <rPr>
            <sz val="9"/>
            <rFont val="Tahoma"/>
            <charset val="134"/>
          </rPr>
          <t>.(</t>
        </r>
        <r>
          <rPr>
            <sz val="9"/>
            <rFont val="宋体"/>
            <charset val="134"/>
          </rPr>
          <t>例子</t>
        </r>
        <r>
          <rPr>
            <sz val="9"/>
            <rFont val="Tahoma"/>
            <charset val="134"/>
          </rPr>
          <t>:</t>
        </r>
        <r>
          <rPr>
            <sz val="9"/>
            <rFont val="宋体"/>
            <charset val="134"/>
          </rPr>
          <t>男</t>
        </r>
        <r>
          <rPr>
            <sz val="9"/>
            <rFont val="Tahoma"/>
            <charset val="134"/>
          </rPr>
          <t>).</t>
        </r>
        <r>
          <rPr>
            <sz val="9"/>
            <rFont val="宋体"/>
            <charset val="134"/>
          </rPr>
          <t>此项为必填</t>
        </r>
        <r>
          <rPr>
            <sz val="9"/>
            <rFont val="Tahoma"/>
            <charset val="134"/>
          </rPr>
          <t>.</t>
        </r>
      </text>
    </comment>
    <comment ref="F1" authorId="0">
      <text>
        <r>
          <rPr>
            <b/>
            <sz val="9"/>
            <rFont val="宋体"/>
            <charset val="134"/>
          </rPr>
          <t>作者:</t>
        </r>
        <r>
          <rPr>
            <sz val="9"/>
            <rFont val="宋体"/>
            <charset val="134"/>
          </rPr>
          <t xml:space="preserve">
船员的出生日期</t>
        </r>
        <r>
          <rPr>
            <sz val="9"/>
            <rFont val="Tahoma"/>
            <charset val="134"/>
          </rPr>
          <t>.</t>
        </r>
        <r>
          <rPr>
            <sz val="9"/>
            <rFont val="宋体"/>
            <charset val="134"/>
          </rPr>
          <t>必须按照规定格式填写</t>
        </r>
        <r>
          <rPr>
            <sz val="9"/>
            <rFont val="Tahoma"/>
            <charset val="134"/>
          </rPr>
          <t>(</t>
        </r>
        <r>
          <rPr>
            <sz val="9"/>
            <rFont val="宋体"/>
            <charset val="134"/>
          </rPr>
          <t>例子</t>
        </r>
        <r>
          <rPr>
            <sz val="9"/>
            <rFont val="Tahoma"/>
            <charset val="134"/>
          </rPr>
          <t>:2010-08-09).</t>
        </r>
        <r>
          <rPr>
            <sz val="9"/>
            <rFont val="宋体"/>
            <charset val="134"/>
          </rPr>
          <t>此项为必填</t>
        </r>
        <r>
          <rPr>
            <sz val="9"/>
            <rFont val="Tahoma"/>
            <charset val="134"/>
          </rPr>
          <t>.</t>
        </r>
      </text>
    </comment>
    <comment ref="G1" authorId="0">
      <text>
        <r>
          <rPr>
            <b/>
            <sz val="9"/>
            <rFont val="宋体"/>
            <charset val="134"/>
          </rPr>
          <t>作者:</t>
        </r>
        <r>
          <rPr>
            <sz val="9"/>
            <rFont val="宋体"/>
            <charset val="134"/>
          </rPr>
          <t xml:space="preserve">
船员在船上担任的职务</t>
        </r>
        <r>
          <rPr>
            <sz val="9"/>
            <rFont val="Tahoma"/>
            <charset val="134"/>
          </rPr>
          <t>.</t>
        </r>
        <r>
          <rPr>
            <sz val="9"/>
            <rFont val="宋体"/>
            <charset val="134"/>
          </rPr>
          <t>没有可不填</t>
        </r>
        <r>
          <rPr>
            <sz val="9"/>
            <rFont val="Tahoma"/>
            <charset val="134"/>
          </rPr>
          <t>.</t>
        </r>
      </text>
    </comment>
    <comment ref="J1" authorId="0">
      <text>
        <r>
          <rPr>
            <b/>
            <sz val="9"/>
            <rFont val="宋体"/>
            <charset val="134"/>
          </rPr>
          <t>作者:</t>
        </r>
        <r>
          <rPr>
            <sz val="9"/>
            <rFont val="宋体"/>
            <charset val="134"/>
          </rPr>
          <t xml:space="preserve">
船员出入境事由</t>
        </r>
        <r>
          <rPr>
            <sz val="9"/>
            <rFont val="Tahoma"/>
            <charset val="134"/>
          </rPr>
          <t>.</t>
        </r>
        <r>
          <rPr>
            <sz val="9"/>
            <rFont val="宋体"/>
            <charset val="134"/>
          </rPr>
          <t>必须填写“会议</t>
        </r>
        <r>
          <rPr>
            <sz val="9"/>
            <rFont val="Tahoma"/>
            <charset val="134"/>
          </rPr>
          <t>/</t>
        </r>
        <r>
          <rPr>
            <sz val="9"/>
            <rFont val="宋体"/>
            <charset val="134"/>
          </rPr>
          <t>商务、访问、观光</t>
        </r>
        <r>
          <rPr>
            <sz val="9"/>
            <rFont val="Tahoma"/>
            <charset val="134"/>
          </rPr>
          <t>/</t>
        </r>
        <r>
          <rPr>
            <sz val="9"/>
            <rFont val="宋体"/>
            <charset val="134"/>
          </rPr>
          <t>休闲、探亲访友、就业、学习、定居、返回常驻地、其他、服务</t>
        </r>
        <r>
          <rPr>
            <sz val="9"/>
            <rFont val="Tahoma"/>
            <charset val="134"/>
          </rPr>
          <t>(</t>
        </r>
        <r>
          <rPr>
            <sz val="9"/>
            <rFont val="宋体"/>
            <charset val="134"/>
          </rPr>
          <t>员工</t>
        </r>
        <r>
          <rPr>
            <sz val="9"/>
            <rFont val="Tahoma"/>
            <charset val="134"/>
          </rPr>
          <t>)</t>
        </r>
        <r>
          <rPr>
            <sz val="9"/>
            <rFont val="宋体"/>
            <charset val="134"/>
          </rPr>
          <t>、短期出境、定居、旅游”十三个值的其中一个</t>
        </r>
        <r>
          <rPr>
            <sz val="9"/>
            <rFont val="Tahoma"/>
            <charset val="134"/>
          </rPr>
          <t>.(</t>
        </r>
        <r>
          <rPr>
            <sz val="9"/>
            <rFont val="宋体"/>
            <charset val="134"/>
          </rPr>
          <t>例子</t>
        </r>
        <r>
          <rPr>
            <sz val="9"/>
            <rFont val="Tahoma"/>
            <charset val="134"/>
          </rPr>
          <t>:</t>
        </r>
        <r>
          <rPr>
            <sz val="9"/>
            <rFont val="宋体"/>
            <charset val="134"/>
          </rPr>
          <t>服务</t>
        </r>
        <r>
          <rPr>
            <sz val="9"/>
            <rFont val="Tahoma"/>
            <charset val="134"/>
          </rPr>
          <t>(</t>
        </r>
        <r>
          <rPr>
            <sz val="9"/>
            <rFont val="宋体"/>
            <charset val="134"/>
          </rPr>
          <t>员工</t>
        </r>
        <r>
          <rPr>
            <sz val="9"/>
            <rFont val="Tahoma"/>
            <charset val="134"/>
          </rPr>
          <t>)).</t>
        </r>
        <r>
          <rPr>
            <sz val="9"/>
            <rFont val="宋体"/>
            <charset val="134"/>
          </rPr>
          <t>此项为必填</t>
        </r>
        <r>
          <rPr>
            <sz val="9"/>
            <rFont val="Tahoma"/>
            <charset val="134"/>
          </rPr>
          <t>.</t>
        </r>
      </text>
    </comment>
  </commentList>
</comments>
</file>

<file path=xl/comments3.xml><?xml version="1.0" encoding="utf-8"?>
<comments xmlns="http://schemas.openxmlformats.org/spreadsheetml/2006/main">
  <authors>
    <author>作者</author>
  </authors>
  <commentList>
    <comment ref="A8" authorId="0">
      <text>
        <r>
          <rPr>
            <b/>
            <sz val="9"/>
            <rFont val="宋体"/>
            <charset val="134"/>
          </rPr>
          <t>作者:</t>
        </r>
        <r>
          <rPr>
            <sz val="9"/>
            <rFont val="宋体"/>
            <charset val="134"/>
          </rPr>
          <t xml:space="preserve">
更换船员序号（不显示）</t>
        </r>
      </text>
    </comment>
    <comment ref="A9" authorId="0">
      <text>
        <r>
          <rPr>
            <b/>
            <sz val="9"/>
            <rFont val="宋体"/>
            <charset val="134"/>
          </rPr>
          <t>作者:</t>
        </r>
        <r>
          <rPr>
            <sz val="9"/>
            <rFont val="宋体"/>
            <charset val="134"/>
          </rPr>
          <t xml:space="preserve">
更换船员序号（不显示）</t>
        </r>
      </text>
    </comment>
    <comment ref="A10" authorId="0">
      <text>
        <r>
          <rPr>
            <b/>
            <sz val="9"/>
            <rFont val="宋体"/>
            <charset val="134"/>
          </rPr>
          <t>作者:</t>
        </r>
        <r>
          <rPr>
            <sz val="9"/>
            <rFont val="宋体"/>
            <charset val="134"/>
          </rPr>
          <t xml:space="preserve">
更换船员序号（不显示）</t>
        </r>
      </text>
    </comment>
    <comment ref="A11" authorId="0">
      <text>
        <r>
          <rPr>
            <b/>
            <sz val="9"/>
            <rFont val="宋体"/>
            <charset val="134"/>
          </rPr>
          <t>作者:</t>
        </r>
        <r>
          <rPr>
            <sz val="9"/>
            <rFont val="宋体"/>
            <charset val="134"/>
          </rPr>
          <t xml:space="preserve">
更换船员序号（不显示）</t>
        </r>
      </text>
    </comment>
    <comment ref="A12" authorId="0">
      <text>
        <r>
          <rPr>
            <b/>
            <sz val="9"/>
            <rFont val="宋体"/>
            <charset val="134"/>
          </rPr>
          <t>作者:</t>
        </r>
        <r>
          <rPr>
            <sz val="9"/>
            <rFont val="宋体"/>
            <charset val="134"/>
          </rPr>
          <t xml:space="preserve">
更换船员序号（不显示）</t>
        </r>
      </text>
    </comment>
    <comment ref="A13" authorId="0">
      <text>
        <r>
          <rPr>
            <b/>
            <sz val="9"/>
            <rFont val="宋体"/>
            <charset val="134"/>
          </rPr>
          <t>作者:</t>
        </r>
        <r>
          <rPr>
            <sz val="9"/>
            <rFont val="宋体"/>
            <charset val="134"/>
          </rPr>
          <t xml:space="preserve">
更换船员序号（不显示）</t>
        </r>
      </text>
    </comment>
    <comment ref="A14" authorId="0">
      <text>
        <r>
          <rPr>
            <b/>
            <sz val="9"/>
            <rFont val="宋体"/>
            <charset val="134"/>
          </rPr>
          <t>作者:</t>
        </r>
        <r>
          <rPr>
            <sz val="9"/>
            <rFont val="宋体"/>
            <charset val="134"/>
          </rPr>
          <t xml:space="preserve">
更换船员序号（不显示）</t>
        </r>
      </text>
    </comment>
    <comment ref="A15" authorId="0">
      <text>
        <r>
          <rPr>
            <b/>
            <sz val="9"/>
            <rFont val="宋体"/>
            <charset val="134"/>
          </rPr>
          <t>作者:</t>
        </r>
        <r>
          <rPr>
            <sz val="9"/>
            <rFont val="宋体"/>
            <charset val="134"/>
          </rPr>
          <t xml:space="preserve">
更换船员序号（不显示）</t>
        </r>
      </text>
    </comment>
  </commentList>
</comments>
</file>

<file path=xl/comments4.xml><?xml version="1.0" encoding="utf-8"?>
<comments xmlns="http://schemas.openxmlformats.org/spreadsheetml/2006/main">
  <authors>
    <author>作者</author>
  </authors>
  <commentList>
    <comment ref="A8" authorId="0">
      <text>
        <r>
          <rPr>
            <b/>
            <sz val="9"/>
            <rFont val="宋体"/>
            <charset val="134"/>
          </rPr>
          <t>作者:</t>
        </r>
        <r>
          <rPr>
            <sz val="9"/>
            <rFont val="宋体"/>
            <charset val="134"/>
          </rPr>
          <t xml:space="preserve">
更换船员序号（不显示）</t>
        </r>
      </text>
    </comment>
    <comment ref="A9" authorId="0">
      <text>
        <r>
          <rPr>
            <b/>
            <sz val="9"/>
            <rFont val="宋体"/>
            <charset val="134"/>
          </rPr>
          <t>作者:</t>
        </r>
        <r>
          <rPr>
            <sz val="9"/>
            <rFont val="宋体"/>
            <charset val="134"/>
          </rPr>
          <t xml:space="preserve">
更换船员序号（不显示）</t>
        </r>
      </text>
    </comment>
    <comment ref="A10" authorId="0">
      <text>
        <r>
          <rPr>
            <b/>
            <sz val="9"/>
            <rFont val="宋体"/>
            <charset val="134"/>
          </rPr>
          <t>作者:</t>
        </r>
        <r>
          <rPr>
            <sz val="9"/>
            <rFont val="宋体"/>
            <charset val="134"/>
          </rPr>
          <t xml:space="preserve">
更换船员序号（不显示）</t>
        </r>
      </text>
    </comment>
    <comment ref="A11" authorId="0">
      <text>
        <r>
          <rPr>
            <b/>
            <sz val="9"/>
            <rFont val="宋体"/>
            <charset val="134"/>
          </rPr>
          <t>作者:</t>
        </r>
        <r>
          <rPr>
            <sz val="9"/>
            <rFont val="宋体"/>
            <charset val="134"/>
          </rPr>
          <t xml:space="preserve">
更换船员序号（不显示）</t>
        </r>
      </text>
    </comment>
    <comment ref="A12" authorId="0">
      <text>
        <r>
          <rPr>
            <b/>
            <sz val="9"/>
            <rFont val="宋体"/>
            <charset val="134"/>
          </rPr>
          <t>作者:</t>
        </r>
        <r>
          <rPr>
            <sz val="9"/>
            <rFont val="宋体"/>
            <charset val="134"/>
          </rPr>
          <t xml:space="preserve">
更换船员序号（不显示）</t>
        </r>
      </text>
    </comment>
    <comment ref="A13" authorId="0">
      <text>
        <r>
          <rPr>
            <b/>
            <sz val="9"/>
            <rFont val="宋体"/>
            <charset val="134"/>
          </rPr>
          <t>作者:</t>
        </r>
        <r>
          <rPr>
            <sz val="9"/>
            <rFont val="宋体"/>
            <charset val="134"/>
          </rPr>
          <t xml:space="preserve">
更换船员序号（不显示）</t>
        </r>
      </text>
    </comment>
    <comment ref="A14" authorId="0">
      <text>
        <r>
          <rPr>
            <b/>
            <sz val="9"/>
            <rFont val="宋体"/>
            <charset val="134"/>
          </rPr>
          <t>作者:</t>
        </r>
        <r>
          <rPr>
            <sz val="9"/>
            <rFont val="宋体"/>
            <charset val="134"/>
          </rPr>
          <t xml:space="preserve">
更换船员序号（不显示）</t>
        </r>
      </text>
    </comment>
    <comment ref="A15" authorId="0">
      <text>
        <r>
          <rPr>
            <b/>
            <sz val="9"/>
            <rFont val="宋体"/>
            <charset val="134"/>
          </rPr>
          <t>作者:</t>
        </r>
        <r>
          <rPr>
            <sz val="9"/>
            <rFont val="宋体"/>
            <charset val="134"/>
          </rPr>
          <t xml:space="preserve">
更换船员序号（不显示）</t>
        </r>
      </text>
    </comment>
  </commentList>
</comments>
</file>

<file path=xl/sharedStrings.xml><?xml version="1.0" encoding="utf-8"?>
<sst xmlns="http://schemas.openxmlformats.org/spreadsheetml/2006/main" count="1723" uniqueCount="841">
  <si>
    <t>南沙保税港区</t>
  </si>
  <si>
    <t>进出境运输工具登记表</t>
  </si>
  <si>
    <t>船舶编号：UN</t>
  </si>
  <si>
    <t>船名（中文）：</t>
  </si>
  <si>
    <t>船名（英文）：</t>
  </si>
  <si>
    <t>国籍        ：</t>
  </si>
  <si>
    <t>所属企业    ：</t>
  </si>
  <si>
    <t>进港日期    ：</t>
  </si>
  <si>
    <t>出港日期    ：</t>
  </si>
  <si>
    <t>船舶进境情况</t>
  </si>
  <si>
    <t>航线</t>
  </si>
  <si>
    <t>上航次</t>
  </si>
  <si>
    <t>南沙新港</t>
  </si>
  <si>
    <t>——</t>
  </si>
  <si>
    <t>本航次</t>
  </si>
  <si>
    <t>船员人数</t>
  </si>
  <si>
    <t>中国籍</t>
  </si>
  <si>
    <t>外国籍</t>
  </si>
  <si>
    <t>载货情况</t>
  </si>
  <si>
    <t>进口货物</t>
  </si>
  <si>
    <t>转关货物</t>
  </si>
  <si>
    <t>转运货物</t>
  </si>
  <si>
    <t>空柜</t>
  </si>
  <si>
    <t>船舶吨位</t>
  </si>
  <si>
    <t>总吨位</t>
  </si>
  <si>
    <t>净吨位</t>
  </si>
  <si>
    <t>吨税执照</t>
  </si>
  <si>
    <t>海关关封</t>
  </si>
  <si>
    <t>字第</t>
  </si>
  <si>
    <t>号</t>
  </si>
  <si>
    <t>联检时间</t>
  </si>
  <si>
    <t>联检地点</t>
  </si>
  <si>
    <t>经办人员</t>
  </si>
  <si>
    <t>烟酒情况</t>
  </si>
  <si>
    <t>烟数量</t>
  </si>
  <si>
    <t>酒数量</t>
  </si>
  <si>
    <t>是否加封</t>
  </si>
  <si>
    <t>单证附录：</t>
  </si>
  <si>
    <t xml:space="preserve">   （一）总申报单；</t>
  </si>
  <si>
    <t xml:space="preserve">   （六）吨税复印件；</t>
  </si>
  <si>
    <t xml:space="preserve">   （二）货物申报单；</t>
  </si>
  <si>
    <t xml:space="preserve">   （七）船舶舱单；</t>
  </si>
  <si>
    <t xml:space="preserve">   （三）船员名单；</t>
  </si>
  <si>
    <t xml:space="preserve">   （八）其他（请列明）；</t>
  </si>
  <si>
    <t xml:space="preserve">   （四）船员物品清单；</t>
  </si>
  <si>
    <t xml:space="preserve">   ____________________________</t>
  </si>
  <si>
    <t xml:space="preserve">   （五）船舶物品清单；</t>
  </si>
  <si>
    <t>船舶出境情况</t>
  </si>
  <si>
    <t>出口货物</t>
  </si>
  <si>
    <r>
      <rPr>
        <sz val="16"/>
        <color indexed="8"/>
        <rFont val="黑体"/>
        <charset val="134"/>
      </rPr>
      <t>（</t>
    </r>
    <r>
      <rPr>
        <sz val="14"/>
        <color indexed="8"/>
        <rFont val="楷体_GB2312"/>
        <charset val="134"/>
      </rPr>
      <t>南沙保税港区</t>
    </r>
    <r>
      <rPr>
        <sz val="16"/>
        <color indexed="8"/>
        <rFont val="黑体"/>
        <charset val="134"/>
      </rPr>
      <t>）</t>
    </r>
    <r>
      <rPr>
        <sz val="14"/>
        <color indexed="8"/>
        <rFont val="楷体_GB2312"/>
        <charset val="134"/>
      </rPr>
      <t>2012</t>
    </r>
    <r>
      <rPr>
        <sz val="16"/>
        <color indexed="8"/>
        <rFont val="黑体"/>
        <charset val="134"/>
      </rPr>
      <t>字第</t>
    </r>
  </si>
  <si>
    <t>待处理问题登记：</t>
  </si>
  <si>
    <t>IMO Convention on Facilitation of International Maritime Traffic</t>
  </si>
  <si>
    <r>
      <rPr>
        <b/>
        <sz val="18"/>
        <rFont val="宋体"/>
        <charset val="134"/>
      </rPr>
      <t>总</t>
    </r>
    <r>
      <rPr>
        <b/>
        <sz val="18"/>
        <rFont val="Times New Roman"/>
        <charset val="134"/>
      </rPr>
      <t xml:space="preserve">   </t>
    </r>
    <r>
      <rPr>
        <b/>
        <sz val="18"/>
        <rFont val="宋体"/>
        <charset val="134"/>
      </rPr>
      <t>申</t>
    </r>
    <r>
      <rPr>
        <b/>
        <sz val="18"/>
        <rFont val="Times New Roman"/>
        <charset val="134"/>
      </rPr>
      <t xml:space="preserve">   </t>
    </r>
    <r>
      <rPr>
        <b/>
        <sz val="18"/>
        <rFont val="宋体"/>
        <charset val="134"/>
      </rPr>
      <t>报</t>
    </r>
    <r>
      <rPr>
        <b/>
        <sz val="18"/>
        <rFont val="Times New Roman"/>
        <charset val="134"/>
      </rPr>
      <t xml:space="preserve">   </t>
    </r>
    <r>
      <rPr>
        <b/>
        <sz val="18"/>
        <rFont val="宋体"/>
        <charset val="134"/>
      </rPr>
      <t>单</t>
    </r>
  </si>
  <si>
    <t>GENERAL DECLARATION</t>
  </si>
  <si>
    <r>
      <rPr>
        <sz val="8"/>
        <rFont val="宋体"/>
        <charset val="134"/>
      </rPr>
      <t>编号</t>
    </r>
    <r>
      <rPr>
        <sz val="8"/>
        <rFont val="Times New Roman"/>
        <charset val="134"/>
      </rPr>
      <t>:</t>
    </r>
  </si>
  <si>
    <t>V</t>
  </si>
  <si>
    <t>抵港</t>
  </si>
  <si>
    <t>离港</t>
  </si>
  <si>
    <t>No.</t>
  </si>
  <si>
    <t>Arrival</t>
  </si>
  <si>
    <t>Departure</t>
  </si>
  <si>
    <r>
      <rPr>
        <sz val="10"/>
        <rFont val="Times New Roman"/>
        <charset val="134"/>
      </rPr>
      <t>1.</t>
    </r>
    <r>
      <rPr>
        <sz val="10"/>
        <rFont val="宋体"/>
        <charset val="134"/>
      </rPr>
      <t>船舶名称及种类</t>
    </r>
  </si>
  <si>
    <r>
      <rPr>
        <sz val="9"/>
        <rFont val="Times New Roman"/>
        <charset val="134"/>
      </rPr>
      <t>2.</t>
    </r>
    <r>
      <rPr>
        <sz val="9"/>
        <rFont val="宋体"/>
        <charset val="134"/>
      </rPr>
      <t>抵</t>
    </r>
    <r>
      <rPr>
        <sz val="9"/>
        <rFont val="Times New Roman"/>
        <charset val="134"/>
      </rPr>
      <t>/</t>
    </r>
    <r>
      <rPr>
        <sz val="9"/>
        <rFont val="宋体"/>
        <charset val="134"/>
      </rPr>
      <t>离港口</t>
    </r>
    <r>
      <rPr>
        <sz val="9"/>
        <rFont val="Times New Roman"/>
        <charset val="134"/>
      </rPr>
      <t xml:space="preserve">             </t>
    </r>
  </si>
  <si>
    <r>
      <rPr>
        <sz val="9"/>
        <rFont val="Times New Roman"/>
        <charset val="134"/>
      </rPr>
      <t>3.</t>
    </r>
    <r>
      <rPr>
        <sz val="8.5"/>
        <rFont val="宋体"/>
        <charset val="134"/>
      </rPr>
      <t>抵</t>
    </r>
    <r>
      <rPr>
        <sz val="8.5"/>
        <rFont val="Times New Roman"/>
        <charset val="134"/>
      </rPr>
      <t>/</t>
    </r>
    <r>
      <rPr>
        <sz val="8.5"/>
        <rFont val="宋体"/>
        <charset val="134"/>
      </rPr>
      <t>离日期及时间</t>
    </r>
    <r>
      <rPr>
        <sz val="8.5"/>
        <rFont val="Times New Roman"/>
        <charset val="134"/>
      </rPr>
      <t xml:space="preserve">    </t>
    </r>
  </si>
  <si>
    <t xml:space="preserve"> Name and description of ship</t>
  </si>
  <si>
    <t xml:space="preserve"> Port of arrival/departure</t>
  </si>
  <si>
    <t>NANSHA NEW PORT</t>
  </si>
  <si>
    <t xml:space="preserve"> Date-time of arrival/departure</t>
  </si>
  <si>
    <r>
      <rPr>
        <sz val="10"/>
        <rFont val="Times New Roman"/>
        <charset val="134"/>
      </rPr>
      <t>4.</t>
    </r>
    <r>
      <rPr>
        <sz val="10"/>
        <rFont val="宋体"/>
        <charset val="134"/>
      </rPr>
      <t>船舶国籍</t>
    </r>
  </si>
  <si>
    <r>
      <rPr>
        <sz val="10"/>
        <rFont val="Times New Roman"/>
        <charset val="134"/>
      </rPr>
      <t>5.</t>
    </r>
    <r>
      <rPr>
        <sz val="10"/>
        <rFont val="宋体"/>
        <charset val="134"/>
      </rPr>
      <t>船长姓名</t>
    </r>
    <r>
      <rPr>
        <sz val="10"/>
        <rFont val="Times New Roman"/>
        <charset val="134"/>
      </rPr>
      <t xml:space="preserve">               </t>
    </r>
  </si>
  <si>
    <r>
      <rPr>
        <sz val="9"/>
        <rFont val="Times New Roman"/>
        <charset val="134"/>
      </rPr>
      <t>6.</t>
    </r>
    <r>
      <rPr>
        <sz val="9"/>
        <rFont val="宋体"/>
        <charset val="134"/>
      </rPr>
      <t>驶来港</t>
    </r>
    <r>
      <rPr>
        <sz val="9"/>
        <rFont val="Times New Roman"/>
        <charset val="134"/>
      </rPr>
      <t>/</t>
    </r>
    <r>
      <rPr>
        <sz val="9"/>
        <rFont val="宋体"/>
        <charset val="134"/>
      </rPr>
      <t>目的地</t>
    </r>
    <r>
      <rPr>
        <sz val="9"/>
        <rFont val="Times New Roman"/>
        <charset val="134"/>
      </rPr>
      <t xml:space="preserve">                                                      </t>
    </r>
    <r>
      <rPr>
        <sz val="12"/>
        <rFont val="Times New Roman"/>
        <charset val="134"/>
      </rPr>
      <t xml:space="preserve">     </t>
    </r>
  </si>
  <si>
    <t>胡志明市</t>
  </si>
  <si>
    <t>丹戎帕拉帕斯</t>
  </si>
  <si>
    <t>马来西亚</t>
  </si>
  <si>
    <t xml:space="preserve"> Nationality of ship</t>
  </si>
  <si>
    <t xml:space="preserve"> Name of master</t>
  </si>
  <si>
    <t xml:space="preserve"> Port arrived from/port of destination                   </t>
  </si>
  <si>
    <t>HO CHI MINH CITY</t>
  </si>
  <si>
    <t>TANJUNG PELEPAS</t>
  </si>
  <si>
    <t>MALAYSIA</t>
  </si>
  <si>
    <r>
      <rPr>
        <sz val="10"/>
        <rFont val="Times New Roman"/>
        <charset val="134"/>
      </rPr>
      <t>7.</t>
    </r>
    <r>
      <rPr>
        <sz val="10"/>
        <rFont val="宋体"/>
        <charset val="134"/>
      </rPr>
      <t>登记证书</t>
    </r>
    <r>
      <rPr>
        <sz val="10"/>
        <rFont val="Times New Roman"/>
        <charset val="134"/>
      </rPr>
      <t>Certificate of registry</t>
    </r>
  </si>
  <si>
    <r>
      <rPr>
        <sz val="9"/>
        <rFont val="Times New Roman"/>
        <charset val="134"/>
      </rPr>
      <t>8.</t>
    </r>
    <r>
      <rPr>
        <sz val="9"/>
        <rFont val="宋体"/>
        <charset val="134"/>
      </rPr>
      <t>船舶代理名称及地址</t>
    </r>
  </si>
  <si>
    <t>新加坡</t>
  </si>
  <si>
    <t>56766-25</t>
  </si>
  <si>
    <t xml:space="preserve"> Name and address of ship's agent</t>
  </si>
  <si>
    <r>
      <rPr>
        <sz val="11"/>
        <color theme="1"/>
        <rFont val="宋体"/>
        <charset val="134"/>
        <scheme val="minor"/>
      </rPr>
      <t>S</t>
    </r>
    <r>
      <rPr>
        <sz val="11"/>
        <color theme="1"/>
        <rFont val="宋体"/>
        <charset val="134"/>
        <scheme val="minor"/>
      </rPr>
      <t>INGAPORE</t>
    </r>
  </si>
  <si>
    <r>
      <rPr>
        <sz val="10"/>
        <rFont val="Times New Roman"/>
        <charset val="134"/>
      </rPr>
      <t>9.</t>
    </r>
    <r>
      <rPr>
        <sz val="10"/>
        <rFont val="宋体"/>
        <charset val="134"/>
      </rPr>
      <t>总吨位</t>
    </r>
    <r>
      <rPr>
        <sz val="10"/>
        <rFont val="Times New Roman"/>
        <charset val="134"/>
      </rPr>
      <t xml:space="preserve">                         </t>
    </r>
  </si>
  <si>
    <r>
      <rPr>
        <sz val="9"/>
        <rFont val="Times New Roman"/>
        <charset val="134"/>
      </rPr>
      <t>10.</t>
    </r>
    <r>
      <rPr>
        <sz val="9"/>
        <rFont val="宋体"/>
        <charset val="134"/>
      </rPr>
      <t>净吨位</t>
    </r>
    <r>
      <rPr>
        <sz val="9"/>
        <rFont val="Times New Roman"/>
        <charset val="134"/>
      </rPr>
      <t xml:space="preserve"> </t>
    </r>
  </si>
  <si>
    <r>
      <rPr>
        <sz val="9"/>
        <rFont val="Times New Roman"/>
        <charset val="134"/>
      </rPr>
      <t xml:space="preserve">                  </t>
    </r>
    <r>
      <rPr>
        <sz val="12"/>
        <rFont val="Times New Roman"/>
        <charset val="134"/>
      </rPr>
      <t xml:space="preserve"> </t>
    </r>
  </si>
  <si>
    <t>广州港中联国际船务代理有限公司</t>
  </si>
  <si>
    <t>冼家昇</t>
  </si>
  <si>
    <t>香港</t>
  </si>
  <si>
    <t xml:space="preserve"> Gross tonnage</t>
  </si>
  <si>
    <t xml:space="preserve"> Net tonnage</t>
  </si>
  <si>
    <t>440182200003200357</t>
  </si>
  <si>
    <r>
      <rPr>
        <sz val="11"/>
        <color theme="1"/>
        <rFont val="宋体"/>
        <charset val="134"/>
        <scheme val="minor"/>
      </rPr>
      <t>H</t>
    </r>
    <r>
      <rPr>
        <sz val="11"/>
        <color theme="1"/>
        <rFont val="宋体"/>
        <charset val="134"/>
        <scheme val="minor"/>
      </rPr>
      <t>ONGKONG</t>
    </r>
  </si>
  <si>
    <r>
      <rPr>
        <sz val="9"/>
        <rFont val="Times New Roman"/>
        <charset val="134"/>
      </rPr>
      <t>11.</t>
    </r>
    <r>
      <rPr>
        <sz val="9"/>
        <rFont val="宋体"/>
        <charset val="134"/>
      </rPr>
      <t>在港泊位</t>
    </r>
    <r>
      <rPr>
        <sz val="9"/>
        <rFont val="Times New Roman"/>
        <charset val="134"/>
      </rPr>
      <t xml:space="preserve">                                                                 </t>
    </r>
  </si>
  <si>
    <t>二期W</t>
  </si>
  <si>
    <t>91440101MA5AQA0F7M</t>
  </si>
  <si>
    <t>巴生港</t>
  </si>
  <si>
    <t xml:space="preserve"> Position of the ship in the port(berth of station)</t>
  </si>
  <si>
    <r>
      <rPr>
        <sz val="11"/>
        <color theme="1"/>
        <rFont val="宋体"/>
        <charset val="134"/>
        <scheme val="minor"/>
      </rPr>
      <t>P</t>
    </r>
    <r>
      <rPr>
        <sz val="11"/>
        <color theme="1"/>
        <rFont val="宋体"/>
        <charset val="134"/>
        <scheme val="minor"/>
      </rPr>
      <t>ORT KLANG</t>
    </r>
  </si>
  <si>
    <r>
      <rPr>
        <sz val="9"/>
        <rFont val="Times New Roman"/>
        <charset val="134"/>
      </rPr>
      <t>12.</t>
    </r>
    <r>
      <rPr>
        <sz val="9"/>
        <rFont val="宋体"/>
        <charset val="134"/>
      </rPr>
      <t>航次摘要</t>
    </r>
    <r>
      <rPr>
        <sz val="9"/>
        <rFont val="Times New Roman"/>
        <charset val="134"/>
      </rPr>
      <t>(</t>
    </r>
    <r>
      <rPr>
        <sz val="9"/>
        <rFont val="宋体"/>
        <charset val="134"/>
      </rPr>
      <t>先后挂靠港口、并在即将卸下留存货物的港名下划线标注）</t>
    </r>
  </si>
  <si>
    <t xml:space="preserve"> Berth particulars of voyage(previous and subsequent ports of call:underline where remaining cargo will be discharged)</t>
  </si>
  <si>
    <r>
      <rPr>
        <sz val="9"/>
        <rFont val="Times New Roman"/>
        <charset val="134"/>
      </rPr>
      <t>13.</t>
    </r>
    <r>
      <rPr>
        <sz val="9"/>
        <rFont val="宋体"/>
        <charset val="134"/>
      </rPr>
      <t>货物摘要说明</t>
    </r>
  </si>
  <si>
    <t xml:space="preserve"> Brief description of the cargo</t>
  </si>
  <si>
    <t>总重量：</t>
  </si>
  <si>
    <t>吨</t>
  </si>
  <si>
    <t xml:space="preserve"> </t>
  </si>
  <si>
    <t>进口柜：</t>
  </si>
  <si>
    <t>总共：</t>
  </si>
  <si>
    <t>TEU</t>
  </si>
  <si>
    <t>，</t>
  </si>
  <si>
    <t>吨；</t>
  </si>
  <si>
    <t>过境柜：</t>
  </si>
  <si>
    <r>
      <rPr>
        <sz val="10"/>
        <rFont val="Times New Roman"/>
        <charset val="134"/>
      </rPr>
      <t>14.</t>
    </r>
    <r>
      <rPr>
        <sz val="10"/>
        <rFont val="宋体"/>
        <charset val="134"/>
      </rPr>
      <t>船员人数</t>
    </r>
    <r>
      <rPr>
        <sz val="10"/>
        <rFont val="Times New Roman"/>
        <charset val="134"/>
      </rPr>
      <t>(</t>
    </r>
    <r>
      <rPr>
        <sz val="10"/>
        <rFont val="宋体"/>
        <charset val="134"/>
      </rPr>
      <t>含船长</t>
    </r>
    <r>
      <rPr>
        <sz val="10"/>
        <rFont val="Times New Roman"/>
        <charset val="134"/>
      </rPr>
      <t xml:space="preserve">)      </t>
    </r>
  </si>
  <si>
    <r>
      <rPr>
        <sz val="10"/>
        <rFont val="Times New Roman"/>
        <charset val="134"/>
      </rPr>
      <t>15.</t>
    </r>
    <r>
      <rPr>
        <sz val="10"/>
        <rFont val="宋体"/>
        <charset val="134"/>
      </rPr>
      <t>旅客人数</t>
    </r>
  </si>
  <si>
    <r>
      <rPr>
        <b/>
        <sz val="12"/>
        <rFont val="宋体"/>
        <charset val="134"/>
      </rPr>
      <t>n</t>
    </r>
    <r>
      <rPr>
        <b/>
        <sz val="12"/>
        <rFont val="宋体"/>
        <charset val="134"/>
      </rPr>
      <t>il</t>
    </r>
  </si>
  <si>
    <r>
      <rPr>
        <sz val="11"/>
        <rFont val="Times New Roman"/>
        <charset val="134"/>
      </rPr>
      <t>16.</t>
    </r>
    <r>
      <rPr>
        <sz val="11"/>
        <rFont val="宋体"/>
        <charset val="134"/>
      </rPr>
      <t>备</t>
    </r>
    <r>
      <rPr>
        <sz val="11"/>
        <rFont val="Times New Roman"/>
        <charset val="134"/>
      </rPr>
      <t xml:space="preserve">     </t>
    </r>
    <r>
      <rPr>
        <sz val="11"/>
        <rFont val="宋体"/>
        <charset val="134"/>
      </rPr>
      <t>注</t>
    </r>
  </si>
  <si>
    <t>无武器</t>
  </si>
  <si>
    <t>船员国籍分布：</t>
  </si>
  <si>
    <t xml:space="preserve"> Number of crew(incl. Master)</t>
  </si>
  <si>
    <t xml:space="preserve"> Number of Passengers</t>
  </si>
  <si>
    <t xml:space="preserve"> Remarks</t>
  </si>
  <si>
    <t>No Weapen</t>
  </si>
  <si>
    <t>中国5名</t>
  </si>
  <si>
    <t>越南1名</t>
  </si>
  <si>
    <r>
      <rPr>
        <sz val="10"/>
        <rFont val="宋体"/>
        <charset val="134"/>
      </rPr>
      <t>附件</t>
    </r>
    <r>
      <rPr>
        <sz val="10"/>
        <rFont val="Times New Roman"/>
        <charset val="134"/>
      </rPr>
      <t>(</t>
    </r>
    <r>
      <rPr>
        <sz val="10"/>
        <rFont val="宋体"/>
        <charset val="134"/>
      </rPr>
      <t>标明份数</t>
    </r>
    <r>
      <rPr>
        <sz val="10"/>
        <rFont val="Times New Roman"/>
        <charset val="134"/>
      </rPr>
      <t>)</t>
    </r>
  </si>
  <si>
    <t>船舶呼号：</t>
  </si>
  <si>
    <t>孟加拉国1名</t>
  </si>
  <si>
    <t>Attached documents(indicate number of copies)</t>
  </si>
  <si>
    <r>
      <rPr>
        <sz val="11"/>
        <rFont val="Times New Roman"/>
        <charset val="134"/>
      </rPr>
      <t>MMSI</t>
    </r>
    <r>
      <rPr>
        <sz val="11"/>
        <rFont val="宋体"/>
        <charset val="134"/>
      </rPr>
      <t>：</t>
    </r>
  </si>
  <si>
    <t>菲律宾1名</t>
  </si>
  <si>
    <r>
      <rPr>
        <sz val="10"/>
        <rFont val="Times New Roman"/>
        <charset val="134"/>
      </rPr>
      <t>17.</t>
    </r>
    <r>
      <rPr>
        <sz val="10"/>
        <rFont val="宋体"/>
        <charset val="134"/>
      </rPr>
      <t>货物申报单</t>
    </r>
  </si>
  <si>
    <r>
      <rPr>
        <sz val="10"/>
        <rFont val="Times New Roman"/>
        <charset val="134"/>
      </rPr>
      <t>18.</t>
    </r>
    <r>
      <rPr>
        <sz val="10"/>
        <rFont val="宋体"/>
        <charset val="134"/>
      </rPr>
      <t>船用物品申报单</t>
    </r>
  </si>
  <si>
    <t>船公司：</t>
  </si>
  <si>
    <t>马士基（中国）航运有限公司青岛分公司</t>
  </si>
  <si>
    <t>印度尼西亚1名</t>
  </si>
  <si>
    <t xml:space="preserve"> Cargo Declaration</t>
  </si>
  <si>
    <t xml:space="preserve"> Ship's Stord Declaration</t>
  </si>
  <si>
    <t>航次：进/出</t>
  </si>
  <si>
    <t>631NI</t>
  </si>
  <si>
    <t>缅甸10名</t>
  </si>
  <si>
    <r>
      <rPr>
        <sz val="10"/>
        <rFont val="Times New Roman"/>
        <charset val="134"/>
      </rPr>
      <t>19.</t>
    </r>
    <r>
      <rPr>
        <sz val="10"/>
        <rFont val="宋体"/>
        <charset val="134"/>
      </rPr>
      <t>船员名单</t>
    </r>
    <r>
      <rPr>
        <sz val="10"/>
        <rFont val="Times New Roman"/>
        <charset val="134"/>
      </rPr>
      <t>.</t>
    </r>
  </si>
  <si>
    <r>
      <rPr>
        <sz val="10"/>
        <rFont val="Times New Roman"/>
        <charset val="134"/>
      </rPr>
      <t>20.</t>
    </r>
    <r>
      <rPr>
        <sz val="10"/>
        <rFont val="宋体"/>
        <charset val="134"/>
      </rPr>
      <t>旅客名单</t>
    </r>
  </si>
  <si>
    <t>nil</t>
  </si>
  <si>
    <r>
      <rPr>
        <sz val="9"/>
        <rFont val="Times New Roman"/>
        <charset val="134"/>
      </rPr>
      <t>21.</t>
    </r>
    <r>
      <rPr>
        <sz val="9"/>
        <rFont val="宋体"/>
        <charset val="134"/>
      </rPr>
      <t>船长或其代理人签名、日期</t>
    </r>
  </si>
  <si>
    <t xml:space="preserve"> Crew List</t>
  </si>
  <si>
    <t xml:space="preserve"> Passenger List</t>
  </si>
  <si>
    <t xml:space="preserve"> Date and signature by master,authorized agent or officer</t>
  </si>
  <si>
    <r>
      <rPr>
        <sz val="10"/>
        <rFont val="Times New Roman"/>
        <charset val="134"/>
      </rPr>
      <t>22.</t>
    </r>
    <r>
      <rPr>
        <sz val="10"/>
        <rFont val="宋体"/>
        <charset val="134"/>
      </rPr>
      <t>船员物品申报单</t>
    </r>
    <r>
      <rPr>
        <sz val="10"/>
        <rFont val="Times New Roman"/>
        <charset val="134"/>
      </rPr>
      <t xml:space="preserve">* </t>
    </r>
  </si>
  <si>
    <r>
      <rPr>
        <sz val="10"/>
        <rFont val="Times New Roman"/>
        <charset val="134"/>
      </rPr>
      <t>23.</t>
    </r>
    <r>
      <rPr>
        <sz val="10"/>
        <rFont val="宋体"/>
        <charset val="134"/>
      </rPr>
      <t>航海健康申报书</t>
    </r>
  </si>
  <si>
    <t xml:space="preserve"> Crew's Effects Declaration</t>
  </si>
  <si>
    <t xml:space="preserve"> Maritime Declaration of Health</t>
  </si>
  <si>
    <t>检查机关签注</t>
  </si>
  <si>
    <t>For official use</t>
  </si>
  <si>
    <r>
      <rPr>
        <b/>
        <sz val="14"/>
        <rFont val="Times New Roman"/>
        <charset val="134"/>
      </rPr>
      <t xml:space="preserve">               </t>
    </r>
    <r>
      <rPr>
        <b/>
        <sz val="14"/>
        <rFont val="宋体"/>
        <charset val="134"/>
      </rPr>
      <t>货</t>
    </r>
    <r>
      <rPr>
        <b/>
        <sz val="14"/>
        <rFont val="Times New Roman"/>
        <charset val="134"/>
      </rPr>
      <t xml:space="preserve"> </t>
    </r>
    <r>
      <rPr>
        <b/>
        <sz val="14"/>
        <rFont val="宋体"/>
        <charset val="134"/>
      </rPr>
      <t>物</t>
    </r>
    <r>
      <rPr>
        <b/>
        <sz val="14"/>
        <rFont val="Times New Roman"/>
        <charset val="134"/>
      </rPr>
      <t xml:space="preserve"> </t>
    </r>
    <r>
      <rPr>
        <b/>
        <sz val="14"/>
        <rFont val="宋体"/>
        <charset val="134"/>
      </rPr>
      <t>申</t>
    </r>
    <r>
      <rPr>
        <b/>
        <sz val="14"/>
        <rFont val="Times New Roman"/>
        <charset val="134"/>
      </rPr>
      <t xml:space="preserve"> </t>
    </r>
    <r>
      <rPr>
        <b/>
        <sz val="14"/>
        <rFont val="宋体"/>
        <charset val="134"/>
      </rPr>
      <t>报</t>
    </r>
    <r>
      <rPr>
        <b/>
        <sz val="14"/>
        <rFont val="Times New Roman"/>
        <charset val="134"/>
      </rPr>
      <t xml:space="preserve"> </t>
    </r>
    <r>
      <rPr>
        <b/>
        <sz val="14"/>
        <rFont val="宋体"/>
        <charset val="134"/>
      </rPr>
      <t>单</t>
    </r>
  </si>
  <si>
    <t xml:space="preserve">             CARGO DECLARATION</t>
  </si>
  <si>
    <r>
      <rPr>
        <sz val="11"/>
        <rFont val="Times New Roman"/>
        <charset val="134"/>
      </rPr>
      <t xml:space="preserve">    </t>
    </r>
  </si>
  <si>
    <t>编号</t>
  </si>
  <si>
    <t xml:space="preserve">    离港</t>
  </si>
  <si>
    <r>
      <rPr>
        <sz val="10"/>
        <rFont val="宋体"/>
        <charset val="134"/>
      </rPr>
      <t>第</t>
    </r>
    <r>
      <rPr>
        <sz val="10"/>
        <rFont val="Times New Roman"/>
        <charset val="134"/>
      </rPr>
      <t xml:space="preserve">         </t>
    </r>
    <r>
      <rPr>
        <sz val="10"/>
        <rFont val="宋体"/>
        <charset val="134"/>
      </rPr>
      <t>页</t>
    </r>
  </si>
  <si>
    <r>
      <rPr>
        <sz val="8"/>
        <rFont val="Times New Roman"/>
        <charset val="134"/>
      </rPr>
      <t>No</t>
    </r>
    <r>
      <rPr>
        <b/>
        <sz val="8"/>
        <rFont val="Times New Roman"/>
        <charset val="134"/>
      </rPr>
      <t>.</t>
    </r>
  </si>
  <si>
    <t xml:space="preserve">   Arrival</t>
  </si>
  <si>
    <t xml:space="preserve">        Departure</t>
  </si>
  <si>
    <t xml:space="preserve">     Page No.</t>
  </si>
  <si>
    <r>
      <rPr>
        <sz val="10"/>
        <rFont val="Times New Roman"/>
        <charset val="134"/>
      </rPr>
      <t xml:space="preserve">1. </t>
    </r>
    <r>
      <rPr>
        <sz val="10"/>
        <rFont val="宋体"/>
        <charset val="134"/>
      </rPr>
      <t>船</t>
    </r>
    <r>
      <rPr>
        <sz val="10"/>
        <rFont val="Times New Roman"/>
        <charset val="134"/>
      </rPr>
      <t xml:space="preserve">           </t>
    </r>
    <r>
      <rPr>
        <sz val="10"/>
        <rFont val="宋体"/>
        <charset val="134"/>
      </rPr>
      <t>名</t>
    </r>
    <r>
      <rPr>
        <sz val="10"/>
        <rFont val="Times New Roman"/>
        <charset val="134"/>
      </rPr>
      <t xml:space="preserve">                                     </t>
    </r>
    <r>
      <rPr>
        <sz val="12"/>
        <rFont val="Times New Roman"/>
        <charset val="134"/>
      </rPr>
      <t xml:space="preserve">  </t>
    </r>
  </si>
  <si>
    <r>
      <rPr>
        <sz val="10"/>
        <rFont val="Times New Roman"/>
        <charset val="134"/>
      </rPr>
      <t xml:space="preserve">2. </t>
    </r>
    <r>
      <rPr>
        <sz val="10"/>
        <rFont val="宋体"/>
        <charset val="134"/>
      </rPr>
      <t>申报港</t>
    </r>
  </si>
  <si>
    <t xml:space="preserve">    Name of ship                        </t>
  </si>
  <si>
    <t xml:space="preserve">    Port where report is made</t>
  </si>
  <si>
    <r>
      <rPr>
        <sz val="10"/>
        <rFont val="Times New Roman"/>
        <charset val="134"/>
      </rPr>
      <t xml:space="preserve">3. </t>
    </r>
    <r>
      <rPr>
        <sz val="10"/>
        <rFont val="宋体"/>
        <charset val="134"/>
      </rPr>
      <t>船舶国籍</t>
    </r>
  </si>
  <si>
    <r>
      <rPr>
        <sz val="10"/>
        <rFont val="Times New Roman"/>
        <charset val="134"/>
      </rPr>
      <t xml:space="preserve">4. </t>
    </r>
    <r>
      <rPr>
        <sz val="10"/>
        <rFont val="宋体"/>
        <charset val="134"/>
      </rPr>
      <t>船长姓名</t>
    </r>
  </si>
  <si>
    <r>
      <rPr>
        <sz val="10"/>
        <rFont val="Times New Roman"/>
        <charset val="134"/>
      </rPr>
      <t xml:space="preserve">5. </t>
    </r>
    <r>
      <rPr>
        <sz val="10"/>
        <rFont val="宋体"/>
        <charset val="134"/>
      </rPr>
      <t>装卸港</t>
    </r>
  </si>
  <si>
    <t xml:space="preserve">    Nationality of ship</t>
  </si>
  <si>
    <t xml:space="preserve">    Name of master</t>
  </si>
  <si>
    <t xml:space="preserve">    Port of loading/Port of discharge</t>
  </si>
  <si>
    <r>
      <rPr>
        <sz val="10"/>
        <rFont val="Times New Roman"/>
        <charset val="134"/>
      </rPr>
      <t xml:space="preserve">6. </t>
    </r>
    <r>
      <rPr>
        <sz val="10"/>
        <rFont val="宋体"/>
        <charset val="134"/>
      </rPr>
      <t>标记及号码</t>
    </r>
  </si>
  <si>
    <r>
      <rPr>
        <sz val="10"/>
        <rFont val="Times New Roman"/>
        <charset val="134"/>
      </rPr>
      <t xml:space="preserve">7. </t>
    </r>
    <r>
      <rPr>
        <sz val="10"/>
        <rFont val="宋体"/>
        <charset val="134"/>
      </rPr>
      <t>包件的种类和数量</t>
    </r>
  </si>
  <si>
    <r>
      <rPr>
        <sz val="10"/>
        <rFont val="Times New Roman"/>
        <charset val="134"/>
      </rPr>
      <t xml:space="preserve">8. </t>
    </r>
    <r>
      <rPr>
        <sz val="10"/>
        <rFont val="宋体"/>
        <charset val="134"/>
      </rPr>
      <t>毛</t>
    </r>
    <r>
      <rPr>
        <sz val="10"/>
        <rFont val="Times New Roman"/>
        <charset val="134"/>
      </rPr>
      <t xml:space="preserve">      </t>
    </r>
    <r>
      <rPr>
        <sz val="10"/>
        <rFont val="宋体"/>
        <charset val="134"/>
      </rPr>
      <t>重</t>
    </r>
  </si>
  <si>
    <r>
      <rPr>
        <sz val="10"/>
        <rFont val="Times New Roman"/>
        <charset val="134"/>
      </rPr>
      <t xml:space="preserve">9. </t>
    </r>
    <r>
      <rPr>
        <sz val="10"/>
        <rFont val="宋体"/>
        <charset val="134"/>
      </rPr>
      <t>单</t>
    </r>
    <r>
      <rPr>
        <sz val="10"/>
        <rFont val="Times New Roman"/>
        <charset val="134"/>
      </rPr>
      <t xml:space="preserve">      </t>
    </r>
    <r>
      <rPr>
        <sz val="10"/>
        <rFont val="宋体"/>
        <charset val="134"/>
      </rPr>
      <t>位</t>
    </r>
  </si>
  <si>
    <t xml:space="preserve">    Marks and Nos.</t>
  </si>
  <si>
    <t xml:space="preserve">    Number and kind of packages, description of goods</t>
  </si>
  <si>
    <t xml:space="preserve">  Gross weight</t>
  </si>
  <si>
    <t xml:space="preserve">     measurement</t>
  </si>
  <si>
    <r>
      <rPr>
        <sz val="9"/>
        <rFont val="Times New Roman"/>
        <charset val="134"/>
      </rPr>
      <t xml:space="preserve">10. </t>
    </r>
    <r>
      <rPr>
        <sz val="9"/>
        <rFont val="宋体"/>
        <charset val="134"/>
      </rPr>
      <t>船长或其代理人签名、日期</t>
    </r>
  </si>
  <si>
    <t xml:space="preserve">       Date and signature by master, authorized agent or officer</t>
  </si>
  <si>
    <t>中华人民共和国海事局监制</t>
  </si>
  <si>
    <r>
      <rPr>
        <sz val="8"/>
        <rFont val="Times New Roman"/>
        <charset val="134"/>
      </rPr>
      <t>98</t>
    </r>
    <r>
      <rPr>
        <sz val="8"/>
        <rFont val="宋体"/>
        <charset val="134"/>
      </rPr>
      <t>版本</t>
    </r>
    <r>
      <rPr>
        <sz val="8"/>
        <rFont val="Times New Roman"/>
        <charset val="134"/>
      </rPr>
      <t xml:space="preserve">   </t>
    </r>
    <r>
      <rPr>
        <sz val="8"/>
        <rFont val="宋体"/>
        <charset val="134"/>
      </rPr>
      <t>仿造必究</t>
    </r>
  </si>
  <si>
    <r>
      <rPr>
        <sz val="12"/>
        <rFont val="Times New Roman"/>
        <charset val="134"/>
      </rPr>
      <t>1.</t>
    </r>
    <r>
      <rPr>
        <sz val="12"/>
        <rFont val="宋体"/>
        <charset val="134"/>
      </rPr>
      <t>船舶名称及种类</t>
    </r>
  </si>
  <si>
    <r>
      <rPr>
        <sz val="12"/>
        <rFont val="Times New Roman"/>
        <charset val="134"/>
      </rPr>
      <t>2.</t>
    </r>
    <r>
      <rPr>
        <sz val="12"/>
        <rFont val="宋体"/>
        <charset val="134"/>
      </rPr>
      <t>抵</t>
    </r>
    <r>
      <rPr>
        <sz val="12"/>
        <rFont val="Times New Roman"/>
        <charset val="134"/>
      </rPr>
      <t>/</t>
    </r>
    <r>
      <rPr>
        <sz val="12"/>
        <rFont val="宋体"/>
        <charset val="134"/>
      </rPr>
      <t>离港口</t>
    </r>
    <r>
      <rPr>
        <sz val="12"/>
        <rFont val="Times New Roman"/>
        <charset val="134"/>
      </rPr>
      <t xml:space="preserve">             </t>
    </r>
  </si>
  <si>
    <r>
      <rPr>
        <sz val="11"/>
        <rFont val="Times New Roman"/>
        <charset val="134"/>
      </rPr>
      <t>3.</t>
    </r>
    <r>
      <rPr>
        <sz val="11"/>
        <rFont val="宋体"/>
        <charset val="134"/>
      </rPr>
      <t>抵</t>
    </r>
    <r>
      <rPr>
        <sz val="11"/>
        <rFont val="Times New Roman"/>
        <charset val="134"/>
      </rPr>
      <t>/</t>
    </r>
    <r>
      <rPr>
        <sz val="11"/>
        <rFont val="宋体"/>
        <charset val="134"/>
      </rPr>
      <t>离日期及时间</t>
    </r>
    <r>
      <rPr>
        <sz val="11"/>
        <rFont val="Times New Roman"/>
        <charset val="134"/>
      </rPr>
      <t xml:space="preserve">    </t>
    </r>
  </si>
  <si>
    <r>
      <rPr>
        <sz val="12"/>
        <rFont val="Times New Roman"/>
        <charset val="134"/>
      </rPr>
      <t>4.</t>
    </r>
    <r>
      <rPr>
        <sz val="12"/>
        <rFont val="宋体"/>
        <charset val="134"/>
      </rPr>
      <t>船舶国籍</t>
    </r>
  </si>
  <si>
    <r>
      <rPr>
        <sz val="12"/>
        <rFont val="Times New Roman"/>
        <charset val="134"/>
      </rPr>
      <t>5.</t>
    </r>
    <r>
      <rPr>
        <sz val="12"/>
        <rFont val="宋体"/>
        <charset val="134"/>
      </rPr>
      <t>船长姓名</t>
    </r>
    <r>
      <rPr>
        <sz val="12"/>
        <rFont val="Times New Roman"/>
        <charset val="134"/>
      </rPr>
      <t xml:space="preserve">               </t>
    </r>
  </si>
  <si>
    <r>
      <rPr>
        <sz val="12"/>
        <rFont val="Times New Roman"/>
        <charset val="134"/>
      </rPr>
      <t>6.</t>
    </r>
    <r>
      <rPr>
        <sz val="12"/>
        <rFont val="宋体"/>
        <charset val="134"/>
      </rPr>
      <t>驶来港</t>
    </r>
    <r>
      <rPr>
        <sz val="12"/>
        <rFont val="Times New Roman"/>
        <charset val="134"/>
      </rPr>
      <t>/</t>
    </r>
    <r>
      <rPr>
        <sz val="12"/>
        <rFont val="宋体"/>
        <charset val="134"/>
      </rPr>
      <t>目的地</t>
    </r>
    <r>
      <rPr>
        <sz val="12"/>
        <rFont val="Times New Roman"/>
        <charset val="134"/>
      </rPr>
      <t xml:space="preserve">                                                           </t>
    </r>
  </si>
  <si>
    <r>
      <rPr>
        <sz val="12"/>
        <rFont val="Times New Roman"/>
        <charset val="134"/>
      </rPr>
      <t>7.</t>
    </r>
    <r>
      <rPr>
        <sz val="12"/>
        <rFont val="宋体"/>
        <charset val="134"/>
      </rPr>
      <t>登记证书（港口、日期、号码）</t>
    </r>
  </si>
  <si>
    <r>
      <rPr>
        <sz val="12"/>
        <rFont val="Times New Roman"/>
        <charset val="134"/>
      </rPr>
      <t>8.</t>
    </r>
    <r>
      <rPr>
        <sz val="12"/>
        <rFont val="宋体"/>
        <charset val="134"/>
      </rPr>
      <t>船舶代理名称及地址</t>
    </r>
  </si>
  <si>
    <t xml:space="preserve"> Certificate of registry(port;date;number)</t>
  </si>
  <si>
    <r>
      <rPr>
        <sz val="12"/>
        <rFont val="Times New Roman"/>
        <charset val="134"/>
      </rPr>
      <t>9.</t>
    </r>
    <r>
      <rPr>
        <sz val="12"/>
        <rFont val="宋体"/>
        <charset val="134"/>
      </rPr>
      <t>总吨位</t>
    </r>
    <r>
      <rPr>
        <sz val="12"/>
        <rFont val="Times New Roman"/>
        <charset val="134"/>
      </rPr>
      <t xml:space="preserve">                         </t>
    </r>
  </si>
  <si>
    <r>
      <rPr>
        <sz val="12"/>
        <rFont val="Times New Roman"/>
        <charset val="134"/>
      </rPr>
      <t>10.</t>
    </r>
    <r>
      <rPr>
        <sz val="12"/>
        <rFont val="宋体"/>
        <charset val="134"/>
      </rPr>
      <t>净吨位</t>
    </r>
    <r>
      <rPr>
        <sz val="12"/>
        <rFont val="Times New Roman"/>
        <charset val="134"/>
      </rPr>
      <t xml:space="preserve"> </t>
    </r>
  </si>
  <si>
    <t>曾康达</t>
  </si>
  <si>
    <r>
      <rPr>
        <sz val="12"/>
        <rFont val="Times New Roman"/>
        <charset val="134"/>
      </rPr>
      <t>11.</t>
    </r>
    <r>
      <rPr>
        <sz val="12"/>
        <rFont val="宋体"/>
        <charset val="134"/>
      </rPr>
      <t>在港泊位</t>
    </r>
    <r>
      <rPr>
        <sz val="12"/>
        <rFont val="Times New Roman"/>
        <charset val="134"/>
      </rPr>
      <t xml:space="preserve">                                                                 </t>
    </r>
  </si>
  <si>
    <r>
      <rPr>
        <sz val="12"/>
        <rFont val="Times New Roman"/>
        <charset val="134"/>
      </rPr>
      <t>12.</t>
    </r>
    <r>
      <rPr>
        <sz val="12"/>
        <rFont val="宋体"/>
        <charset val="134"/>
      </rPr>
      <t>航次摘要</t>
    </r>
    <r>
      <rPr>
        <sz val="12"/>
        <rFont val="Times New Roman"/>
        <charset val="134"/>
      </rPr>
      <t>(</t>
    </r>
    <r>
      <rPr>
        <sz val="12"/>
        <rFont val="宋体"/>
        <charset val="134"/>
      </rPr>
      <t>先后挂靠港口、并在即将卸下留存货物的港名下划线标注）</t>
    </r>
  </si>
  <si>
    <t>出口柜：</t>
  </si>
  <si>
    <r>
      <rPr>
        <sz val="9"/>
        <rFont val="Times New Roman"/>
        <charset val="134"/>
      </rPr>
      <t>14.</t>
    </r>
    <r>
      <rPr>
        <sz val="9"/>
        <rFont val="宋体"/>
        <charset val="134"/>
      </rPr>
      <t>船员人数</t>
    </r>
    <r>
      <rPr>
        <sz val="9"/>
        <rFont val="Times New Roman"/>
        <charset val="134"/>
      </rPr>
      <t>(</t>
    </r>
    <r>
      <rPr>
        <sz val="9"/>
        <rFont val="宋体"/>
        <charset val="134"/>
      </rPr>
      <t>含船长</t>
    </r>
    <r>
      <rPr>
        <sz val="9"/>
        <rFont val="Times New Roman"/>
        <charset val="134"/>
      </rPr>
      <t xml:space="preserve">)      </t>
    </r>
  </si>
  <si>
    <r>
      <rPr>
        <sz val="9"/>
        <rFont val="Times New Roman"/>
        <charset val="134"/>
      </rPr>
      <t>15.</t>
    </r>
    <r>
      <rPr>
        <sz val="9"/>
        <rFont val="宋体"/>
        <charset val="134"/>
      </rPr>
      <t>旅客人数</t>
    </r>
  </si>
  <si>
    <t>菲律宾11名</t>
  </si>
  <si>
    <r>
      <rPr>
        <sz val="9"/>
        <rFont val="宋体"/>
        <charset val="134"/>
      </rPr>
      <t>附件</t>
    </r>
    <r>
      <rPr>
        <sz val="9"/>
        <rFont val="Times New Roman"/>
        <charset val="134"/>
      </rPr>
      <t>(</t>
    </r>
    <r>
      <rPr>
        <sz val="9"/>
        <rFont val="宋体"/>
        <charset val="134"/>
      </rPr>
      <t>标明份数</t>
    </r>
    <r>
      <rPr>
        <sz val="9"/>
        <rFont val="Times New Roman"/>
        <charset val="134"/>
      </rPr>
      <t>)</t>
    </r>
  </si>
  <si>
    <t>V2CO6</t>
  </si>
  <si>
    <t>乌克兰2名</t>
  </si>
  <si>
    <t>俄罗斯4名</t>
  </si>
  <si>
    <r>
      <rPr>
        <sz val="9"/>
        <rFont val="Times New Roman"/>
        <charset val="134"/>
      </rPr>
      <t>17.</t>
    </r>
    <r>
      <rPr>
        <sz val="9"/>
        <rFont val="宋体"/>
        <charset val="134"/>
      </rPr>
      <t>货物申报单</t>
    </r>
  </si>
  <si>
    <r>
      <rPr>
        <sz val="9"/>
        <rFont val="Times New Roman"/>
        <charset val="134"/>
      </rPr>
      <t>18.</t>
    </r>
    <r>
      <rPr>
        <sz val="9"/>
        <rFont val="宋体"/>
        <charset val="134"/>
      </rPr>
      <t>船用物品申报单</t>
    </r>
  </si>
  <si>
    <t>德翔航运</t>
  </si>
  <si>
    <t>20024SI/20024S</t>
  </si>
  <si>
    <r>
      <rPr>
        <sz val="9"/>
        <rFont val="Times New Roman"/>
        <charset val="134"/>
      </rPr>
      <t>19.</t>
    </r>
    <r>
      <rPr>
        <sz val="9"/>
        <rFont val="宋体"/>
        <charset val="134"/>
      </rPr>
      <t>船员名单</t>
    </r>
    <r>
      <rPr>
        <sz val="9"/>
        <rFont val="Times New Roman"/>
        <charset val="134"/>
      </rPr>
      <t>.</t>
    </r>
  </si>
  <si>
    <r>
      <rPr>
        <sz val="9"/>
        <rFont val="Times New Roman"/>
        <charset val="134"/>
      </rPr>
      <t>20.</t>
    </r>
    <r>
      <rPr>
        <sz val="9"/>
        <rFont val="宋体"/>
        <charset val="134"/>
      </rPr>
      <t>旅客名单</t>
    </r>
  </si>
  <si>
    <r>
      <rPr>
        <sz val="9"/>
        <rFont val="Times New Roman"/>
        <charset val="134"/>
      </rPr>
      <t>22.</t>
    </r>
    <r>
      <rPr>
        <sz val="9"/>
        <rFont val="宋体"/>
        <charset val="134"/>
      </rPr>
      <t>船员物品申报单</t>
    </r>
    <r>
      <rPr>
        <sz val="9"/>
        <rFont val="Times New Roman"/>
        <charset val="134"/>
      </rPr>
      <t xml:space="preserve">* </t>
    </r>
  </si>
  <si>
    <r>
      <rPr>
        <sz val="9"/>
        <rFont val="Times New Roman"/>
        <charset val="134"/>
      </rPr>
      <t>23.</t>
    </r>
    <r>
      <rPr>
        <sz val="9"/>
        <rFont val="宋体"/>
        <charset val="134"/>
      </rPr>
      <t>航海健康申报书</t>
    </r>
  </si>
  <si>
    <t>P</t>
  </si>
  <si>
    <t>IMO  CREW  LIST</t>
  </si>
  <si>
    <t xml:space="preserve"> Page No.</t>
  </si>
  <si>
    <t>1 of 1</t>
  </si>
  <si>
    <t xml:space="preserve"> 1.1  Name and type of ship</t>
  </si>
  <si>
    <t xml:space="preserve"> 2.   Port of arrival/departure</t>
  </si>
  <si>
    <t xml:space="preserve"> 3.  Date of arrival/departure</t>
  </si>
  <si>
    <t xml:space="preserve"> 1.2  IMO number</t>
  </si>
  <si>
    <t xml:space="preserve"> 1.3  Call sign</t>
  </si>
  <si>
    <t xml:space="preserve"> 4.  Flag state of ship</t>
  </si>
  <si>
    <t xml:space="preserve"> 5.   Last port of call</t>
  </si>
  <si>
    <t xml:space="preserve"> 11.1 Nature and No. of identity docment (seamen's passport)</t>
  </si>
  <si>
    <t xml:space="preserve"> 6. No</t>
  </si>
  <si>
    <t xml:space="preserve"> 7.1  Family name, given names</t>
  </si>
  <si>
    <t>7.2  M/F</t>
  </si>
  <si>
    <t xml:space="preserve"> 8. Rank or rating</t>
  </si>
  <si>
    <t xml:space="preserve"> 9.  Nationality</t>
  </si>
  <si>
    <t xml:space="preserve"> 10.  Date and place of birth</t>
  </si>
  <si>
    <t>IMO  Convention  of  Facilitation  of  International  Maritime  Traffic</t>
  </si>
  <si>
    <t>李继祥</t>
  </si>
  <si>
    <t>M</t>
  </si>
  <si>
    <t>Master</t>
  </si>
  <si>
    <t>Montenegro</t>
  </si>
  <si>
    <t>B42BR8005</t>
  </si>
  <si>
    <t>名单版本是正确的</t>
  </si>
  <si>
    <t>FERNANDEZ REYNALDO JR</t>
  </si>
  <si>
    <t>Chief Officer</t>
  </si>
  <si>
    <t>Ukraine</t>
  </si>
  <si>
    <t>S</t>
  </si>
  <si>
    <t>AB498691</t>
  </si>
  <si>
    <t>Second Officer</t>
  </si>
  <si>
    <t>Filipino</t>
  </si>
  <si>
    <t>P0392496A</t>
  </si>
  <si>
    <t>GONZAGA JOHN BRIAN CANALITA</t>
  </si>
  <si>
    <t>Third Officer</t>
  </si>
  <si>
    <t>EC3697674</t>
  </si>
  <si>
    <t>DYACHENKO VASYL</t>
  </si>
  <si>
    <t>Chief Engineer</t>
  </si>
  <si>
    <t>AB406216</t>
  </si>
  <si>
    <t>BALAKIN OLEG</t>
  </si>
  <si>
    <t>Second Engineer</t>
  </si>
  <si>
    <t>AB565162</t>
  </si>
  <si>
    <t>BACERDO OMAR DAMES</t>
  </si>
  <si>
    <t>Junior Engineer</t>
  </si>
  <si>
    <t>P1649209A</t>
  </si>
  <si>
    <t>SANTACERA ROTSEN MAR DAYADAY</t>
  </si>
  <si>
    <t xml:space="preserve"> Junior Electrician</t>
  </si>
  <si>
    <t>P1399821A</t>
  </si>
  <si>
    <t>JAVIER EDGAR AMMEN</t>
  </si>
  <si>
    <t>Bosun</t>
  </si>
  <si>
    <t>EC4641553</t>
  </si>
  <si>
    <t>ELPA KENNETH BLANCO</t>
  </si>
  <si>
    <t>Able Seaman</t>
  </si>
  <si>
    <t>P2512380A</t>
  </si>
  <si>
    <t>FLORENTINO JOEMARIE LACHICA</t>
  </si>
  <si>
    <t>EC6525043</t>
  </si>
  <si>
    <t>SUAREZ JETTE ANTHONY CAPANAS</t>
  </si>
  <si>
    <t>P0863919A</t>
  </si>
  <si>
    <t>JAMERO IANJAY HAMOAY</t>
  </si>
  <si>
    <t>Ordinary Seaman</t>
  </si>
  <si>
    <t>EC5956980</t>
  </si>
  <si>
    <t>PELLETERO ALLEN SEGISMUNDO</t>
  </si>
  <si>
    <t>P3925249A</t>
  </si>
  <si>
    <t>OLOJAN ROSEN JUANICO</t>
  </si>
  <si>
    <t>Fitter</t>
  </si>
  <si>
    <t>EC4389049</t>
  </si>
  <si>
    <t>CAMILOTE GEOFFREY CALETINA</t>
  </si>
  <si>
    <t>Oiler</t>
  </si>
  <si>
    <t>P2263420A</t>
  </si>
  <si>
    <t>ECAT JOSEPH PAUL TENEBRO</t>
  </si>
  <si>
    <t>Wiper</t>
  </si>
  <si>
    <t>P3596511A</t>
  </si>
  <si>
    <t>DELIS  EUGENE SALIGUMBA</t>
  </si>
  <si>
    <t>EC5270716</t>
  </si>
  <si>
    <t>MOGRO ROMELITO LOSTE</t>
  </si>
  <si>
    <t>Chief Cook</t>
  </si>
  <si>
    <t>EC2844651</t>
  </si>
  <si>
    <t>CAMANAY JONATHAN SUAZO</t>
  </si>
  <si>
    <t>Messboy</t>
  </si>
  <si>
    <t>EC8290337</t>
  </si>
  <si>
    <t>12. Date and signature by master, authorized by agent or officer</t>
  </si>
  <si>
    <t>Signed</t>
  </si>
  <si>
    <t>Date</t>
  </si>
  <si>
    <t>IMO FAL</t>
  </si>
  <si>
    <t>Form 5</t>
  </si>
  <si>
    <t>C97</t>
  </si>
  <si>
    <t>证件号码</t>
  </si>
  <si>
    <t>证件类别</t>
  </si>
  <si>
    <t>国籍地区</t>
  </si>
  <si>
    <t>姓名</t>
  </si>
  <si>
    <t>性别</t>
  </si>
  <si>
    <t>出生日期</t>
  </si>
  <si>
    <t>职务</t>
  </si>
  <si>
    <t>签证种类</t>
  </si>
  <si>
    <t>有效期</t>
  </si>
  <si>
    <t>入出境事由</t>
  </si>
  <si>
    <t>人员类别</t>
  </si>
  <si>
    <t>印度</t>
  </si>
  <si>
    <t>船长</t>
  </si>
  <si>
    <t>菲律宾</t>
  </si>
  <si>
    <t xml:space="preserve">大副 </t>
  </si>
  <si>
    <t>缅甸</t>
  </si>
  <si>
    <t xml:space="preserve">二副 </t>
  </si>
  <si>
    <t>三副</t>
  </si>
  <si>
    <t>甲板实习生</t>
  </si>
  <si>
    <t xml:space="preserve"> 轮机长</t>
  </si>
  <si>
    <t>中国</t>
  </si>
  <si>
    <t xml:space="preserve">大管轮 </t>
  </si>
  <si>
    <t>乌克兰</t>
  </si>
  <si>
    <t>二管轮</t>
  </si>
  <si>
    <t>巴基斯坦</t>
  </si>
  <si>
    <t xml:space="preserve">三管轮 </t>
  </si>
  <si>
    <t>电工</t>
  </si>
  <si>
    <t>孟加拉国</t>
  </si>
  <si>
    <t>铜匠</t>
  </si>
  <si>
    <t>斯里兰卡</t>
  </si>
  <si>
    <t>水手长</t>
  </si>
  <si>
    <t>一水</t>
  </si>
  <si>
    <t>二水</t>
  </si>
  <si>
    <t>加油</t>
  </si>
  <si>
    <t>抹油</t>
  </si>
  <si>
    <r>
      <rPr>
        <b/>
        <sz val="18"/>
        <rFont val="宋体"/>
        <charset val="134"/>
      </rPr>
      <t>船</t>
    </r>
    <r>
      <rPr>
        <b/>
        <sz val="18"/>
        <rFont val="Times New Roman"/>
        <charset val="134"/>
      </rPr>
      <t xml:space="preserve">  </t>
    </r>
    <r>
      <rPr>
        <b/>
        <sz val="18"/>
        <rFont val="宋体"/>
        <charset val="134"/>
      </rPr>
      <t>员</t>
    </r>
    <r>
      <rPr>
        <b/>
        <sz val="18"/>
        <rFont val="Times New Roman"/>
        <charset val="134"/>
      </rPr>
      <t xml:space="preserve">  </t>
    </r>
    <r>
      <rPr>
        <b/>
        <sz val="18"/>
        <rFont val="宋体"/>
        <charset val="134"/>
      </rPr>
      <t>更</t>
    </r>
    <r>
      <rPr>
        <b/>
        <sz val="18"/>
        <rFont val="Times New Roman"/>
        <charset val="134"/>
      </rPr>
      <t xml:space="preserve">  </t>
    </r>
    <r>
      <rPr>
        <b/>
        <sz val="18"/>
        <rFont val="宋体"/>
        <charset val="134"/>
      </rPr>
      <t>动</t>
    </r>
    <r>
      <rPr>
        <b/>
        <sz val="18"/>
        <rFont val="Times New Roman"/>
        <charset val="134"/>
      </rPr>
      <t xml:space="preserve">  </t>
    </r>
    <r>
      <rPr>
        <b/>
        <sz val="18"/>
        <rFont val="宋体"/>
        <charset val="134"/>
      </rPr>
      <t>报</t>
    </r>
    <r>
      <rPr>
        <b/>
        <sz val="18"/>
        <rFont val="Times New Roman"/>
        <charset val="134"/>
      </rPr>
      <t xml:space="preserve">  </t>
    </r>
    <r>
      <rPr>
        <b/>
        <sz val="18"/>
        <rFont val="宋体"/>
        <charset val="134"/>
      </rPr>
      <t>告</t>
    </r>
    <r>
      <rPr>
        <b/>
        <sz val="18"/>
        <rFont val="Times New Roman"/>
        <charset val="134"/>
      </rPr>
      <t xml:space="preserve">  </t>
    </r>
    <r>
      <rPr>
        <b/>
        <sz val="18"/>
        <rFont val="宋体"/>
        <charset val="134"/>
      </rPr>
      <t>单</t>
    </r>
  </si>
  <si>
    <t>REPORT  OF  CREW  REPLACEMENT</t>
  </si>
  <si>
    <r>
      <rPr>
        <sz val="14"/>
        <rFont val="宋体"/>
        <charset val="134"/>
      </rPr>
      <t>船</t>
    </r>
    <r>
      <rPr>
        <sz val="14"/>
        <rFont val="Times New Roman"/>
        <charset val="134"/>
      </rPr>
      <t xml:space="preserve">      </t>
    </r>
    <r>
      <rPr>
        <sz val="14"/>
        <rFont val="宋体"/>
        <charset val="134"/>
      </rPr>
      <t>名</t>
    </r>
  </si>
  <si>
    <r>
      <rPr>
        <sz val="14"/>
        <rFont val="宋体"/>
        <charset val="134"/>
      </rPr>
      <t>国</t>
    </r>
    <r>
      <rPr>
        <sz val="14"/>
        <rFont val="Times New Roman"/>
        <charset val="134"/>
      </rPr>
      <t xml:space="preserve">        </t>
    </r>
    <r>
      <rPr>
        <sz val="14"/>
        <rFont val="宋体"/>
        <charset val="134"/>
      </rPr>
      <t>籍</t>
    </r>
  </si>
  <si>
    <t>M.V.</t>
  </si>
  <si>
    <t>Nationality</t>
  </si>
  <si>
    <r>
      <rPr>
        <sz val="11"/>
        <rFont val="宋体"/>
        <charset val="134"/>
      </rPr>
      <t>姓</t>
    </r>
    <r>
      <rPr>
        <sz val="11"/>
        <rFont val="Times New Roman"/>
        <charset val="134"/>
      </rPr>
      <t xml:space="preserve">       </t>
    </r>
    <r>
      <rPr>
        <sz val="11"/>
        <rFont val="宋体"/>
        <charset val="134"/>
      </rPr>
      <t>名</t>
    </r>
  </si>
  <si>
    <r>
      <rPr>
        <sz val="11"/>
        <rFont val="宋体"/>
        <charset val="134"/>
      </rPr>
      <t>国</t>
    </r>
    <r>
      <rPr>
        <sz val="11"/>
        <rFont val="Times New Roman"/>
        <charset val="134"/>
      </rPr>
      <t xml:space="preserve">       </t>
    </r>
    <r>
      <rPr>
        <sz val="11"/>
        <rFont val="宋体"/>
        <charset val="134"/>
      </rPr>
      <t>籍</t>
    </r>
  </si>
  <si>
    <r>
      <rPr>
        <sz val="11"/>
        <rFont val="宋体"/>
        <charset val="134"/>
      </rPr>
      <t>职别</t>
    </r>
  </si>
  <si>
    <t>护照/海员证字号</t>
  </si>
  <si>
    <r>
      <rPr>
        <sz val="11"/>
        <rFont val="宋体"/>
        <charset val="134"/>
      </rPr>
      <t>更动原因</t>
    </r>
  </si>
  <si>
    <t>Name of  Replacement</t>
  </si>
  <si>
    <t>Date of Birth</t>
  </si>
  <si>
    <t>Rank</t>
  </si>
  <si>
    <t>Passport Number/
Seaman's Number</t>
  </si>
  <si>
    <t>Reason of Replacement</t>
  </si>
  <si>
    <t>MARIGON JUNE AGREDA</t>
  </si>
  <si>
    <t>轮机长</t>
  </si>
  <si>
    <r>
      <rPr>
        <b/>
        <sz val="10"/>
        <rFont val="宋体"/>
        <charset val="134"/>
      </rPr>
      <t>护照</t>
    </r>
    <r>
      <rPr>
        <b/>
        <sz val="10"/>
        <rFont val="Times New Roman"/>
        <charset val="134"/>
      </rPr>
      <t>/P4794223A</t>
    </r>
  </si>
  <si>
    <t>离船</t>
  </si>
  <si>
    <r>
      <rPr>
        <sz val="12"/>
        <color indexed="8"/>
        <rFont val="宋体"/>
        <charset val="134"/>
      </rPr>
      <t>船</t>
    </r>
    <r>
      <rPr>
        <sz val="12"/>
        <color indexed="8"/>
        <rFont val="Times New Roman"/>
        <charset val="134"/>
      </rPr>
      <t xml:space="preserve"> </t>
    </r>
    <r>
      <rPr>
        <sz val="12"/>
        <color indexed="8"/>
        <rFont val="宋体"/>
        <charset val="134"/>
      </rPr>
      <t>长</t>
    </r>
    <r>
      <rPr>
        <sz val="12"/>
        <color indexed="8"/>
        <rFont val="Times New Roman"/>
        <charset val="134"/>
      </rPr>
      <t xml:space="preserve"> </t>
    </r>
    <r>
      <rPr>
        <sz val="12"/>
        <color indexed="8"/>
        <rFont val="宋体"/>
        <charset val="134"/>
      </rPr>
      <t>签</t>
    </r>
    <r>
      <rPr>
        <sz val="12"/>
        <color indexed="8"/>
        <rFont val="Times New Roman"/>
        <charset val="134"/>
      </rPr>
      <t xml:space="preserve"> </t>
    </r>
    <r>
      <rPr>
        <sz val="12"/>
        <color indexed="8"/>
        <rFont val="宋体"/>
        <charset val="134"/>
      </rPr>
      <t>名</t>
    </r>
  </si>
  <si>
    <t>Signature of Master:</t>
  </si>
  <si>
    <t>Guangzhou Port Unitrans Agency Co., Ltd.</t>
  </si>
  <si>
    <r>
      <rPr>
        <sz val="14"/>
        <color indexed="8"/>
        <rFont val="宋体"/>
        <charset val="134"/>
      </rPr>
      <t>日</t>
    </r>
    <r>
      <rPr>
        <sz val="14"/>
        <rFont val="Times New Roman"/>
        <charset val="134"/>
      </rPr>
      <t xml:space="preserve">  </t>
    </r>
    <r>
      <rPr>
        <sz val="14"/>
        <color indexed="8"/>
        <rFont val="宋体"/>
        <charset val="134"/>
      </rPr>
      <t>期</t>
    </r>
  </si>
  <si>
    <t>Date:</t>
  </si>
  <si>
    <t>12.BODY
TEMPERATURE</t>
  </si>
  <si>
    <t>BINKOVSKY ANDRIY</t>
  </si>
  <si>
    <t>BILINS'KY ANDRIY</t>
  </si>
  <si>
    <t>ET549562</t>
  </si>
  <si>
    <t>OGANA ROGELIO PENTON</t>
  </si>
  <si>
    <t>DIACHENKO VASYL</t>
  </si>
  <si>
    <t>ET112764</t>
  </si>
  <si>
    <t>ET529509</t>
  </si>
  <si>
    <t>BILANGO JEAN CONSULAR</t>
  </si>
  <si>
    <t>F</t>
  </si>
  <si>
    <t>SUPERNUMERARY</t>
  </si>
  <si>
    <t>FILIPINO</t>
  </si>
  <si>
    <t>SAN MIGUEL BULACAN</t>
  </si>
  <si>
    <t>EB9781010</t>
  </si>
  <si>
    <t>交通运营单位：广州联合国际船舶代理有限公司</t>
  </si>
  <si>
    <t xml:space="preserve">移交时间：                        </t>
  </si>
  <si>
    <t xml:space="preserve">移交人：                          </t>
  </si>
  <si>
    <t>检验检疫机构：南沙海关</t>
  </si>
  <si>
    <t xml:space="preserve">移交时间：                   </t>
  </si>
  <si>
    <t xml:space="preserve">移交人：                     </t>
  </si>
  <si>
    <t>APPLICATION FOR LANDING PERMIT</t>
  </si>
  <si>
    <t>TO:</t>
  </si>
  <si>
    <t>NANSHA</t>
  </si>
  <si>
    <t>Immigration Inspection Station</t>
  </si>
  <si>
    <t>There are</t>
  </si>
  <si>
    <t>crew members on board my ship in this</t>
  </si>
  <si>
    <t>voyage. Among them</t>
  </si>
  <si>
    <t>persons request to apply for landing</t>
  </si>
  <si>
    <t xml:space="preserve">permit. </t>
  </si>
  <si>
    <t>Ship's  Name</t>
  </si>
  <si>
    <t>Captain's  Signature</t>
  </si>
  <si>
    <r>
      <rPr>
        <b/>
        <sz val="10"/>
        <rFont val="Times New Roman"/>
        <charset val="134"/>
      </rPr>
      <t xml:space="preserve">ENTRY-EXIT INSPECTION AND QUARANTINE OF THE PEOPLES REPUBLIC OF CHINA
</t>
    </r>
    <r>
      <rPr>
        <b/>
        <sz val="18"/>
        <rFont val="Times New Roman"/>
        <charset val="134"/>
      </rPr>
      <t>MERITIME DECLARATION OF HEALTH</t>
    </r>
    <r>
      <rPr>
        <b/>
        <sz val="10"/>
        <rFont val="Times New Roman"/>
        <charset val="134"/>
      </rPr>
      <t xml:space="preserve">
To be completed and submitted to the competent authorities of Inspection
and Quarantine by the master of  Entry-exit ships</t>
    </r>
  </si>
  <si>
    <t xml:space="preserve">Submitted at the port of </t>
  </si>
  <si>
    <t>Name of ship or inland navigation vessel</t>
  </si>
  <si>
    <t>IMO No</t>
  </si>
  <si>
    <t>Master's name</t>
  </si>
  <si>
    <t>Entry ship:arriving from</t>
  </si>
  <si>
    <t>Arrival date and time:</t>
  </si>
  <si>
    <t>Exit ship:sailing to</t>
  </si>
  <si>
    <t>Departure date and time:</t>
  </si>
  <si>
    <t>Gross tonnage(ship)</t>
  </si>
  <si>
    <t>Is there ballasting water on board? Yes</t>
  </si>
  <si>
    <t>Any radioactive cargo on board? Yes</t>
  </si>
  <si>
    <t>√</t>
  </si>
  <si>
    <t>No</t>
  </si>
  <si>
    <t>food and drinking water loading ports?</t>
  </si>
  <si>
    <t>SINGAPORE</t>
  </si>
  <si>
    <t>Valid Sanitation Control Exemption/Control Certificate carried on board? Yes</t>
  </si>
  <si>
    <t>Issued at</t>
  </si>
  <si>
    <t>date</t>
  </si>
  <si>
    <t>Has ship/vessel visited an affected area identified by the World Health Organization? Yes</t>
  </si>
  <si>
    <t>If yes, Port and date of visit</t>
  </si>
  <si>
    <t>List ports of call from commencement of voyage with dates of departure,or within past four weeks,whichever is shorter:</t>
  </si>
  <si>
    <t>As Per ATTACHED PORT OF CALL ATTACHED</t>
  </si>
  <si>
    <t>Upon request of the competent authority at the port of arrival,list crew members,passengers or other persons who have joined ship/ves</t>
  </si>
  <si>
    <t>sel since international voyage began or within past four weeks,whichever is shorter,including all port/countries visited in this period</t>
  </si>
  <si>
    <t>(add additional names to the attached schedule):</t>
  </si>
  <si>
    <t>(1)</t>
  </si>
  <si>
    <t>Name</t>
  </si>
  <si>
    <t>NIL</t>
  </si>
  <si>
    <r>
      <rPr>
        <sz val="9"/>
        <rFont val="Times New Roman"/>
        <charset val="134"/>
      </rPr>
      <t>joined from:</t>
    </r>
    <r>
      <rPr>
        <sz val="9"/>
        <rFont val="宋体"/>
        <charset val="134"/>
      </rPr>
      <t>①</t>
    </r>
  </si>
  <si>
    <t>②</t>
  </si>
  <si>
    <t>③</t>
  </si>
  <si>
    <t>(2)</t>
  </si>
  <si>
    <t>(3)</t>
  </si>
  <si>
    <t>Number of crew members on board</t>
  </si>
  <si>
    <t>Number of passengers on board</t>
  </si>
  <si>
    <t>Health questions</t>
  </si>
  <si>
    <t>Has any person died on board during the voyage otherwise than as a result of accident?</t>
  </si>
  <si>
    <t>Yes</t>
  </si>
  <si>
    <t>If yes,state particulars in attached schedule. Total No. of deaths</t>
  </si>
  <si>
    <t>.</t>
  </si>
  <si>
    <t>Is there on board or has there been during the international voyage any case of disease</t>
  </si>
  <si>
    <t>which you suspect to be of an infectious nature?</t>
  </si>
  <si>
    <t xml:space="preserve">If yes,state particulars in attached schedule. </t>
  </si>
  <si>
    <t>Has the total number of ill passengers during the voyage been greater than normal/expected?</t>
  </si>
  <si>
    <t>How many ill persons?</t>
  </si>
  <si>
    <t>person(s)</t>
  </si>
  <si>
    <t>(4)</t>
  </si>
  <si>
    <t>Is there any ill person on board now?</t>
  </si>
  <si>
    <t>(5)</t>
  </si>
  <si>
    <t>Was a medical practitioner consulted?</t>
  </si>
  <si>
    <t>(6)</t>
  </si>
  <si>
    <t xml:space="preserve">If yes,state particulars of medical treatment or advice provided in attached schedule. </t>
  </si>
  <si>
    <t>Are you aware of any vondition on board which may lead to infection or spread of disease?</t>
  </si>
  <si>
    <t>(7)</t>
  </si>
  <si>
    <t>Has any sanitary measure(e.g. quarantine,isolation,disinfection or decontamination) been applied on board?</t>
  </si>
  <si>
    <t>If yes,specify type,place and date</t>
  </si>
  <si>
    <t>(8)</t>
  </si>
  <si>
    <t>Have any stowaways been found on board?</t>
  </si>
  <si>
    <t>If yes,where did they join the ship(if known)?</t>
  </si>
  <si>
    <t>(9)</t>
  </si>
  <si>
    <t>Is there a sick animal or pet on board?</t>
  </si>
  <si>
    <t>(10)</t>
  </si>
  <si>
    <t>Have the crew and passengers had any the certificate of vaccination?</t>
  </si>
  <si>
    <t>If have,how many?</t>
  </si>
  <si>
    <t>(11)</t>
  </si>
  <si>
    <t>Have the crew and passengers had any the certificate of health examination for international traveler?</t>
  </si>
  <si>
    <t>Note: In the absence of a surgeon,the master should regard the following symptoms as grounds for suspecting the existence of a disease of an infectious nature:</t>
  </si>
  <si>
    <t>(a)fever,persisting for several days or accompanied by(i) prostration; (ii) decreased consciousness;(iii)glandular swelling; (iv) jaundice;</t>
  </si>
  <si>
    <t>(v) cough or shortness of breath; (vi) unusual bleeding; (vii) paralysis.</t>
  </si>
  <si>
    <t>(b)with or without fever: (i) any acute skin rash or eruption; (ii) severe vomiting (other than sea sickness); (iii) severe diarrhoea; or (iv) re-</t>
  </si>
  <si>
    <t xml:space="preserve">    current convulsions.</t>
  </si>
  <si>
    <t>I hereby declare that the particulars and answers to the questions given in this Declaration of Health (including the schedule) are true</t>
  </si>
  <si>
    <t>and correct to the best of my knowledge and belief.</t>
  </si>
  <si>
    <t>Signature of Captain</t>
  </si>
  <si>
    <t>Countersignature of Ship's surgeon (if carried)</t>
  </si>
  <si>
    <t>[1-4E(2008.1.1)*1]</t>
  </si>
  <si>
    <t>马士基奋进</t>
  </si>
  <si>
    <t>巴拿马</t>
  </si>
  <si>
    <t>集装箱轮</t>
  </si>
  <si>
    <t>ERASMUS EFFORT</t>
  </si>
  <si>
    <t>PANAMA</t>
  </si>
  <si>
    <t>Container</t>
  </si>
  <si>
    <t>IMO:1032452</t>
  </si>
  <si>
    <t>10086/782</t>
  </si>
  <si>
    <t>3E8968</t>
  </si>
  <si>
    <t>740 KW</t>
  </si>
  <si>
    <t>TS LINE</t>
  </si>
  <si>
    <t>N/A</t>
  </si>
  <si>
    <t>SSCEC</t>
  </si>
  <si>
    <t>PORT KLANG</t>
  </si>
  <si>
    <t>YES</t>
  </si>
  <si>
    <t>Cotonou</t>
  </si>
  <si>
    <t>NO</t>
  </si>
  <si>
    <t>中  华  人  民  共  和  国  出  入  境  检  验  检  疫</t>
  </si>
  <si>
    <t>ENTRY-EXIT  INSPECTION  AND  QUARANTINE  OF  THE PEOPLE'S  REPUBLIC  OF  CHINA</t>
  </si>
  <si>
    <t>压  舱  水  申  报  单</t>
  </si>
  <si>
    <t>BALLAST    WATER    REPORTING    FORM</t>
  </si>
  <si>
    <t>船名</t>
  </si>
  <si>
    <t>国籍</t>
  </si>
  <si>
    <t>到达港口</t>
  </si>
  <si>
    <t>到达日期</t>
  </si>
  <si>
    <t>Name of Ship</t>
  </si>
  <si>
    <t>Arrival Port</t>
  </si>
  <si>
    <t>Arrival Date</t>
  </si>
  <si>
    <t>船舶所有人</t>
  </si>
  <si>
    <t>船舶代理人</t>
  </si>
  <si>
    <t>压舱水总量（吨）</t>
  </si>
  <si>
    <t>压舱水池总数</t>
  </si>
  <si>
    <t>Manager</t>
  </si>
  <si>
    <t>Agent</t>
  </si>
  <si>
    <t>Total Ballast on Board (tonnes)</t>
  </si>
  <si>
    <t>Total Number of Ballast Tanks</t>
  </si>
  <si>
    <t>是否需要在中国某一港口排放压舱水？</t>
  </si>
  <si>
    <t>是 Yes</t>
  </si>
  <si>
    <t>Do you intend discharging any ballast water in a Chinese port?</t>
  </si>
  <si>
    <t>否 No</t>
  </si>
  <si>
    <t>压舱水箱/舱
Ballast Tanks/
Holds</t>
  </si>
  <si>
    <t>压舱水来源
BW Source</t>
  </si>
  <si>
    <t>压舱水更换(最近三次) BW Exchange (Last Three Exchange) 使用方法 Method used：清空 Empty / 灌注 Refill □ / 灌流 Flow Through □</t>
  </si>
  <si>
    <t>预计在中国港口排放压舱水情况
Best Estimate of BW Discharge in Chinese Ports</t>
  </si>
  <si>
    <t>装载日期
Date of Uptake</t>
  </si>
  <si>
    <t>装载地点
Location of Uptake</t>
  </si>
  <si>
    <t>装载量(吨)
Vol.taken Up(tons)</t>
  </si>
  <si>
    <t>更换日期
Date of Exchange</t>
  </si>
  <si>
    <t>起始点
Start Point</t>
  </si>
  <si>
    <t>终止点
End Point</t>
  </si>
  <si>
    <t>更换量(吨)
Vol.Exchange (tons)</t>
  </si>
  <si>
    <t>更换百分比(%)
Exch. Percent</t>
  </si>
  <si>
    <t>排放港口
Ports</t>
  </si>
  <si>
    <t>排放日期
Date</t>
  </si>
  <si>
    <t>排放量
Vol. (tons)</t>
  </si>
  <si>
    <t>经度
LAT</t>
  </si>
  <si>
    <t>纬度
LONG</t>
  </si>
  <si>
    <t>4LSP</t>
  </si>
  <si>
    <r>
      <rPr>
        <sz val="10"/>
        <color indexed="8"/>
        <rFont val="宋体"/>
        <charset val="134"/>
      </rPr>
      <t>S</t>
    </r>
    <r>
      <rPr>
        <sz val="10"/>
        <color indexed="8"/>
        <rFont val="宋体"/>
        <charset val="134"/>
      </rPr>
      <t>INGAPORE</t>
    </r>
  </si>
  <si>
    <t>06-16S</t>
  </si>
  <si>
    <t>078-20E</t>
  </si>
  <si>
    <t>06-06E</t>
  </si>
  <si>
    <t>078-33E</t>
  </si>
  <si>
    <t>4LSS</t>
  </si>
  <si>
    <t>4SP</t>
  </si>
  <si>
    <t>03-12S</t>
  </si>
  <si>
    <t>082-36E</t>
  </si>
  <si>
    <t>03-02S</t>
  </si>
  <si>
    <t>082-49E</t>
  </si>
  <si>
    <t>4SS</t>
  </si>
  <si>
    <t>5SS</t>
  </si>
  <si>
    <t>03-13S</t>
  </si>
  <si>
    <t>082-37E</t>
  </si>
  <si>
    <t>03-03S</t>
  </si>
  <si>
    <t>082-50E</t>
  </si>
  <si>
    <t>6SS</t>
  </si>
  <si>
    <t>03-14S</t>
  </si>
  <si>
    <t>082-38E</t>
  </si>
  <si>
    <t>03-04S</t>
  </si>
  <si>
    <t>082-51E</t>
  </si>
  <si>
    <t>船长签名</t>
  </si>
  <si>
    <t>日期</t>
  </si>
  <si>
    <t>Signature of Master</t>
  </si>
  <si>
    <t>出/入境船舶检验检疫记录单</t>
  </si>
  <si>
    <t>报检编号：</t>
  </si>
  <si>
    <t>检疫地点：</t>
  </si>
  <si>
    <t>类别</t>
  </si>
  <si>
    <t xml:space="preserve"> 客轮</t>
  </si>
  <si>
    <t xml:space="preserve"> 货轮</t>
  </si>
  <si>
    <t xml:space="preserve"> 其他</t>
  </si>
  <si>
    <t>旅客人数</t>
  </si>
  <si>
    <t>总吨</t>
  </si>
  <si>
    <t>净吨</t>
  </si>
  <si>
    <t>启运/目的港</t>
  </si>
  <si>
    <t>启运/抵港日期</t>
  </si>
  <si>
    <t>停靠港</t>
  </si>
  <si>
    <t>载货种类</t>
  </si>
  <si>
    <t>集装箱</t>
  </si>
  <si>
    <t>总数/重量</t>
  </si>
  <si>
    <t>装柜</t>
  </si>
  <si>
    <t>40'重:</t>
  </si>
  <si>
    <t>20'重:</t>
  </si>
  <si>
    <t>40'吉:</t>
  </si>
  <si>
    <t>20'吉:</t>
  </si>
  <si>
    <t>卸柜</t>
  </si>
  <si>
    <t>货物是否已作熏蒸处理</t>
  </si>
  <si>
    <t>是</t>
  </si>
  <si>
    <t>否</t>
  </si>
  <si>
    <t>是否有植物性包装材料</t>
  </si>
  <si>
    <t>自</t>
  </si>
  <si>
    <t>至</t>
  </si>
  <si>
    <t>装载货物名称</t>
  </si>
  <si>
    <t>途经疫区类别</t>
  </si>
  <si>
    <t>鼠  疫</t>
  </si>
  <si>
    <t>霍  乱</t>
  </si>
  <si>
    <t xml:space="preserve">  黄  热  病</t>
  </si>
  <si>
    <t xml:space="preserve"> 非  洲  猪  瘟</t>
  </si>
  <si>
    <t>口蹄疫</t>
  </si>
  <si>
    <t>疯牛病</t>
  </si>
  <si>
    <t xml:space="preserve">  其他动植物病虫害疫区</t>
  </si>
  <si>
    <t xml:space="preserve"> 其他烈性传染病</t>
  </si>
  <si>
    <t>船员/旅客健康情况</t>
  </si>
  <si>
    <t>船员/旅客因病变动情况</t>
  </si>
  <si>
    <t>无</t>
  </si>
  <si>
    <t>压舱水情况</t>
  </si>
  <si>
    <t>有</t>
  </si>
  <si>
    <t>是否在本港排放</t>
  </si>
  <si>
    <t>食品装载港</t>
  </si>
  <si>
    <t>饮用水装载港</t>
  </si>
  <si>
    <t xml:space="preserve">    良  好</t>
  </si>
  <si>
    <t xml:space="preserve">    一  般</t>
  </si>
  <si>
    <t xml:space="preserve">        差</t>
  </si>
  <si>
    <t xml:space="preserve">    其  他</t>
  </si>
  <si>
    <t xml:space="preserve"> 伴侣动物和/或鸟类</t>
  </si>
  <si>
    <t xml:space="preserve">  有</t>
  </si>
  <si>
    <t>来自</t>
  </si>
  <si>
    <t xml:space="preserve"> 否</t>
  </si>
  <si>
    <t xml:space="preserve"> 水果和/或蔬菜</t>
  </si>
  <si>
    <t xml:space="preserve"> 花卉盆景</t>
  </si>
  <si>
    <t xml:space="preserve"> 肉类、香肠、熏肉/家禽产品 </t>
  </si>
  <si>
    <t xml:space="preserve"> 其他类</t>
  </si>
  <si>
    <t xml:space="preserve"> 船舶卫生证书情况</t>
  </si>
  <si>
    <t>有效</t>
  </si>
  <si>
    <t>过期</t>
  </si>
  <si>
    <t>签发港及日期</t>
  </si>
  <si>
    <t>20  年  月  日</t>
  </si>
  <si>
    <t xml:space="preserve"> 健康证书及预防接种情况</t>
  </si>
  <si>
    <t xml:space="preserve"> 免予/卫生控制措施证书</t>
  </si>
  <si>
    <t xml:space="preserve"> 检疫情况及处理措施：</t>
  </si>
  <si>
    <t xml:space="preserve"> 检疫人员：</t>
  </si>
  <si>
    <t>登轮时间：</t>
  </si>
  <si>
    <t>年</t>
  </si>
  <si>
    <t>月</t>
  </si>
  <si>
    <t>日</t>
  </si>
  <si>
    <t>时</t>
  </si>
  <si>
    <t>分</t>
  </si>
  <si>
    <t xml:space="preserve"> 审    核：</t>
  </si>
  <si>
    <t>签证时间：</t>
  </si>
  <si>
    <t>7532 吨</t>
  </si>
  <si>
    <t>良好</t>
  </si>
  <si>
    <t>船舶卫生状况</t>
  </si>
  <si>
    <t xml:space="preserve">            交通运输工具入境检疫签证申请单</t>
  </si>
  <si>
    <t>APPLICATION FORM OF QUARANTINE INSPECTION ON</t>
  </si>
  <si>
    <t>IMPORT OF CONVEYANCE</t>
  </si>
  <si>
    <t>编号：</t>
  </si>
  <si>
    <t>中华人民共和国南沙出入境检验检疫局：</t>
  </si>
  <si>
    <t>NANSHA Entry-Exit inspection and Quarantine Bureau of the People’s Republic of China:</t>
  </si>
  <si>
    <r>
      <rPr>
        <sz val="12"/>
        <color indexed="8"/>
        <rFont val="宋体"/>
        <charset val="134"/>
      </rPr>
      <t>现向贵局申请本交通工具入境检疫</t>
    </r>
    <r>
      <rPr>
        <sz val="12"/>
        <color indexed="8"/>
        <rFont val="Times New Roman"/>
        <charset val="134"/>
      </rPr>
      <t>,</t>
    </r>
    <r>
      <rPr>
        <sz val="12"/>
        <color indexed="8"/>
        <rFont val="宋体"/>
        <charset val="134"/>
      </rPr>
      <t>并根据检查结果发给入境检疫证。</t>
    </r>
  </si>
  <si>
    <t>I hereby apply for a quarantine inspection of import on my conveyance and issue a quarantine</t>
  </si>
  <si>
    <t>certificate for import of conveyance on the basis of the inspection results.</t>
  </si>
  <si>
    <t>交通工具名称及号码</t>
  </si>
  <si>
    <t>Name &amp; No. of Conveyance</t>
  </si>
  <si>
    <r>
      <rPr>
        <b/>
        <sz val="10.5"/>
        <color indexed="8"/>
        <rFont val="宋体"/>
        <charset val="134"/>
      </rPr>
      <t>登记号</t>
    </r>
    <r>
      <rPr>
        <b/>
        <sz val="10.5"/>
        <color indexed="8"/>
        <rFont val="Times New Roman"/>
        <charset val="134"/>
      </rPr>
      <t>/IMO</t>
    </r>
    <r>
      <rPr>
        <b/>
        <sz val="10.5"/>
        <color indexed="8"/>
        <rFont val="宋体"/>
        <charset val="134"/>
      </rPr>
      <t>编号</t>
    </r>
  </si>
  <si>
    <t>所有人</t>
  </si>
  <si>
    <t>马士基中国航运</t>
  </si>
  <si>
    <t>Registration/IMO No.</t>
  </si>
  <si>
    <t>Owner of Conveyance</t>
  </si>
  <si>
    <t>MSK</t>
  </si>
  <si>
    <r>
      <rPr>
        <b/>
        <sz val="10.5"/>
        <color indexed="8"/>
        <rFont val="宋体"/>
        <charset val="134"/>
      </rPr>
      <t>启运港</t>
    </r>
    <r>
      <rPr>
        <b/>
        <sz val="10.5"/>
        <color indexed="8"/>
        <rFont val="Times New Roman"/>
        <charset val="134"/>
      </rPr>
      <t>/</t>
    </r>
    <r>
      <rPr>
        <b/>
        <sz val="10.5"/>
        <color indexed="8"/>
        <rFont val="宋体"/>
        <charset val="134"/>
      </rPr>
      <t>站</t>
    </r>
  </si>
  <si>
    <r>
      <rPr>
        <b/>
        <sz val="10.5"/>
        <color indexed="8"/>
        <rFont val="宋体"/>
        <charset val="134"/>
      </rPr>
      <t>途中停靠港</t>
    </r>
    <r>
      <rPr>
        <b/>
        <sz val="10.5"/>
        <color indexed="8"/>
        <rFont val="Times New Roman"/>
        <charset val="134"/>
      </rPr>
      <t>/</t>
    </r>
    <r>
      <rPr>
        <b/>
        <sz val="10.5"/>
        <color indexed="8"/>
        <rFont val="宋体"/>
        <charset val="134"/>
      </rPr>
      <t>站</t>
    </r>
  </si>
  <si>
    <t>Port/Station of Departure</t>
  </si>
  <si>
    <t>Port/Station of Call</t>
  </si>
  <si>
    <r>
      <rPr>
        <b/>
        <sz val="10.5"/>
        <color indexed="8"/>
        <rFont val="宋体"/>
        <charset val="134"/>
      </rPr>
      <t>到达港</t>
    </r>
    <r>
      <rPr>
        <b/>
        <sz val="10.5"/>
        <color indexed="8"/>
        <rFont val="Times New Roman"/>
        <charset val="134"/>
      </rPr>
      <t>/</t>
    </r>
    <r>
      <rPr>
        <b/>
        <sz val="10.5"/>
        <color indexed="8"/>
        <rFont val="宋体"/>
        <charset val="134"/>
      </rPr>
      <t>站</t>
    </r>
  </si>
  <si>
    <t>到港日期及时间</t>
  </si>
  <si>
    <t>Port/Station of Arrival</t>
  </si>
  <si>
    <t>Date and Time of Arrival</t>
  </si>
  <si>
    <r>
      <rPr>
        <b/>
        <sz val="10.5"/>
        <color indexed="8"/>
        <rFont val="宋体"/>
        <charset val="134"/>
      </rPr>
      <t>仓</t>
    </r>
    <r>
      <rPr>
        <b/>
        <sz val="10.5"/>
        <color indexed="8"/>
        <rFont val="Times New Roman"/>
        <charset val="134"/>
      </rPr>
      <t>/</t>
    </r>
    <r>
      <rPr>
        <b/>
        <sz val="10.5"/>
        <color indexed="8"/>
        <rFont val="宋体"/>
        <charset val="134"/>
      </rPr>
      <t>箱节数</t>
    </r>
  </si>
  <si>
    <t>Gross Tons</t>
  </si>
  <si>
    <t>Quantity of Cabins/Carriages</t>
  </si>
  <si>
    <t>——20人——</t>
  </si>
  <si>
    <t>代理人</t>
  </si>
  <si>
    <t>Crew member</t>
  </si>
  <si>
    <t>TWENTY  PERSONS</t>
  </si>
  <si>
    <t>Agent of Conveyance</t>
  </si>
  <si>
    <t>联系人</t>
  </si>
  <si>
    <t>联系电话</t>
  </si>
  <si>
    <t>Telephone</t>
  </si>
  <si>
    <r>
      <rPr>
        <b/>
        <sz val="10.5"/>
        <color indexed="8"/>
        <rFont val="Times New Roman"/>
        <charset val="134"/>
      </rPr>
      <t>*</t>
    </r>
    <r>
      <rPr>
        <b/>
        <sz val="10.5"/>
        <color indexed="8"/>
        <rFont val="宋体"/>
        <charset val="134"/>
      </rPr>
      <t>签字</t>
    </r>
  </si>
  <si>
    <r>
      <rPr>
        <sz val="10.5"/>
        <color indexed="8"/>
        <rFont val="Times New Roman"/>
        <charset val="134"/>
      </rPr>
      <t xml:space="preserve"> </t>
    </r>
    <r>
      <rPr>
        <b/>
        <sz val="10.5"/>
        <color indexed="8"/>
        <rFont val="宋体"/>
        <charset val="134"/>
      </rPr>
      <t>申请日期及时间</t>
    </r>
  </si>
  <si>
    <t>Captain Signature</t>
  </si>
  <si>
    <t>Date and Time of Application</t>
  </si>
  <si>
    <t>附随单据</t>
  </si>
  <si>
    <t>船员名单 □</t>
  </si>
  <si>
    <t>载货清单 □</t>
  </si>
  <si>
    <t>食品仓存货清单 □</t>
  </si>
  <si>
    <t>Bills Attached</t>
  </si>
  <si>
    <t>Name List of Crew</t>
  </si>
  <si>
    <t>List of Goods</t>
  </si>
  <si>
    <t>List of Reserved Foods</t>
  </si>
  <si>
    <t>*签字栏应由船长、机长或车长签字</t>
  </si>
  <si>
    <t xml:space="preserve">    广东出入境检验检疫局制</t>
  </si>
  <si>
    <t xml:space="preserve">            交通运输工具出境检疫签证申请单</t>
  </si>
  <si>
    <t>EXPORT OF CONVEYANCE</t>
  </si>
  <si>
    <r>
      <rPr>
        <sz val="12"/>
        <color indexed="8"/>
        <rFont val="宋体"/>
        <charset val="134"/>
      </rPr>
      <t>现向贵局申请本交通工具出境检疫</t>
    </r>
    <r>
      <rPr>
        <sz val="12"/>
        <color indexed="8"/>
        <rFont val="Times New Roman"/>
        <charset val="134"/>
      </rPr>
      <t>,</t>
    </r>
    <r>
      <rPr>
        <sz val="12"/>
        <color indexed="8"/>
        <rFont val="宋体"/>
        <charset val="134"/>
      </rPr>
      <t>并根据检查结果发给出境检疫证。</t>
    </r>
  </si>
  <si>
    <t>I hereby apply for a quarantine inspection of export on my conveyance and issue a quarantine</t>
  </si>
  <si>
    <t>certificate for export of conveyance on the basis of the inspection results.</t>
  </si>
  <si>
    <t>离港日期及时间</t>
  </si>
  <si>
    <t>Date and Time of Departure</t>
  </si>
  <si>
    <t>龙穴岛办事处</t>
  </si>
  <si>
    <t>船舶检疫工作流程登记表</t>
  </si>
  <si>
    <t>检务计收费</t>
  </si>
  <si>
    <t>受理报检</t>
  </si>
  <si>
    <t>日    期</t>
  </si>
  <si>
    <t xml:space="preserve"> 船舶检疫：￥</t>
  </si>
  <si>
    <t xml:space="preserve"> 签发证：￥</t>
  </si>
  <si>
    <t xml:space="preserve"> 其他：￥</t>
  </si>
  <si>
    <t>；</t>
  </si>
  <si>
    <t>合计：￥              （元）</t>
  </si>
  <si>
    <t>收费人</t>
  </si>
  <si>
    <t>审核人：</t>
  </si>
  <si>
    <t>20   年   月   日</t>
  </si>
  <si>
    <t>说明：因航行港澳船舶通过自动应答系统自行打印出（入）境检疫证，港澳进行出（入）境报检无需填写以下表格。</t>
  </si>
  <si>
    <t>签发人：</t>
  </si>
  <si>
    <t>备    注</t>
  </si>
  <si>
    <t>经办人：</t>
  </si>
  <si>
    <t>出（入）境检疫证/卫生证/卫生控制证书印刷号</t>
  </si>
  <si>
    <t>批准人：</t>
  </si>
  <si>
    <t>说明：</t>
  </si>
  <si>
    <t>本表加附在报检面单之后</t>
  </si>
  <si>
    <t>广州联合国际船舶代理有限公司</t>
  </si>
  <si>
    <t>IN</t>
  </si>
  <si>
    <t>OUT</t>
  </si>
  <si>
    <t xml:space="preserve">   </t>
  </si>
  <si>
    <t>护照</t>
  </si>
  <si>
    <t>MESSMAN</t>
  </si>
  <si>
    <t>MANILA</t>
  </si>
  <si>
    <t>呼号：</t>
  </si>
  <si>
    <t>船舶吨税执照申请书</t>
  </si>
  <si>
    <t>航次号：</t>
  </si>
  <si>
    <t>Application for Tonnage Dues Certificate</t>
  </si>
  <si>
    <r>
      <rPr>
        <sz val="12"/>
        <rFont val="Times New Roman"/>
        <charset val="134"/>
      </rPr>
      <t>IMO</t>
    </r>
    <r>
      <rPr>
        <sz val="12"/>
        <rFont val="宋体"/>
        <charset val="134"/>
      </rPr>
      <t>：</t>
    </r>
  </si>
  <si>
    <r>
      <rPr>
        <sz val="10"/>
        <rFont val="Times New Roman"/>
        <charset val="134"/>
      </rPr>
      <t xml:space="preserve">         </t>
    </r>
    <r>
      <rPr>
        <sz val="10"/>
        <rFont val="宋体"/>
        <charset val="134"/>
      </rPr>
      <t>按照《中华人民共和国船舶吨税暂行办法》的规定，检同有关证件（包括国籍证书、吨位证书、或当地</t>
    </r>
  </si>
  <si>
    <t>港务机关的证明文件），开具下列事项，请予完成纳船舶吨税，并发给船舶吨税执照。</t>
  </si>
  <si>
    <t xml:space="preserve">        In compliance with the provisions of the Provisional Regulations Governing the collection of Tonnage </t>
  </si>
  <si>
    <t xml:space="preserve">Dues of the People's Republic of China, I hereby submit the following particulars together with the relevant </t>
  </si>
  <si>
    <t xml:space="preserve">documents (including the Certificate of Nationality, the Tonnage Measurement Certificate or supporting </t>
  </si>
  <si>
    <t xml:space="preserve">documents issued by the Harbour Authorities concerned) with the request for the issue of a Tonnage Dues </t>
  </si>
  <si>
    <t>Certificate upon payment of Tonnage Dues.</t>
  </si>
  <si>
    <t>1.</t>
  </si>
  <si>
    <t>2.</t>
  </si>
  <si>
    <t>船舶类型</t>
  </si>
  <si>
    <t>Ship's Name</t>
  </si>
  <si>
    <t>Ship's description</t>
  </si>
  <si>
    <t>3.</t>
  </si>
  <si>
    <t>4.</t>
  </si>
  <si>
    <t>Net Tonnage</t>
  </si>
  <si>
    <t>5.</t>
  </si>
  <si>
    <t>抵口日期</t>
  </si>
  <si>
    <t>6.</t>
  </si>
  <si>
    <t>租用关系</t>
  </si>
  <si>
    <t>其他</t>
  </si>
  <si>
    <t>Arrival Time</t>
  </si>
  <si>
    <t>Charter Relation</t>
  </si>
  <si>
    <t>7.</t>
  </si>
  <si>
    <t>按九十天期或三十天期（由申请人选定一种）</t>
  </si>
  <si>
    <t>Tonnage Dues Certificate valid for 90days / 30 days ( As prefered by the applicant )</t>
  </si>
  <si>
    <r>
      <rPr>
        <b/>
        <sz val="14"/>
        <color indexed="12"/>
        <rFont val="宋体"/>
        <charset val="134"/>
      </rPr>
      <t>三十天期（</t>
    </r>
    <r>
      <rPr>
        <b/>
        <sz val="14"/>
        <color indexed="12"/>
        <rFont val="Times New Roman"/>
        <charset val="134"/>
      </rPr>
      <t>30days</t>
    </r>
    <r>
      <rPr>
        <b/>
        <sz val="14"/>
        <color indexed="12"/>
        <rFont val="宋体"/>
        <charset val="134"/>
      </rPr>
      <t>）</t>
    </r>
  </si>
  <si>
    <r>
      <rPr>
        <sz val="11"/>
        <color theme="1"/>
        <rFont val="宋体"/>
        <charset val="134"/>
      </rPr>
      <t>兹证明上列各项申报正确无论承担法律责任</t>
    </r>
    <r>
      <rPr>
        <sz val="12"/>
        <rFont val="Times New Roman"/>
        <charset val="134"/>
      </rPr>
      <t xml:space="preserve">             </t>
    </r>
  </si>
  <si>
    <r>
      <rPr>
        <sz val="11"/>
        <color theme="1"/>
        <rFont val="宋体"/>
        <charset val="134"/>
      </rPr>
      <t>此</t>
    </r>
    <r>
      <rPr>
        <sz val="12"/>
        <rFont val="Times New Roman"/>
        <charset val="134"/>
      </rPr>
      <t xml:space="preserve">      </t>
    </r>
    <r>
      <rPr>
        <sz val="11"/>
        <color indexed="8"/>
        <rFont val="宋体"/>
        <charset val="134"/>
      </rPr>
      <t>致</t>
    </r>
  </si>
  <si>
    <r>
      <rPr>
        <sz val="11"/>
        <color theme="1"/>
        <rFont val="宋体"/>
        <charset val="134"/>
      </rPr>
      <t>中华人民共和国南沙海关</t>
    </r>
    <r>
      <rPr>
        <sz val="12"/>
        <rFont val="Times New Roman"/>
        <charset val="134"/>
      </rPr>
      <t xml:space="preserve">               </t>
    </r>
  </si>
  <si>
    <t>I hereby declare that all the particulars given in this Application are true and correct. I will</t>
  </si>
  <si>
    <t>take the relevant responsibility.</t>
  </si>
  <si>
    <t xml:space="preserve">To </t>
  </si>
  <si>
    <t>Customs of the People's Republic of China</t>
  </si>
  <si>
    <r>
      <rPr>
        <sz val="11"/>
        <color theme="1"/>
        <rFont val="宋体"/>
        <charset val="134"/>
      </rPr>
      <t>代理：</t>
    </r>
    <r>
      <rPr>
        <sz val="12"/>
        <rFont val="Times New Roman"/>
        <charset val="134"/>
      </rPr>
      <t>(</t>
    </r>
    <r>
      <rPr>
        <sz val="11"/>
        <color indexed="8"/>
        <rFont val="宋体"/>
        <charset val="134"/>
      </rPr>
      <t>签名盖章</t>
    </r>
    <r>
      <rPr>
        <sz val="12"/>
        <rFont val="Times New Roman"/>
        <charset val="134"/>
      </rPr>
      <t>)</t>
    </r>
  </si>
  <si>
    <r>
      <rPr>
        <sz val="11"/>
        <color theme="1"/>
        <rFont val="宋体"/>
        <charset val="134"/>
      </rPr>
      <t>船长：</t>
    </r>
    <r>
      <rPr>
        <sz val="12"/>
        <rFont val="Times New Roman"/>
        <charset val="134"/>
      </rPr>
      <t>(</t>
    </r>
    <r>
      <rPr>
        <sz val="11"/>
        <color indexed="8"/>
        <rFont val="宋体"/>
        <charset val="134"/>
      </rPr>
      <t>签名盖章</t>
    </r>
    <r>
      <rPr>
        <sz val="12"/>
        <rFont val="Times New Roman"/>
        <charset val="134"/>
      </rPr>
      <t>)</t>
    </r>
  </si>
  <si>
    <t>Ship's agent(signature)</t>
  </si>
  <si>
    <t>Ship's captain(signature)</t>
  </si>
  <si>
    <r>
      <rPr>
        <sz val="11"/>
        <color theme="1"/>
        <rFont val="宋体"/>
        <charset val="134"/>
      </rPr>
      <t>日期</t>
    </r>
    <r>
      <rPr>
        <sz val="12"/>
        <rFont val="Times New Roman"/>
        <charset val="134"/>
      </rPr>
      <t xml:space="preserve">  </t>
    </r>
  </si>
  <si>
    <t>GUANGZHOU UNITED INTERNATIONAL</t>
  </si>
  <si>
    <t>OCEAN SHIPPING AGENCY LTD.</t>
  </si>
  <si>
    <r>
      <rPr>
        <sz val="10"/>
        <color indexed="63"/>
        <rFont val="宋体"/>
        <charset val="134"/>
      </rPr>
      <t>地址：广州市南沙区万顷沙镇龙穴大道南海港大厦</t>
    </r>
    <r>
      <rPr>
        <sz val="10"/>
        <color indexed="63"/>
        <rFont val="Times New Roman"/>
        <charset val="134"/>
      </rPr>
      <t>613</t>
    </r>
    <r>
      <rPr>
        <sz val="10"/>
        <color indexed="63"/>
        <rFont val="宋体"/>
        <charset val="134"/>
      </rPr>
      <t>室</t>
    </r>
  </si>
  <si>
    <t>邮编：511462</t>
  </si>
  <si>
    <r>
      <rPr>
        <sz val="10"/>
        <color indexed="63"/>
        <rFont val="宋体"/>
        <charset val="134"/>
      </rPr>
      <t>电话：（</t>
    </r>
    <r>
      <rPr>
        <sz val="10"/>
        <color indexed="63"/>
        <rFont val="Times New Roman"/>
        <charset val="134"/>
      </rPr>
      <t>8620</t>
    </r>
    <r>
      <rPr>
        <sz val="10"/>
        <color indexed="63"/>
        <rFont val="宋体"/>
        <charset val="134"/>
      </rPr>
      <t>）</t>
    </r>
    <r>
      <rPr>
        <sz val="10"/>
        <color indexed="63"/>
        <rFont val="Times New Roman"/>
        <charset val="134"/>
      </rPr>
      <t>39080209</t>
    </r>
  </si>
  <si>
    <t>传真：（8620）39080620</t>
  </si>
  <si>
    <r>
      <rPr>
        <sz val="10"/>
        <color indexed="63"/>
        <rFont val="宋体"/>
        <charset val="134"/>
      </rPr>
      <t>邮箱：</t>
    </r>
    <r>
      <rPr>
        <b/>
        <sz val="10"/>
        <color indexed="63"/>
        <rFont val="Times New Roman"/>
        <charset val="134"/>
      </rPr>
      <t>uniscogzns@vip.163.com</t>
    </r>
  </si>
  <si>
    <t>致南沙边防检查站：</t>
  </si>
  <si>
    <r>
      <rPr>
        <sz val="12"/>
        <color indexed="8"/>
        <rFont val="宋体"/>
        <charset val="134"/>
      </rPr>
      <t>兹有我司代理集装箱轮</t>
    </r>
  </si>
  <si>
    <t>将由</t>
  </si>
  <si>
    <t>开来，</t>
  </si>
  <si>
    <t xml:space="preserve">计划于 </t>
  </si>
  <si>
    <t>时靠泊南沙</t>
  </si>
  <si>
    <t>号泊位装卸柜；</t>
  </si>
  <si>
    <t>预计于</t>
  </si>
  <si>
    <t>时出口开往</t>
  </si>
  <si>
    <t>由于该轮靠港</t>
  </si>
  <si>
    <t>时间短暂，特此向贵站提前报告！</t>
  </si>
  <si>
    <t>该轮的最新动态我司会及时报告给贵站。敬请给予办理该轮的预检</t>
  </si>
  <si>
    <t>以及进出口手续！谢谢！</t>
  </si>
  <si>
    <t>总吨：</t>
  </si>
  <si>
    <t>净吨：</t>
  </si>
  <si>
    <t>国籍：</t>
  </si>
  <si>
    <t>MMSI:</t>
  </si>
  <si>
    <t>船员：</t>
  </si>
  <si>
    <t>致南沙海事处：</t>
  </si>
  <si>
    <r>
      <rPr>
        <sz val="11"/>
        <color indexed="8"/>
        <rFont val="宋体"/>
        <charset val="134"/>
      </rPr>
      <t>兹有我司代理集装箱轮</t>
    </r>
  </si>
  <si>
    <t>二期W9</t>
  </si>
  <si>
    <t>致南沙海关船管科：</t>
  </si>
  <si>
    <t>现我司接到船公司通知，该轮将有部分备件交予我司并委托我司转寄到香港。</t>
  </si>
  <si>
    <t>特向贵科报告该情况，望贵科予以办理有关手续。备件清单详见下表：</t>
  </si>
  <si>
    <t>76 x 65 x 54 cm; 160 kg; 2 pcs. valve seats（阀门）</t>
  </si>
  <si>
    <t>200 x 56 x 68 cm; 180 kg; 1 pcs. spindle valve（阀杆、主阀轴）</t>
  </si>
  <si>
    <t>102 x 102 x 55 cm; 200 kg; 2 psc. piston skirts（活塞挡板）</t>
  </si>
  <si>
    <t>100 x 100 x 68 cm; 300 kg; 1 pcs. piston crown（活塞头）</t>
  </si>
  <si>
    <t>吨税有效期至：</t>
  </si>
  <si>
    <r>
      <rPr>
        <sz val="18"/>
        <rFont val="宋体"/>
        <charset val="134"/>
      </rPr>
      <t>借</t>
    </r>
    <r>
      <rPr>
        <sz val="18"/>
        <rFont val="Times New Roman"/>
        <charset val="134"/>
      </rPr>
      <t xml:space="preserve">          </t>
    </r>
    <r>
      <rPr>
        <sz val="18"/>
        <rFont val="宋体"/>
        <charset val="134"/>
      </rPr>
      <t>据</t>
    </r>
  </si>
  <si>
    <t>RECEIPT</t>
  </si>
  <si>
    <r>
      <rPr>
        <sz val="11"/>
        <color theme="1"/>
        <rFont val="宋体"/>
        <charset val="134"/>
      </rPr>
      <t>金</t>
    </r>
    <r>
      <rPr>
        <sz val="12"/>
        <rFont val="Times New Roman"/>
        <charset val="134"/>
      </rPr>
      <t xml:space="preserve">   </t>
    </r>
    <r>
      <rPr>
        <sz val="11"/>
        <color theme="1"/>
        <rFont val="宋体"/>
        <charset val="134"/>
      </rPr>
      <t>额</t>
    </r>
  </si>
  <si>
    <t>R.M.B.</t>
  </si>
  <si>
    <r>
      <rPr>
        <sz val="11"/>
        <color theme="1"/>
        <rFont val="宋体"/>
        <charset val="134"/>
      </rPr>
      <t>日</t>
    </r>
    <r>
      <rPr>
        <sz val="12"/>
        <rFont val="Times New Roman"/>
        <charset val="134"/>
      </rPr>
      <t xml:space="preserve">  </t>
    </r>
    <r>
      <rPr>
        <sz val="11"/>
        <color theme="1"/>
        <rFont val="宋体"/>
        <charset val="134"/>
      </rPr>
      <t>期</t>
    </r>
  </si>
  <si>
    <t>U S D</t>
  </si>
  <si>
    <t>21TH DEC., 2011</t>
  </si>
  <si>
    <r>
      <rPr>
        <sz val="11"/>
        <color theme="1"/>
        <rFont val="宋体"/>
        <charset val="134"/>
      </rPr>
      <t>今</t>
    </r>
    <r>
      <rPr>
        <sz val="12"/>
        <rFont val="Times New Roman"/>
        <charset val="134"/>
      </rPr>
      <t xml:space="preserve">   </t>
    </r>
    <r>
      <rPr>
        <sz val="11"/>
        <color theme="1"/>
        <rFont val="宋体"/>
        <charset val="134"/>
      </rPr>
      <t>收</t>
    </r>
    <r>
      <rPr>
        <sz val="12"/>
        <rFont val="Times New Roman"/>
        <charset val="134"/>
      </rPr>
      <t xml:space="preserve">   </t>
    </r>
    <r>
      <rPr>
        <sz val="11"/>
        <color theme="1"/>
        <rFont val="宋体"/>
        <charset val="134"/>
      </rPr>
      <t>到</t>
    </r>
    <r>
      <rPr>
        <sz val="12"/>
        <rFont val="Times New Roman"/>
        <charset val="134"/>
      </rPr>
      <t xml:space="preserve">   </t>
    </r>
    <r>
      <rPr>
        <sz val="11"/>
        <color theme="1"/>
        <rFont val="宋体"/>
        <charset val="134"/>
      </rPr>
      <t>广</t>
    </r>
    <r>
      <rPr>
        <sz val="12"/>
        <rFont val="Times New Roman"/>
        <charset val="134"/>
      </rPr>
      <t xml:space="preserve">   </t>
    </r>
    <r>
      <rPr>
        <sz val="11"/>
        <color theme="1"/>
        <rFont val="宋体"/>
        <charset val="134"/>
      </rPr>
      <t>州</t>
    </r>
    <r>
      <rPr>
        <sz val="12"/>
        <rFont val="Times New Roman"/>
        <charset val="134"/>
      </rPr>
      <t xml:space="preserve">   </t>
    </r>
    <r>
      <rPr>
        <sz val="11"/>
        <color theme="1"/>
        <rFont val="宋体"/>
        <charset val="134"/>
      </rPr>
      <t>联</t>
    </r>
    <r>
      <rPr>
        <sz val="12"/>
        <rFont val="Times New Roman"/>
        <charset val="134"/>
      </rPr>
      <t xml:space="preserve">   </t>
    </r>
    <r>
      <rPr>
        <sz val="11"/>
        <color theme="1"/>
        <rFont val="宋体"/>
        <charset val="134"/>
      </rPr>
      <t>合</t>
    </r>
    <r>
      <rPr>
        <sz val="12"/>
        <rFont val="Times New Roman"/>
        <charset val="134"/>
      </rPr>
      <t xml:space="preserve">   </t>
    </r>
    <r>
      <rPr>
        <sz val="11"/>
        <color theme="1"/>
        <rFont val="宋体"/>
        <charset val="134"/>
      </rPr>
      <t>国</t>
    </r>
    <r>
      <rPr>
        <sz val="12"/>
        <rFont val="Times New Roman"/>
        <charset val="134"/>
      </rPr>
      <t xml:space="preserve">   </t>
    </r>
    <r>
      <rPr>
        <sz val="11"/>
        <color theme="1"/>
        <rFont val="宋体"/>
        <charset val="134"/>
      </rPr>
      <t>际</t>
    </r>
    <r>
      <rPr>
        <sz val="12"/>
        <rFont val="Times New Roman"/>
        <charset val="134"/>
      </rPr>
      <t xml:space="preserve">   </t>
    </r>
    <r>
      <rPr>
        <sz val="11"/>
        <color theme="1"/>
        <rFont val="宋体"/>
        <charset val="134"/>
      </rPr>
      <t>船</t>
    </r>
    <r>
      <rPr>
        <sz val="12"/>
        <rFont val="Times New Roman"/>
        <charset val="134"/>
      </rPr>
      <t xml:space="preserve">   </t>
    </r>
    <r>
      <rPr>
        <sz val="11"/>
        <color theme="1"/>
        <rFont val="宋体"/>
        <charset val="134"/>
      </rPr>
      <t>舶</t>
    </r>
    <r>
      <rPr>
        <sz val="12"/>
        <rFont val="Times New Roman"/>
        <charset val="134"/>
      </rPr>
      <t xml:space="preserve">   </t>
    </r>
    <r>
      <rPr>
        <sz val="11"/>
        <color theme="1"/>
        <rFont val="宋体"/>
        <charset val="134"/>
      </rPr>
      <t>代</t>
    </r>
    <r>
      <rPr>
        <sz val="12"/>
        <rFont val="Times New Roman"/>
        <charset val="134"/>
      </rPr>
      <t xml:space="preserve">   </t>
    </r>
    <r>
      <rPr>
        <sz val="11"/>
        <color theme="1"/>
        <rFont val="宋体"/>
        <charset val="134"/>
      </rPr>
      <t>理</t>
    </r>
    <r>
      <rPr>
        <sz val="12"/>
        <rFont val="Times New Roman"/>
        <charset val="134"/>
      </rPr>
      <t xml:space="preserve">   </t>
    </r>
    <r>
      <rPr>
        <sz val="11"/>
        <color theme="1"/>
        <rFont val="宋体"/>
        <charset val="134"/>
      </rPr>
      <t>有</t>
    </r>
    <r>
      <rPr>
        <sz val="12"/>
        <rFont val="Times New Roman"/>
        <charset val="134"/>
      </rPr>
      <t xml:space="preserve">   </t>
    </r>
    <r>
      <rPr>
        <sz val="11"/>
        <color theme="1"/>
        <rFont val="宋体"/>
        <charset val="134"/>
      </rPr>
      <t>限</t>
    </r>
    <r>
      <rPr>
        <sz val="12"/>
        <rFont val="Times New Roman"/>
        <charset val="134"/>
      </rPr>
      <t xml:space="preserve">   </t>
    </r>
    <r>
      <rPr>
        <sz val="11"/>
        <color theme="1"/>
        <rFont val="宋体"/>
        <charset val="134"/>
      </rPr>
      <t>公</t>
    </r>
    <r>
      <rPr>
        <sz val="12"/>
        <rFont val="Times New Roman"/>
        <charset val="134"/>
      </rPr>
      <t xml:space="preserve">   </t>
    </r>
    <r>
      <rPr>
        <sz val="11"/>
        <color theme="1"/>
        <rFont val="宋体"/>
        <charset val="134"/>
      </rPr>
      <t>司</t>
    </r>
  </si>
  <si>
    <t>Received From Messrs. Guangzhou United International Ocean Shipping Agency Ltd.</t>
  </si>
  <si>
    <r>
      <rPr>
        <sz val="11"/>
        <color theme="1"/>
        <rFont val="宋体"/>
        <charset val="134"/>
      </rPr>
      <t>人</t>
    </r>
    <r>
      <rPr>
        <sz val="12"/>
        <rFont val="Times New Roman"/>
        <charset val="134"/>
      </rPr>
      <t xml:space="preserve">  </t>
    </r>
    <r>
      <rPr>
        <sz val="11"/>
        <color theme="1"/>
        <rFont val="宋体"/>
        <charset val="134"/>
      </rPr>
      <t>民</t>
    </r>
    <r>
      <rPr>
        <sz val="12"/>
        <rFont val="Times New Roman"/>
        <charset val="134"/>
      </rPr>
      <t xml:space="preserve">  </t>
    </r>
    <r>
      <rPr>
        <sz val="11"/>
        <color theme="1"/>
        <rFont val="宋体"/>
        <charset val="134"/>
      </rPr>
      <t>币</t>
    </r>
  </si>
  <si>
    <t>R.M.B.( in words)</t>
  </si>
  <si>
    <t>FIFTY THOUSAND YUAN ONLY</t>
  </si>
  <si>
    <r>
      <rPr>
        <sz val="11"/>
        <color theme="1"/>
        <rFont val="宋体"/>
        <charset val="134"/>
      </rPr>
      <t>外</t>
    </r>
    <r>
      <rPr>
        <sz val="12"/>
        <rFont val="Times New Roman"/>
        <charset val="134"/>
      </rPr>
      <t xml:space="preserve">  </t>
    </r>
    <r>
      <rPr>
        <sz val="11"/>
        <color theme="1"/>
        <rFont val="宋体"/>
        <charset val="134"/>
      </rPr>
      <t>汇</t>
    </r>
    <r>
      <rPr>
        <sz val="12"/>
        <rFont val="Times New Roman"/>
        <charset val="134"/>
      </rPr>
      <t xml:space="preserve">  </t>
    </r>
    <r>
      <rPr>
        <sz val="11"/>
        <color theme="1"/>
        <rFont val="宋体"/>
        <charset val="134"/>
      </rPr>
      <t>券</t>
    </r>
  </si>
  <si>
    <t>U.S.D.( in words)</t>
  </si>
  <si>
    <t>TEN THOUSAND DOLLARS ONLY</t>
  </si>
  <si>
    <r>
      <rPr>
        <sz val="11"/>
        <color theme="1"/>
        <rFont val="宋体"/>
        <charset val="134"/>
      </rPr>
      <t>请</t>
    </r>
    <r>
      <rPr>
        <sz val="12"/>
        <rFont val="Times New Roman"/>
        <charset val="134"/>
      </rPr>
      <t xml:space="preserve"> </t>
    </r>
    <r>
      <rPr>
        <sz val="11"/>
        <color theme="1"/>
        <rFont val="宋体"/>
        <charset val="134"/>
      </rPr>
      <t>借</t>
    </r>
    <r>
      <rPr>
        <sz val="12"/>
        <rFont val="Times New Roman"/>
        <charset val="134"/>
      </rPr>
      <t xml:space="preserve"> </t>
    </r>
    <r>
      <rPr>
        <sz val="11"/>
        <color theme="1"/>
        <rFont val="宋体"/>
        <charset val="134"/>
      </rPr>
      <t>入</t>
    </r>
    <r>
      <rPr>
        <sz val="12"/>
        <rFont val="Times New Roman"/>
        <charset val="134"/>
      </rPr>
      <t xml:space="preserve"> </t>
    </r>
    <r>
      <rPr>
        <sz val="11"/>
        <color theme="1"/>
        <rFont val="宋体"/>
        <charset val="134"/>
      </rPr>
      <t>船</t>
    </r>
    <r>
      <rPr>
        <sz val="12"/>
        <rFont val="Times New Roman"/>
        <charset val="134"/>
      </rPr>
      <t xml:space="preserve"> </t>
    </r>
    <r>
      <rPr>
        <sz val="11"/>
        <color theme="1"/>
        <rFont val="宋体"/>
        <charset val="134"/>
      </rPr>
      <t>方</t>
    </r>
    <r>
      <rPr>
        <sz val="12"/>
        <rFont val="Times New Roman"/>
        <charset val="134"/>
      </rPr>
      <t xml:space="preserve"> </t>
    </r>
    <r>
      <rPr>
        <sz val="11"/>
        <color theme="1"/>
        <rFont val="宋体"/>
        <charset val="134"/>
      </rPr>
      <t>帐</t>
    </r>
    <r>
      <rPr>
        <sz val="12"/>
        <rFont val="Times New Roman"/>
        <charset val="134"/>
      </rPr>
      <t xml:space="preserve"> </t>
    </r>
    <r>
      <rPr>
        <sz val="11"/>
        <color theme="1"/>
        <rFont val="宋体"/>
        <charset val="134"/>
      </rPr>
      <t>户</t>
    </r>
  </si>
  <si>
    <t>Please debit Ship's account.</t>
  </si>
  <si>
    <r>
      <rPr>
        <sz val="11"/>
        <color theme="1"/>
        <rFont val="宋体"/>
        <charset val="134"/>
      </rPr>
      <t>船</t>
    </r>
    <r>
      <rPr>
        <sz val="12"/>
        <rFont val="Times New Roman"/>
        <charset val="134"/>
      </rPr>
      <t xml:space="preserve">    </t>
    </r>
    <r>
      <rPr>
        <sz val="11"/>
        <color theme="1"/>
        <rFont val="宋体"/>
        <charset val="134"/>
      </rPr>
      <t>长</t>
    </r>
  </si>
  <si>
    <t>Master:</t>
  </si>
  <si>
    <r>
      <rPr>
        <sz val="11"/>
        <color theme="1"/>
        <rFont val="宋体"/>
        <charset val="134"/>
      </rPr>
      <t>船</t>
    </r>
    <r>
      <rPr>
        <sz val="12"/>
        <rFont val="Times New Roman"/>
        <charset val="134"/>
      </rPr>
      <t xml:space="preserve">    </t>
    </r>
    <r>
      <rPr>
        <sz val="11"/>
        <color theme="1"/>
        <rFont val="宋体"/>
        <charset val="134"/>
      </rPr>
      <t>名</t>
    </r>
  </si>
  <si>
    <t>S/S</t>
  </si>
  <si>
    <t>保税港区船管科空集装箱调出申请表</t>
  </si>
  <si>
    <t>船舶名称</t>
  </si>
  <si>
    <t>船编</t>
  </si>
  <si>
    <t>船舶代理公司</t>
  </si>
  <si>
    <t>船舶进境日期</t>
  </si>
  <si>
    <t>调出日期</t>
  </si>
  <si>
    <t>调出至</t>
  </si>
  <si>
    <t>吉柜查验场</t>
  </si>
  <si>
    <t>序号</t>
  </si>
  <si>
    <t>规格</t>
  </si>
  <si>
    <t>柜号</t>
  </si>
  <si>
    <t>备注</t>
  </si>
  <si>
    <t>详见舱单</t>
  </si>
  <si>
    <t>合计</t>
  </si>
  <si>
    <t>20"</t>
  </si>
  <si>
    <t>40"</t>
  </si>
  <si>
    <t>船舶公司确认</t>
  </si>
  <si>
    <r>
      <rPr>
        <sz val="12"/>
        <rFont val="宋体"/>
        <charset val="134"/>
      </rPr>
      <t xml:space="preserve">签章：                                                </t>
    </r>
    <r>
      <rPr>
        <sz val="11"/>
        <color theme="1"/>
        <rFont val="宋体"/>
        <charset val="134"/>
      </rPr>
      <t xml:space="preserve">    </t>
    </r>
    <r>
      <rPr>
        <sz val="12"/>
        <rFont val="宋体"/>
        <charset val="134"/>
      </rPr>
      <t xml:space="preserve">      </t>
    </r>
    <r>
      <rPr>
        <sz val="12"/>
        <rFont val="宋体"/>
        <charset val="134"/>
      </rPr>
      <t xml:space="preserve">             </t>
    </r>
    <r>
      <rPr>
        <sz val="12"/>
        <rFont val="宋体"/>
        <charset val="134"/>
      </rPr>
      <t>日期：</t>
    </r>
  </si>
  <si>
    <t>海关审核</t>
  </si>
  <si>
    <t xml:space="preserve"> 经办:                             复核：</t>
  </si>
  <si>
    <t>日期：</t>
  </si>
  <si>
    <t xml:space="preserve">  注：1、提交此表时，应同时提交空集装箱进境舱单、理货报告等资料备查；</t>
  </si>
  <si>
    <t xml:space="preserve">      2、调拨集装箱较多不能全部录入时，可另外制作清单附件交海关审核。</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</si>
</sst>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Red]\-&quot;￥&quot;#,##0.00"/>
    <numFmt numFmtId="177" formatCode="&quot;US$&quot;#,##0.00_);\(&quot;US$&quot;#,##0.00\)"/>
    <numFmt numFmtId="178" formatCode="yyyy&quot;年&quot;m&quot;月&quot;d&quot;日&quot;;@"/>
    <numFmt numFmtId="179" formatCode="h:mm;@"/>
    <numFmt numFmtId="180" formatCode="0_);[Red]\(0\)"/>
    <numFmt numFmtId="181" formatCode="0_ "/>
    <numFmt numFmtId="182" formatCode="yyyymmdd"/>
    <numFmt numFmtId="183" formatCode="#,##0_ "/>
    <numFmt numFmtId="184" formatCode="0.00_ "/>
  </numFmts>
  <fonts count="215">
    <font>
      <sz val="11"/>
      <color theme="1"/>
      <name val="宋体"/>
      <charset val="134"/>
      <scheme val="minor"/>
    </font>
    <font>
      <b/>
      <sz val="22"/>
      <name val="宋体"/>
      <charset val="134"/>
    </font>
    <font>
      <b/>
      <sz val="12"/>
      <name val="宋体"/>
      <charset val="134"/>
    </font>
    <font>
      <sz val="12"/>
      <name val="宋体"/>
      <charset val="134"/>
    </font>
    <font>
      <sz val="18"/>
      <name val="宋体"/>
      <charset val="134"/>
    </font>
    <font>
      <u/>
      <sz val="18"/>
      <name val="Times New Roman"/>
      <charset val="134"/>
    </font>
    <font>
      <sz val="13"/>
      <name val="Times New Roman"/>
      <charset val="134"/>
    </font>
    <font>
      <b/>
      <sz val="12"/>
      <name val="Times New Roman"/>
      <charset val="134"/>
    </font>
    <font>
      <sz val="11"/>
      <name val="Times New Roman"/>
      <charset val="134"/>
    </font>
    <font>
      <sz val="11"/>
      <name val="宋体"/>
      <charset val="134"/>
    </font>
    <font>
      <b/>
      <sz val="11"/>
      <name val="Times New Roman"/>
      <charset val="134"/>
    </font>
    <font>
      <sz val="12"/>
      <name val="Times New Roman"/>
      <charset val="134"/>
    </font>
    <font>
      <b/>
      <sz val="16"/>
      <color indexed="8"/>
      <name val="宋体"/>
      <charset val="134"/>
    </font>
    <font>
      <b/>
      <sz val="14"/>
      <color indexed="8"/>
      <name val="Calibri"/>
      <charset val="134"/>
    </font>
    <font>
      <b/>
      <sz val="16"/>
      <color indexed="8"/>
      <name val="Calibri"/>
      <charset val="134"/>
    </font>
    <font>
      <sz val="10"/>
      <color indexed="63"/>
      <name val="宋体"/>
      <charset val="134"/>
    </font>
    <font>
      <sz val="10"/>
      <color indexed="8"/>
      <name val="宋体"/>
      <charset val="134"/>
    </font>
    <font>
      <b/>
      <sz val="14"/>
      <color indexed="8"/>
      <name val="黑体"/>
      <charset val="134"/>
    </font>
    <font>
      <sz val="12"/>
      <color indexed="8"/>
      <name val="宋体"/>
      <charset val="134"/>
    </font>
    <font>
      <sz val="8"/>
      <color indexed="8"/>
      <name val="宋体"/>
      <charset val="134"/>
    </font>
    <font>
      <b/>
      <sz val="14"/>
      <color indexed="8"/>
      <name val="宋体"/>
      <charset val="134"/>
    </font>
    <font>
      <b/>
      <sz val="14"/>
      <color indexed="12"/>
      <name val="宋体"/>
      <charset val="134"/>
    </font>
    <font>
      <sz val="11"/>
      <color indexed="8"/>
      <name val="宋体"/>
      <charset val="134"/>
    </font>
    <font>
      <sz val="11"/>
      <color indexed="12"/>
      <name val="宋体"/>
      <charset val="134"/>
    </font>
    <font>
      <sz val="11"/>
      <color theme="1"/>
      <name val="宋体"/>
      <charset val="134"/>
    </font>
    <font>
      <sz val="9"/>
      <name val="宋体"/>
      <charset val="134"/>
    </font>
    <font>
      <sz val="9"/>
      <color indexed="8"/>
      <name val="宋体"/>
      <charset val="134"/>
    </font>
    <font>
      <b/>
      <sz val="10.5"/>
      <color indexed="8"/>
      <name val="宋体"/>
      <charset val="134"/>
    </font>
    <font>
      <b/>
      <sz val="11"/>
      <color indexed="8"/>
      <name val="宋体"/>
      <charset val="134"/>
    </font>
    <font>
      <sz val="10"/>
      <name val="宋体"/>
      <charset val="134"/>
    </font>
    <font>
      <b/>
      <sz val="14"/>
      <name val="宋体"/>
      <charset val="134"/>
    </font>
    <font>
      <sz val="14"/>
      <name val="宋体"/>
      <charset val="134"/>
    </font>
    <font>
      <b/>
      <sz val="10"/>
      <name val="Times New Roman"/>
      <charset val="134"/>
    </font>
    <font>
      <b/>
      <sz val="10"/>
      <name val="宋体"/>
      <charset val="134"/>
    </font>
    <font>
      <sz val="10"/>
      <name val="Times New Roman"/>
      <charset val="134"/>
    </font>
    <font>
      <b/>
      <sz val="13"/>
      <name val="宋体"/>
      <charset val="134"/>
    </font>
    <font>
      <b/>
      <sz val="14"/>
      <color indexed="12"/>
      <name val="Times New Roman"/>
      <charset val="134"/>
    </font>
    <font>
      <b/>
      <sz val="11"/>
      <color indexed="8"/>
      <name val="Times New Roman"/>
      <charset val="134"/>
    </font>
    <font>
      <sz val="11"/>
      <color indexed="8"/>
      <name val="Times New Roman"/>
      <charset val="134"/>
    </font>
    <font>
      <b/>
      <sz val="12"/>
      <color indexed="8"/>
      <name val="Times New Roman"/>
      <charset val="134"/>
    </font>
    <font>
      <b/>
      <sz val="10"/>
      <color indexed="8"/>
      <name val="Times New Roman"/>
      <charset val="134"/>
    </font>
    <font>
      <sz val="7"/>
      <color indexed="8"/>
      <name val="Times New Roman"/>
      <charset val="134"/>
    </font>
    <font>
      <sz val="6"/>
      <color indexed="8"/>
      <name val="Times New Roman"/>
      <charset val="134"/>
    </font>
    <font>
      <sz val="8"/>
      <color indexed="8"/>
      <name val="Times New Roman"/>
      <charset val="134"/>
    </font>
    <font>
      <sz val="10"/>
      <color indexed="8"/>
      <name val="Times New Roman"/>
      <charset val="134"/>
    </font>
    <font>
      <b/>
      <sz val="8"/>
      <color indexed="8"/>
      <name val="Times New Roman"/>
      <charset val="134"/>
    </font>
    <font>
      <b/>
      <sz val="16"/>
      <color indexed="8"/>
      <name val="Times New Roman"/>
      <charset val="134"/>
    </font>
    <font>
      <b/>
      <sz val="14"/>
      <color indexed="8"/>
      <name val="Times New Roman"/>
      <charset val="134"/>
    </font>
    <font>
      <b/>
      <sz val="12"/>
      <color indexed="8"/>
      <name val="楷体_GB2312"/>
      <charset val="134"/>
    </font>
    <font>
      <b/>
      <sz val="8"/>
      <color rgb="FF0000FF"/>
      <name val="Times New Roman"/>
      <charset val="134"/>
    </font>
    <font>
      <sz val="8"/>
      <color theme="1"/>
      <name val="Times New Roman"/>
      <charset val="134"/>
    </font>
    <font>
      <b/>
      <sz val="8"/>
      <color rgb="FF0000FF"/>
      <name val="宋体"/>
      <charset val="134"/>
    </font>
    <font>
      <sz val="12"/>
      <color indexed="8"/>
      <name val="Times New Roman"/>
      <charset val="134"/>
    </font>
    <font>
      <i/>
      <sz val="12"/>
      <color indexed="8"/>
      <name val="华文行楷"/>
      <charset val="134"/>
    </font>
    <font>
      <i/>
      <sz val="18"/>
      <color indexed="8"/>
      <name val="华文行楷"/>
      <charset val="134"/>
    </font>
    <font>
      <i/>
      <sz val="16"/>
      <color indexed="8"/>
      <name val="Georgia"/>
      <charset val="134"/>
    </font>
    <font>
      <i/>
      <sz val="12"/>
      <color indexed="8"/>
      <name val="Georgia"/>
      <charset val="134"/>
    </font>
    <font>
      <i/>
      <sz val="16"/>
      <color indexed="8"/>
      <name val="Times New Roman"/>
      <charset val="134"/>
    </font>
    <font>
      <i/>
      <sz val="18"/>
      <color indexed="8"/>
      <name val="Georgia"/>
      <charset val="134"/>
    </font>
    <font>
      <b/>
      <sz val="20"/>
      <color indexed="8"/>
      <name val="宋体"/>
      <charset val="134"/>
    </font>
    <font>
      <b/>
      <sz val="18"/>
      <color indexed="8"/>
      <name val="宋体"/>
      <charset val="134"/>
    </font>
    <font>
      <sz val="16"/>
      <color indexed="8"/>
      <name val="Times New Roman"/>
      <charset val="134"/>
    </font>
    <font>
      <sz val="10.5"/>
      <color indexed="8"/>
      <name val="宋体"/>
      <charset val="134"/>
    </font>
    <font>
      <b/>
      <sz val="15"/>
      <color indexed="8"/>
      <name val="宋体"/>
      <charset val="134"/>
    </font>
    <font>
      <b/>
      <sz val="10.5"/>
      <color indexed="8"/>
      <name val="Times New Roman"/>
      <charset val="134"/>
    </font>
    <font>
      <sz val="11"/>
      <color indexed="8"/>
      <name val="楷体_GB2312"/>
      <charset val="134"/>
    </font>
    <font>
      <b/>
      <sz val="9"/>
      <color indexed="8"/>
      <name val="Times New Roman"/>
      <charset val="134"/>
    </font>
    <font>
      <sz val="9"/>
      <color indexed="8"/>
      <name val="Times New Roman"/>
      <charset val="134"/>
    </font>
    <font>
      <b/>
      <sz val="7.5"/>
      <color indexed="8"/>
      <name val="Times New Roman"/>
      <charset val="134"/>
    </font>
    <font>
      <sz val="8"/>
      <color indexed="8"/>
      <name val="楷体_GB2312"/>
      <charset val="134"/>
    </font>
    <font>
      <sz val="10.5"/>
      <color indexed="8"/>
      <name val="Times New Roman"/>
      <charset val="134"/>
    </font>
    <font>
      <sz val="20"/>
      <color indexed="8"/>
      <name val="宋体"/>
      <charset val="134"/>
    </font>
    <font>
      <b/>
      <sz val="10"/>
      <color indexed="8"/>
      <name val="宋体"/>
      <charset val="134"/>
    </font>
    <font>
      <sz val="14"/>
      <color indexed="8"/>
      <name val="hakuyocaoshu7000"/>
      <charset val="134"/>
    </font>
    <font>
      <sz val="8"/>
      <color indexed="8"/>
      <name val="hakuyocaoshu7000"/>
      <charset val="134"/>
    </font>
    <font>
      <sz val="14"/>
      <color rgb="FF0000FF"/>
      <name val="hakuyocaoshu7000"/>
      <charset val="134"/>
    </font>
    <font>
      <sz val="12"/>
      <color indexed="8"/>
      <name val="hakuyocaoshu7000"/>
      <charset val="134"/>
    </font>
    <font>
      <sz val="12"/>
      <color indexed="8"/>
      <name val="华文行楷"/>
      <charset val="134"/>
    </font>
    <font>
      <sz val="14"/>
      <color indexed="8"/>
      <name val="宋体"/>
      <charset val="134"/>
    </font>
    <font>
      <sz val="10"/>
      <color indexed="8"/>
      <name val="Arial Unicode MS"/>
      <charset val="134"/>
    </font>
    <font>
      <sz val="10"/>
      <color indexed="8"/>
      <name val="华文行楷"/>
      <charset val="134"/>
    </font>
    <font>
      <sz val="8"/>
      <color indexed="8"/>
      <name val="Arial Unicode MS"/>
      <charset val="134"/>
    </font>
    <font>
      <b/>
      <sz val="12"/>
      <color indexed="8"/>
      <name val="黑体"/>
      <charset val="134"/>
    </font>
    <font>
      <sz val="8"/>
      <name val="Times New Roman"/>
      <charset val="134"/>
    </font>
    <font>
      <sz val="8"/>
      <name val="宋体"/>
      <charset val="134"/>
    </font>
    <font>
      <sz val="6"/>
      <name val="Times New Roman"/>
      <charset val="134"/>
    </font>
    <font>
      <b/>
      <sz val="14"/>
      <name val="Times New Roman"/>
      <charset val="134"/>
    </font>
    <font>
      <sz val="9"/>
      <name val="Times New Roman"/>
      <charset val="134"/>
    </font>
    <font>
      <b/>
      <sz val="8"/>
      <name val="Times New Roman"/>
      <charset val="134"/>
    </font>
    <font>
      <b/>
      <sz val="9"/>
      <name val="Times New Roman"/>
      <charset val="134"/>
    </font>
    <font>
      <b/>
      <sz val="6"/>
      <name val="Times New Roman"/>
      <charset val="134"/>
    </font>
    <font>
      <b/>
      <sz val="6"/>
      <name val="宋体"/>
      <charset val="134"/>
    </font>
    <font>
      <b/>
      <sz val="9"/>
      <name val="宋体"/>
      <charset val="134"/>
    </font>
    <font>
      <b/>
      <sz val="7"/>
      <name val="Times New Roman"/>
      <charset val="134"/>
    </font>
    <font>
      <sz val="9"/>
      <color indexed="12"/>
      <name val="Times New Roman"/>
      <charset val="134"/>
    </font>
    <font>
      <b/>
      <sz val="9"/>
      <color indexed="12"/>
      <name val="Times New Roman"/>
      <charset val="134"/>
    </font>
    <font>
      <b/>
      <sz val="8"/>
      <name val="宋体"/>
      <charset val="134"/>
    </font>
    <font>
      <sz val="7"/>
      <name val="Times New Roman"/>
      <charset val="134"/>
    </font>
    <font>
      <sz val="7"/>
      <name val="宋体"/>
      <charset val="134"/>
    </font>
    <font>
      <sz val="20"/>
      <name val="Times New Roman"/>
      <charset val="134"/>
    </font>
    <font>
      <sz val="16"/>
      <name val="Times New Roman"/>
      <charset val="134"/>
    </font>
    <font>
      <b/>
      <sz val="18"/>
      <name val="Times New Roman"/>
      <charset val="134"/>
    </font>
    <font>
      <b/>
      <sz val="18"/>
      <name val="宋体"/>
      <charset val="134"/>
    </font>
    <font>
      <sz val="16"/>
      <name val="宋体"/>
      <charset val="134"/>
    </font>
    <font>
      <b/>
      <sz val="18"/>
      <color rgb="FF0000FF"/>
      <name val="宋体"/>
      <charset val="134"/>
    </font>
    <font>
      <b/>
      <sz val="16"/>
      <name val="Times New Roman"/>
      <charset val="134"/>
    </font>
    <font>
      <sz val="14"/>
      <color indexed="8"/>
      <name val="Times New Roman"/>
      <charset val="134"/>
    </font>
    <font>
      <sz val="14"/>
      <color indexed="9"/>
      <name val="Times New Roman"/>
      <charset val="134"/>
    </font>
    <font>
      <sz val="18"/>
      <name val="Times New Roman"/>
      <charset val="134"/>
    </font>
    <font>
      <sz val="14"/>
      <name val="Times New Roman"/>
      <charset val="134"/>
    </font>
    <font>
      <b/>
      <sz val="11"/>
      <name val="宋体"/>
      <charset val="134"/>
    </font>
    <font>
      <sz val="11"/>
      <color theme="1"/>
      <name val="Times New Roman"/>
      <charset val="134"/>
    </font>
    <font>
      <sz val="14"/>
      <color theme="1"/>
      <name val="Times New Roman"/>
      <charset val="134"/>
    </font>
    <font>
      <b/>
      <i/>
      <sz val="10"/>
      <name val="Times New Roman"/>
      <charset val="134"/>
    </font>
    <font>
      <b/>
      <i/>
      <sz val="10"/>
      <color indexed="8"/>
      <name val="Times New Roman"/>
      <charset val="134"/>
    </font>
    <font>
      <b/>
      <i/>
      <sz val="8"/>
      <color indexed="8"/>
      <name val="Times New Roman"/>
      <charset val="134"/>
    </font>
    <font>
      <sz val="8"/>
      <color theme="1"/>
      <name val="宋体"/>
      <charset val="134"/>
    </font>
    <font>
      <sz val="10"/>
      <color theme="1"/>
      <name val="Times New Roman"/>
      <charset val="134"/>
    </font>
    <font>
      <b/>
      <sz val="18"/>
      <color theme="1"/>
      <name val="宋体"/>
      <charset val="134"/>
    </font>
    <font>
      <b/>
      <sz val="20"/>
      <color theme="1"/>
      <name val="Times New Roman"/>
      <charset val="134"/>
    </font>
    <font>
      <sz val="7"/>
      <color theme="1"/>
      <name val="Times New Roman"/>
      <charset val="134"/>
    </font>
    <font>
      <b/>
      <sz val="16"/>
      <color theme="1"/>
      <name val="Times New Roman"/>
      <charset val="134"/>
    </font>
    <font>
      <sz val="16"/>
      <color theme="1"/>
      <name val="Times New Roman"/>
      <charset val="134"/>
    </font>
    <font>
      <b/>
      <sz val="18"/>
      <color theme="1"/>
      <name val="Times New Roman"/>
      <charset val="134"/>
    </font>
    <font>
      <b/>
      <sz val="14"/>
      <color theme="1"/>
      <name val="Times New Roman"/>
      <charset val="134"/>
    </font>
    <font>
      <sz val="16"/>
      <color theme="1"/>
      <name val="宋体"/>
      <charset val="134"/>
      <scheme val="minor"/>
    </font>
    <font>
      <b/>
      <i/>
      <sz val="9"/>
      <name val="Times New Roman"/>
      <charset val="134"/>
    </font>
    <font>
      <b/>
      <sz val="10"/>
      <color theme="1"/>
      <name val="Arial"/>
      <charset val="134"/>
    </font>
    <font>
      <sz val="14"/>
      <color theme="1"/>
      <name val="Arial"/>
      <charset val="134"/>
    </font>
    <font>
      <sz val="11"/>
      <color theme="1"/>
      <name val="Arial"/>
      <charset val="134"/>
    </font>
    <font>
      <b/>
      <i/>
      <sz val="10"/>
      <name val="Arial"/>
      <charset val="134"/>
    </font>
    <font>
      <b/>
      <sz val="6"/>
      <color theme="1"/>
      <name val="Times New Roman"/>
      <charset val="134"/>
    </font>
    <font>
      <sz val="14"/>
      <color theme="1"/>
      <name val="宋体"/>
      <charset val="134"/>
    </font>
    <font>
      <b/>
      <sz val="6"/>
      <color indexed="8"/>
      <name val="Times New Roman"/>
      <charset val="134"/>
    </font>
    <font>
      <sz val="11"/>
      <color indexed="9"/>
      <name val="Times New Roman"/>
      <charset val="134"/>
    </font>
    <font>
      <b/>
      <sz val="11"/>
      <color theme="0"/>
      <name val="宋体"/>
      <charset val="134"/>
      <scheme val="minor"/>
    </font>
    <font>
      <b/>
      <sz val="11"/>
      <color theme="1"/>
      <name val="宋体"/>
      <charset val="134"/>
      <scheme val="minor"/>
    </font>
    <font>
      <b/>
      <sz val="12"/>
      <color theme="1"/>
      <name val="Times New Roman"/>
      <charset val="134"/>
    </font>
    <font>
      <b/>
      <i/>
      <sz val="10"/>
      <color theme="1"/>
      <name val="Times New Roman"/>
      <charset val="134"/>
    </font>
    <font>
      <b/>
      <i/>
      <sz val="8"/>
      <color theme="1"/>
      <name val="Times New Roman"/>
      <charset val="134"/>
    </font>
    <font>
      <sz val="10"/>
      <color rgb="FFFF0000"/>
      <name val="Times New Roman"/>
      <charset val="134"/>
    </font>
    <font>
      <b/>
      <sz val="20"/>
      <color rgb="FFFF0000"/>
      <name val="Times New Roman"/>
      <charset val="134"/>
    </font>
    <font>
      <sz val="7"/>
      <color rgb="FFFF0000"/>
      <name val="Times New Roman"/>
      <charset val="134"/>
    </font>
    <font>
      <b/>
      <sz val="16"/>
      <color rgb="FFFF0000"/>
      <name val="Times New Roman"/>
      <charset val="134"/>
    </font>
    <font>
      <sz val="8"/>
      <color rgb="FFFF0000"/>
      <name val="Times New Roman"/>
      <charset val="134"/>
    </font>
    <font>
      <b/>
      <sz val="18"/>
      <color rgb="FFFF0000"/>
      <name val="Times New Roman"/>
      <charset val="134"/>
    </font>
    <font>
      <sz val="8"/>
      <color rgb="FFFF0000"/>
      <name val="宋体"/>
      <charset val="134"/>
    </font>
    <font>
      <b/>
      <i/>
      <sz val="9"/>
      <color theme="1"/>
      <name val="Times New Roman"/>
      <charset val="134"/>
    </font>
    <font>
      <sz val="9"/>
      <color theme="1"/>
      <name val="Times New Roman"/>
      <charset val="134"/>
    </font>
    <font>
      <b/>
      <i/>
      <sz val="10"/>
      <color theme="1"/>
      <name val="Arial"/>
      <charset val="134"/>
    </font>
    <font>
      <sz val="24"/>
      <name val="宋体"/>
      <charset val="134"/>
    </font>
    <font>
      <b/>
      <sz val="15"/>
      <name val="Times New Roman"/>
      <charset val="134"/>
    </font>
    <font>
      <b/>
      <sz val="15"/>
      <name val="宋体"/>
      <charset val="134"/>
    </font>
    <font>
      <sz val="15"/>
      <name val="Times New Roman"/>
      <charset val="134"/>
    </font>
    <font>
      <sz val="15"/>
      <name val="宋体"/>
      <charset val="134"/>
    </font>
    <font>
      <b/>
      <sz val="16"/>
      <name val="宋体"/>
      <charset val="134"/>
    </font>
    <font>
      <b/>
      <sz val="20"/>
      <color indexed="12"/>
      <name val="Times New Roman"/>
      <charset val="134"/>
    </font>
    <font>
      <sz val="6"/>
      <name val="宋体"/>
      <charset val="134"/>
    </font>
    <font>
      <b/>
      <sz val="16"/>
      <color rgb="FF0000FF"/>
      <name val="宋体"/>
      <charset val="134"/>
    </font>
    <font>
      <b/>
      <sz val="16"/>
      <color indexed="12"/>
      <name val="Times New Roman"/>
      <charset val="134"/>
    </font>
    <font>
      <b/>
      <sz val="20"/>
      <name val="Times New Roman"/>
      <charset val="134"/>
    </font>
    <font>
      <b/>
      <sz val="20"/>
      <name val="宋体"/>
      <charset val="134"/>
    </font>
    <font>
      <b/>
      <sz val="12"/>
      <color indexed="8"/>
      <name val="宋体"/>
      <charset val="134"/>
    </font>
    <font>
      <b/>
      <sz val="20"/>
      <color rgb="FF0000FF"/>
      <name val="宋体"/>
      <charset val="134"/>
    </font>
    <font>
      <sz val="18"/>
      <color indexed="8"/>
      <name val="宋体"/>
      <charset val="134"/>
    </font>
    <font>
      <sz val="20"/>
      <color theme="1"/>
      <name val="宋体"/>
      <charset val="134"/>
      <scheme val="minor"/>
    </font>
    <font>
      <b/>
      <sz val="16"/>
      <color theme="1"/>
      <name val="宋体"/>
      <charset val="134"/>
      <scheme val="minor"/>
    </font>
    <font>
      <sz val="14"/>
      <color theme="1"/>
      <name val="宋体"/>
      <charset val="134"/>
      <scheme val="minor"/>
    </font>
    <font>
      <b/>
      <sz val="12"/>
      <color theme="1"/>
      <name val="宋体"/>
      <charset val="134"/>
      <scheme val="minor"/>
    </font>
    <font>
      <b/>
      <sz val="14"/>
      <color theme="1"/>
      <name val="宋体"/>
      <charset val="134"/>
      <scheme val="minor"/>
    </font>
    <font>
      <b/>
      <sz val="17"/>
      <name val="宋体"/>
      <charset val="134"/>
    </font>
    <font>
      <sz val="20"/>
      <color rgb="FF0000FF"/>
      <name val="宋体"/>
      <charset val="134"/>
    </font>
    <font>
      <b/>
      <sz val="12"/>
      <color theme="1"/>
      <name val="宋体"/>
      <charset val="134"/>
    </font>
    <font>
      <b/>
      <sz val="18"/>
      <color indexed="8"/>
      <name val="Times New Roman"/>
      <charset val="134"/>
    </font>
    <font>
      <b/>
      <sz val="14"/>
      <color theme="1"/>
      <name val="宋体"/>
      <charset val="134"/>
    </font>
    <font>
      <sz val="18"/>
      <color indexed="8"/>
      <name val="黑体"/>
      <charset val="134"/>
    </font>
    <font>
      <sz val="11"/>
      <color indexed="8"/>
      <name val="黑体"/>
      <charset val="134"/>
    </font>
    <font>
      <sz val="16"/>
      <color indexed="8"/>
      <name val="黑体"/>
      <charset val="134"/>
    </font>
    <font>
      <sz val="14"/>
      <color indexed="8"/>
      <name val="楷体_GB2312"/>
      <charset val="134"/>
    </font>
    <font>
      <sz val="14"/>
      <name val="楷体_GB2312"/>
      <charset val="134"/>
    </font>
    <font>
      <sz val="24"/>
      <color indexed="8"/>
      <name val="宋体"/>
      <charset val="134"/>
    </font>
    <font>
      <sz val="14"/>
      <color indexed="12"/>
      <name val="楷体_GB2312"/>
      <charset val="134"/>
    </font>
    <font>
      <sz val="14"/>
      <color indexed="9"/>
      <name val="楷体_GB2312"/>
      <charset val="134"/>
    </font>
    <font>
      <sz val="12"/>
      <color indexed="8"/>
      <name val="楷体_GB2312"/>
      <charset val="134"/>
    </font>
    <font>
      <sz val="16"/>
      <color indexed="8"/>
      <name val="宋体"/>
      <charset val="134"/>
    </font>
    <font>
      <b/>
      <sz val="14"/>
      <color indexed="12"/>
      <name val="楷体_GB2312"/>
      <charset val="134"/>
    </font>
    <font>
      <sz val="16"/>
      <color rgb="FF0000FF"/>
      <name val="黑体"/>
      <charset val="134"/>
    </font>
    <font>
      <sz val="11"/>
      <color rgb="FF0000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8.5"/>
      <name val="宋体"/>
      <charset val="134"/>
    </font>
    <font>
      <sz val="8.5"/>
      <name val="Times New Roman"/>
      <charset val="134"/>
    </font>
    <font>
      <sz val="10"/>
      <color indexed="63"/>
      <name val="Times New Roman"/>
      <charset val="134"/>
    </font>
    <font>
      <b/>
      <sz val="10"/>
      <color indexed="63"/>
      <name val="Times New Roman"/>
      <charset val="134"/>
    </font>
    <font>
      <sz val="9"/>
      <name val="宋体"/>
      <charset val="134"/>
    </font>
    <font>
      <b/>
      <sz val="9"/>
      <name val="宋体"/>
      <charset val="134"/>
    </font>
    <font>
      <sz val="9"/>
      <name val="Tahoma"/>
      <charset val="134"/>
    </font>
  </fonts>
  <fills count="3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6"/>
        <bgColor indexed="64"/>
      </patternFill>
    </fill>
    <fill>
      <patternFill patternType="solid">
        <fgColor theme="0" tint="-0.14984588152714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dotted">
        <color auto="1"/>
      </bottom>
      <diagonal/>
    </border>
    <border>
      <left/>
      <right/>
      <top style="dotted">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right style="thin">
        <color auto="1"/>
      </right>
      <top/>
      <bottom/>
      <diagonal/>
    </border>
    <border>
      <left style="thin">
        <color auto="1"/>
      </left>
      <right style="thin">
        <color auto="1"/>
      </right>
      <top style="thin">
        <color auto="1"/>
      </top>
      <bottom style="dotted">
        <color auto="1"/>
      </bottom>
      <diagonal/>
    </border>
    <border>
      <left style="thin">
        <color auto="1"/>
      </left>
      <right/>
      <top style="dotted">
        <color auto="1"/>
      </top>
      <bottom style="dotted">
        <color auto="1"/>
      </bottom>
      <diagonal/>
    </border>
    <border>
      <left style="thin">
        <color auto="1"/>
      </left>
      <right/>
      <top style="thin">
        <color auto="1"/>
      </top>
      <bottom style="dotted">
        <color auto="1"/>
      </bottom>
      <diagonal/>
    </border>
    <border>
      <left/>
      <right style="thin">
        <color auto="1"/>
      </right>
      <top style="dotted">
        <color auto="1"/>
      </top>
      <bottom style="dotted">
        <color auto="1"/>
      </bottom>
      <diagonal/>
    </border>
    <border>
      <left style="thin">
        <color auto="1"/>
      </left>
      <right style="dashed">
        <color auto="1"/>
      </right>
      <top style="dotted">
        <color auto="1"/>
      </top>
      <bottom style="dotted">
        <color auto="1"/>
      </bottom>
      <diagonal/>
    </border>
    <border>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bottom style="dotted">
        <color auto="1"/>
      </bottom>
      <diagonal/>
    </border>
    <border>
      <left style="thin">
        <color auto="1"/>
      </left>
      <right style="thin">
        <color auto="1"/>
      </right>
      <top style="dotted">
        <color auto="1"/>
      </top>
      <bottom style="thin">
        <color auto="1"/>
      </bottom>
      <diagonal/>
    </border>
    <border>
      <left style="thin">
        <color auto="1"/>
      </left>
      <right/>
      <top style="dotted">
        <color auto="1"/>
      </top>
      <bottom style="thin">
        <color auto="1"/>
      </bottom>
      <diagonal/>
    </border>
    <border>
      <left/>
      <right style="thin">
        <color auto="1"/>
      </right>
      <top style="dotted">
        <color auto="1"/>
      </top>
      <bottom style="thin">
        <color auto="1"/>
      </bottom>
      <diagonal/>
    </border>
    <border>
      <left/>
      <right/>
      <top style="dotted">
        <color auto="1"/>
      </top>
      <bottom style="dotted">
        <color auto="1"/>
      </bottom>
      <diagonal/>
    </border>
    <border>
      <left style="thin">
        <color auto="1"/>
      </left>
      <right style="thin">
        <color auto="1"/>
      </right>
      <top style="dotted">
        <color auto="1"/>
      </top>
      <bottom/>
      <diagonal/>
    </border>
    <border>
      <left/>
      <right/>
      <top style="dotted">
        <color auto="1"/>
      </top>
      <bottom style="thin">
        <color auto="1"/>
      </bottom>
      <diagonal/>
    </border>
    <border>
      <left style="medium">
        <color auto="1"/>
      </left>
      <right/>
      <top style="medium">
        <color auto="1"/>
      </top>
      <bottom/>
      <diagonal/>
    </border>
    <border>
      <left/>
      <right/>
      <top style="medium">
        <color auto="1"/>
      </top>
      <bottom/>
      <diagonal/>
    </border>
    <border>
      <left style="dotted">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style="dotted">
        <color auto="1"/>
      </left>
      <right/>
      <top/>
      <bottom style="thin">
        <color auto="1"/>
      </bottom>
      <diagonal/>
    </border>
    <border>
      <left/>
      <right style="medium">
        <color auto="1"/>
      </right>
      <top/>
      <bottom style="thin">
        <color auto="1"/>
      </bottom>
      <diagonal/>
    </border>
    <border>
      <left style="medium">
        <color auto="1"/>
      </left>
      <right/>
      <top/>
      <bottom/>
      <diagonal/>
    </border>
    <border>
      <left style="medium">
        <color auto="1"/>
      </left>
      <right/>
      <top style="thin">
        <color auto="1"/>
      </top>
      <bottom/>
      <diagonal/>
    </border>
    <border>
      <left/>
      <right style="dashed">
        <color auto="1"/>
      </right>
      <top style="thin">
        <color auto="1"/>
      </top>
      <bottom/>
      <diagonal/>
    </border>
    <border>
      <left style="dashed">
        <color auto="1"/>
      </left>
      <right/>
      <top style="thin">
        <color auto="1"/>
      </top>
      <bottom/>
      <diagonal/>
    </border>
    <border>
      <left/>
      <right style="dashed">
        <color auto="1"/>
      </right>
      <top/>
      <bottom/>
      <diagonal/>
    </border>
    <border>
      <left style="dashed">
        <color auto="1"/>
      </left>
      <right/>
      <top/>
      <bottom/>
      <diagonal/>
    </border>
    <border>
      <left style="dashed">
        <color auto="1"/>
      </left>
      <right/>
      <top/>
      <bottom style="thin">
        <color auto="1"/>
      </bottom>
      <diagonal/>
    </border>
    <border>
      <left style="medium">
        <color auto="1"/>
      </left>
      <right/>
      <top/>
      <bottom style="medium">
        <color auto="1"/>
      </bottom>
      <diagonal/>
    </border>
    <border>
      <left/>
      <right style="thin">
        <color auto="1"/>
      </right>
      <top style="thin">
        <color auto="1"/>
      </top>
      <bottom style="medium">
        <color auto="1"/>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0" fillId="6" borderId="73" applyNumberFormat="0" applyFont="0" applyAlignment="0" applyProtection="0">
      <alignment vertical="center"/>
    </xf>
    <xf numFmtId="0" fontId="190"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3" fillId="0" borderId="74" applyNumberFormat="0" applyFill="0" applyAlignment="0" applyProtection="0">
      <alignment vertical="center"/>
    </xf>
    <xf numFmtId="0" fontId="194" fillId="0" borderId="74" applyNumberFormat="0" applyFill="0" applyAlignment="0" applyProtection="0">
      <alignment vertical="center"/>
    </xf>
    <xf numFmtId="0" fontId="195" fillId="0" borderId="75" applyNumberFormat="0" applyFill="0" applyAlignment="0" applyProtection="0">
      <alignment vertical="center"/>
    </xf>
    <xf numFmtId="0" fontId="195" fillId="0" borderId="0" applyNumberFormat="0" applyFill="0" applyBorder="0" applyAlignment="0" applyProtection="0">
      <alignment vertical="center"/>
    </xf>
    <xf numFmtId="0" fontId="196" fillId="7" borderId="76" applyNumberFormat="0" applyAlignment="0" applyProtection="0">
      <alignment vertical="center"/>
    </xf>
    <xf numFmtId="0" fontId="197" fillId="8" borderId="77" applyNumberFormat="0" applyAlignment="0" applyProtection="0">
      <alignment vertical="center"/>
    </xf>
    <xf numFmtId="0" fontId="198" fillId="8" borderId="76" applyNumberFormat="0" applyAlignment="0" applyProtection="0">
      <alignment vertical="center"/>
    </xf>
    <xf numFmtId="0" fontId="199" fillId="9" borderId="78" applyNumberFormat="0" applyAlignment="0" applyProtection="0">
      <alignment vertical="center"/>
    </xf>
    <xf numFmtId="0" fontId="200" fillId="0" borderId="79" applyNumberFormat="0" applyFill="0" applyAlignment="0" applyProtection="0">
      <alignment vertical="center"/>
    </xf>
    <xf numFmtId="0" fontId="201" fillId="0" borderId="80" applyNumberFormat="0" applyFill="0" applyAlignment="0" applyProtection="0">
      <alignment vertical="center"/>
    </xf>
    <xf numFmtId="0" fontId="202" fillId="10" borderId="0" applyNumberFormat="0" applyBorder="0" applyAlignment="0" applyProtection="0">
      <alignment vertical="center"/>
    </xf>
    <xf numFmtId="0" fontId="203" fillId="11" borderId="0" applyNumberFormat="0" applyBorder="0" applyAlignment="0" applyProtection="0">
      <alignment vertical="center"/>
    </xf>
    <xf numFmtId="0" fontId="204" fillId="12" borderId="0" applyNumberFormat="0" applyBorder="0" applyAlignment="0" applyProtection="0">
      <alignment vertical="center"/>
    </xf>
    <xf numFmtId="0" fontId="205" fillId="13" borderId="0" applyNumberFormat="0" applyBorder="0" applyAlignment="0" applyProtection="0">
      <alignment vertical="center"/>
    </xf>
    <xf numFmtId="0" fontId="206" fillId="14" borderId="0" applyNumberFormat="0" applyBorder="0" applyAlignment="0" applyProtection="0">
      <alignment vertical="center"/>
    </xf>
    <xf numFmtId="0" fontId="206" fillId="15" borderId="0" applyNumberFormat="0" applyBorder="0" applyAlignment="0" applyProtection="0">
      <alignment vertical="center"/>
    </xf>
    <xf numFmtId="0" fontId="205" fillId="16" borderId="0" applyNumberFormat="0" applyBorder="0" applyAlignment="0" applyProtection="0">
      <alignment vertical="center"/>
    </xf>
    <xf numFmtId="0" fontId="205" fillId="17" borderId="0" applyNumberFormat="0" applyBorder="0" applyAlignment="0" applyProtection="0">
      <alignment vertical="center"/>
    </xf>
    <xf numFmtId="0" fontId="206" fillId="18" borderId="0" applyNumberFormat="0" applyBorder="0" applyAlignment="0" applyProtection="0">
      <alignment vertical="center"/>
    </xf>
    <xf numFmtId="0" fontId="206" fillId="19" borderId="0" applyNumberFormat="0" applyBorder="0" applyAlignment="0" applyProtection="0">
      <alignment vertical="center"/>
    </xf>
    <xf numFmtId="0" fontId="205" fillId="20" borderId="0" applyNumberFormat="0" applyBorder="0" applyAlignment="0" applyProtection="0">
      <alignment vertical="center"/>
    </xf>
    <xf numFmtId="0" fontId="205" fillId="21" borderId="0" applyNumberFormat="0" applyBorder="0" applyAlignment="0" applyProtection="0">
      <alignment vertical="center"/>
    </xf>
    <xf numFmtId="0" fontId="206" fillId="22" borderId="0" applyNumberFormat="0" applyBorder="0" applyAlignment="0" applyProtection="0">
      <alignment vertical="center"/>
    </xf>
    <xf numFmtId="0" fontId="206" fillId="23" borderId="0" applyNumberFormat="0" applyBorder="0" applyAlignment="0" applyProtection="0">
      <alignment vertical="center"/>
    </xf>
    <xf numFmtId="0" fontId="205" fillId="24" borderId="0" applyNumberFormat="0" applyBorder="0" applyAlignment="0" applyProtection="0">
      <alignment vertical="center"/>
    </xf>
    <xf numFmtId="0" fontId="205" fillId="25" borderId="0" applyNumberFormat="0" applyBorder="0" applyAlignment="0" applyProtection="0">
      <alignment vertical="center"/>
    </xf>
    <xf numFmtId="0" fontId="206" fillId="26" borderId="0" applyNumberFormat="0" applyBorder="0" applyAlignment="0" applyProtection="0">
      <alignment vertical="center"/>
    </xf>
    <xf numFmtId="0" fontId="206" fillId="27" borderId="0" applyNumberFormat="0" applyBorder="0" applyAlignment="0" applyProtection="0">
      <alignment vertical="center"/>
    </xf>
    <xf numFmtId="0" fontId="205" fillId="28" borderId="0" applyNumberFormat="0" applyBorder="0" applyAlignment="0" applyProtection="0">
      <alignment vertical="center"/>
    </xf>
    <xf numFmtId="0" fontId="205" fillId="29" borderId="0" applyNumberFormat="0" applyBorder="0" applyAlignment="0" applyProtection="0">
      <alignment vertical="center"/>
    </xf>
    <xf numFmtId="0" fontId="206" fillId="30" borderId="0" applyNumberFormat="0" applyBorder="0" applyAlignment="0" applyProtection="0">
      <alignment vertical="center"/>
    </xf>
    <xf numFmtId="0" fontId="206" fillId="31" borderId="0" applyNumberFormat="0" applyBorder="0" applyAlignment="0" applyProtection="0">
      <alignment vertical="center"/>
    </xf>
    <xf numFmtId="0" fontId="205" fillId="32" borderId="0" applyNumberFormat="0" applyBorder="0" applyAlignment="0" applyProtection="0">
      <alignment vertical="center"/>
    </xf>
    <xf numFmtId="0" fontId="205" fillId="33" borderId="0" applyNumberFormat="0" applyBorder="0" applyAlignment="0" applyProtection="0">
      <alignment vertical="center"/>
    </xf>
    <xf numFmtId="0" fontId="206" fillId="34" borderId="0" applyNumberFormat="0" applyBorder="0" applyAlignment="0" applyProtection="0">
      <alignment vertical="center"/>
    </xf>
    <xf numFmtId="0" fontId="206" fillId="35" borderId="0" applyNumberFormat="0" applyBorder="0" applyAlignment="0" applyProtection="0">
      <alignment vertical="center"/>
    </xf>
    <xf numFmtId="0" fontId="205" fillId="36" borderId="0" applyNumberFormat="0" applyBorder="0" applyAlignment="0" applyProtection="0">
      <alignment vertical="center"/>
    </xf>
    <xf numFmtId="0" fontId="207" fillId="0" borderId="0"/>
    <xf numFmtId="0" fontId="3" fillId="0" borderId="0"/>
  </cellStyleXfs>
  <cellXfs count="1242">
    <xf numFmtId="0" fontId="0" fillId="0" borderId="0" xfId="0">
      <alignment vertical="center"/>
    </xf>
    <xf numFmtId="0" fontId="0" fillId="0" borderId="0" xfId="0" applyAlignment="1">
      <alignment horizontal="center" vertical="center"/>
    </xf>
    <xf numFmtId="0" fontId="1" fillId="0" borderId="0" xfId="0" applyFont="1" applyBorder="1" applyAlignment="1">
      <alignment horizontal="center" vertical="center"/>
    </xf>
    <xf numFmtId="0" fontId="2" fillId="0" borderId="0" xfId="0" applyFont="1" applyBorder="1" applyAlignment="1">
      <alignment horizontal="center" vertical="center"/>
    </xf>
    <xf numFmtId="0" fontId="3" fillId="0" borderId="1" xfId="0" applyFont="1" applyBorder="1" applyAlignment="1">
      <alignment horizontal="center" vertical="center"/>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14" fontId="3" fillId="0" borderId="2" xfId="0" applyNumberFormat="1" applyFont="1" applyBorder="1" applyAlignment="1">
      <alignment horizontal="center" vertical="center"/>
    </xf>
    <xf numFmtId="0" fontId="0" fillId="0" borderId="0"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3" fillId="0" borderId="6" xfId="0" applyFont="1" applyBorder="1" applyAlignment="1">
      <alignment horizontal="center" vertical="center" wrapText="1"/>
    </xf>
    <xf numFmtId="0" fontId="2" fillId="0" borderId="7" xfId="0" applyFont="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 fillId="0" borderId="5" xfId="0" applyFont="1" applyBorder="1" applyAlignment="1">
      <alignment horizontal="center" vertical="center"/>
    </xf>
    <xf numFmtId="44" fontId="0" fillId="0" borderId="11" xfId="2" applyFont="1" applyBorder="1" applyAlignment="1">
      <alignment horizontal="center" vertical="center" wrapText="1"/>
    </xf>
    <xf numFmtId="44" fontId="0" fillId="0" borderId="12" xfId="2" applyFont="1" applyBorder="1" applyAlignment="1">
      <alignment horizontal="center" vertical="center" wrapText="1"/>
    </xf>
    <xf numFmtId="44" fontId="0" fillId="0" borderId="13" xfId="2" applyFont="1" applyBorder="1" applyAlignment="1">
      <alignment horizontal="center" vertical="center" wrapText="1"/>
    </xf>
    <xf numFmtId="0" fontId="0" fillId="0" borderId="0" xfId="0" applyAlignment="1">
      <alignment vertical="center"/>
    </xf>
    <xf numFmtId="0" fontId="0" fillId="0" borderId="0" xfId="0" applyBorder="1" applyAlignment="1"/>
    <xf numFmtId="0" fontId="0" fillId="0" borderId="0" xfId="0" applyAlignment="1"/>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xf numFmtId="176" fontId="0" fillId="0" borderId="0" xfId="0" applyNumberFormat="1" applyAlignment="1">
      <alignment horizontal="left"/>
    </xf>
    <xf numFmtId="0" fontId="0" fillId="0" borderId="0" xfId="0" applyAlignment="1">
      <alignment horizontal="left"/>
    </xf>
    <xf numFmtId="0" fontId="0" fillId="0" borderId="0" xfId="0" applyAlignment="1">
      <alignment horizontal="right"/>
    </xf>
    <xf numFmtId="177" fontId="7" fillId="0" borderId="14" xfId="0" applyNumberFormat="1" applyFont="1" applyBorder="1" applyAlignment="1">
      <alignment horizontal="left"/>
    </xf>
    <xf numFmtId="0" fontId="2" fillId="0" borderId="14" xfId="0" applyFont="1" applyBorder="1" applyAlignment="1"/>
    <xf numFmtId="0" fontId="0" fillId="0" borderId="14" xfId="0" applyBorder="1" applyAlignment="1"/>
    <xf numFmtId="0" fontId="6" fillId="0" borderId="0" xfId="0" applyFont="1" applyAlignment="1">
      <alignment horizontal="right"/>
    </xf>
    <xf numFmtId="0" fontId="7" fillId="0" borderId="14" xfId="0" applyFont="1" applyBorder="1" applyAlignment="1">
      <alignment horizontal="center"/>
    </xf>
    <xf numFmtId="0" fontId="2" fillId="0" borderId="14" xfId="0" applyFont="1" applyBorder="1" applyAlignment="1">
      <alignment horizontal="center"/>
    </xf>
    <xf numFmtId="0" fontId="0" fillId="0" borderId="12" xfId="0" applyBorder="1" applyAlignment="1"/>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Border="1" applyAlignment="1"/>
    <xf numFmtId="0" fontId="11" fillId="0" borderId="0" xfId="0" applyFont="1" applyAlignment="1"/>
    <xf numFmtId="0" fontId="10" fillId="0" borderId="15" xfId="0" applyFont="1" applyBorder="1" applyAlignment="1"/>
    <xf numFmtId="0" fontId="0" fillId="0" borderId="15" xfId="0" applyBorder="1" applyAlignment="1"/>
    <xf numFmtId="0" fontId="0" fillId="0" borderId="0" xfId="0" applyAlignment="1">
      <alignment horizontal="center"/>
    </xf>
    <xf numFmtId="0" fontId="2" fillId="0" borderId="0" xfId="0" applyFont="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0" fillId="0" borderId="9" xfId="0" applyBorder="1">
      <alignment vertical="center"/>
    </xf>
    <xf numFmtId="0" fontId="17" fillId="0" borderId="0" xfId="0" applyFont="1">
      <alignment vertical="center"/>
    </xf>
    <xf numFmtId="0" fontId="18" fillId="0" borderId="0" xfId="0" applyFont="1">
      <alignment vertical="center"/>
    </xf>
    <xf numFmtId="0" fontId="19" fillId="0" borderId="12" xfId="0" applyFont="1" applyBorder="1" applyAlignment="1">
      <alignment horizontal="center" vertical="center"/>
    </xf>
    <xf numFmtId="0" fontId="0" fillId="0" borderId="12" xfId="0" applyBorder="1" applyAlignment="1">
      <alignment horizontal="center" vertical="center"/>
    </xf>
    <xf numFmtId="0" fontId="0" fillId="0" borderId="0" xfId="0" applyFont="1">
      <alignment vertical="center"/>
    </xf>
    <xf numFmtId="178" fontId="0" fillId="0" borderId="12" xfId="0" applyNumberFormat="1" applyBorder="1" applyAlignment="1">
      <alignment horizontal="center" vertical="center"/>
    </xf>
    <xf numFmtId="179" fontId="9" fillId="0" borderId="12" xfId="0" applyNumberFormat="1" applyFont="1" applyBorder="1" applyAlignment="1">
      <alignment horizontal="center" vertical="center"/>
    </xf>
    <xf numFmtId="0" fontId="0" fillId="0" borderId="0" xfId="0" applyAlignment="1">
      <alignment horizontal="left" vertical="center"/>
    </xf>
    <xf numFmtId="178" fontId="0" fillId="0" borderId="0" xfId="0" applyNumberFormat="1" applyBorder="1" applyAlignment="1">
      <alignment horizontal="center" vertical="center"/>
    </xf>
    <xf numFmtId="179" fontId="9" fillId="0" borderId="0" xfId="0" applyNumberFormat="1" applyFont="1" applyBorder="1" applyAlignment="1">
      <alignment horizontal="center" vertical="center"/>
    </xf>
    <xf numFmtId="178" fontId="0" fillId="0" borderId="0" xfId="0" applyNumberFormat="1" applyFont="1" applyBorder="1" applyAlignment="1">
      <alignment vertical="center"/>
    </xf>
    <xf numFmtId="0" fontId="0" fillId="0" borderId="0" xfId="0" applyBorder="1">
      <alignment vertical="center"/>
    </xf>
    <xf numFmtId="0" fontId="20" fillId="0" borderId="0" xfId="0" applyFont="1">
      <alignment vertical="center"/>
    </xf>
    <xf numFmtId="178" fontId="21" fillId="0" borderId="0" xfId="0" applyNumberFormat="1" applyFont="1" applyAlignment="1">
      <alignment horizontal="center" vertical="center"/>
    </xf>
    <xf numFmtId="0" fontId="20" fillId="0" borderId="0" xfId="0" applyFont="1" applyAlignment="1">
      <alignment horizontal="right" vertical="center"/>
    </xf>
    <xf numFmtId="0" fontId="0" fillId="0" borderId="0" xfId="0" applyAlignment="1">
      <alignment horizontal="right" vertical="center"/>
    </xf>
    <xf numFmtId="178" fontId="0" fillId="0" borderId="0" xfId="0" applyNumberFormat="1" applyAlignment="1">
      <alignment horizontal="right" vertical="center"/>
    </xf>
    <xf numFmtId="0" fontId="22" fillId="0" borderId="0" xfId="0" applyFont="1">
      <alignment vertical="center"/>
    </xf>
    <xf numFmtId="0" fontId="22" fillId="0" borderId="12" xfId="0" applyFont="1" applyBorder="1" applyAlignment="1">
      <alignment horizontal="center" vertical="center"/>
    </xf>
    <xf numFmtId="0" fontId="0" fillId="0" borderId="12" xfId="0" applyFont="1" applyBorder="1" applyAlignment="1">
      <alignment horizontal="center" vertical="center"/>
    </xf>
    <xf numFmtId="178" fontId="0" fillId="0" borderId="12" xfId="0" applyNumberFormat="1" applyFont="1" applyBorder="1" applyAlignment="1">
      <alignment horizontal="center" vertical="center"/>
    </xf>
    <xf numFmtId="179" fontId="23" fillId="0" borderId="12" xfId="0" applyNumberFormat="1" applyFont="1" applyBorder="1" applyAlignment="1">
      <alignment horizontal="center" vertical="center"/>
    </xf>
    <xf numFmtId="0" fontId="0" fillId="0" borderId="0" xfId="0" applyFont="1" applyAlignment="1">
      <alignment horizontal="left" vertical="center"/>
    </xf>
    <xf numFmtId="0" fontId="24" fillId="0" borderId="12" xfId="0" applyFont="1" applyBorder="1" applyAlignment="1">
      <alignment horizontal="center" vertical="center"/>
    </xf>
    <xf numFmtId="179" fontId="25" fillId="0" borderId="12" xfId="0" applyNumberFormat="1" applyFont="1" applyBorder="1" applyAlignment="1">
      <alignment horizontal="center" vertical="center"/>
    </xf>
    <xf numFmtId="0" fontId="26" fillId="0" borderId="12" xfId="0" applyFont="1" applyBorder="1" applyAlignment="1">
      <alignment horizontal="center" vertical="center"/>
    </xf>
    <xf numFmtId="0" fontId="27" fillId="0" borderId="0" xfId="0" applyFont="1">
      <alignment vertical="center"/>
    </xf>
    <xf numFmtId="178" fontId="21" fillId="0" borderId="0" xfId="0" applyNumberFormat="1" applyFont="1" applyAlignment="1">
      <alignment vertical="center"/>
    </xf>
    <xf numFmtId="178" fontId="9" fillId="0" borderId="0" xfId="0" applyNumberFormat="1" applyFont="1" applyAlignment="1">
      <alignment horizontal="right" vertical="center"/>
    </xf>
    <xf numFmtId="180" fontId="9" fillId="0" borderId="0" xfId="0" applyNumberFormat="1" applyFont="1" applyAlignment="1">
      <alignment horizontal="left" vertical="center"/>
    </xf>
    <xf numFmtId="0" fontId="28" fillId="0" borderId="0" xfId="0" applyFont="1">
      <alignment vertical="center"/>
    </xf>
    <xf numFmtId="0" fontId="9" fillId="0" borderId="0" xfId="0" applyFont="1">
      <alignment vertical="center"/>
    </xf>
    <xf numFmtId="0" fontId="23" fillId="0" borderId="0" xfId="0" applyFont="1">
      <alignment vertical="center"/>
    </xf>
    <xf numFmtId="0" fontId="29" fillId="0" borderId="0" xfId="0" applyFont="1" applyAlignment="1">
      <alignment horizontal="left" vertical="center"/>
    </xf>
    <xf numFmtId="0" fontId="3" fillId="0" borderId="0" xfId="0" applyFont="1" applyAlignment="1">
      <alignment horizontal="left" vertical="center"/>
    </xf>
    <xf numFmtId="0" fontId="30" fillId="0" borderId="0" xfId="0" applyFont="1" applyAlignment="1">
      <alignment horizontal="center" vertical="center"/>
    </xf>
    <xf numFmtId="0" fontId="28" fillId="0" borderId="0" xfId="0" applyFont="1" applyAlignment="1">
      <alignment horizontal="center" vertical="center"/>
    </xf>
    <xf numFmtId="0" fontId="31" fillId="0" borderId="0" xfId="0" applyFont="1" applyAlignment="1">
      <alignment horizontal="center" vertical="center"/>
    </xf>
    <xf numFmtId="0" fontId="31" fillId="0" borderId="0" xfId="0" applyFont="1" applyBorder="1" applyAlignment="1"/>
    <xf numFmtId="0" fontId="29" fillId="0" borderId="0" xfId="0" applyFont="1" applyAlignment="1">
      <alignment horizontal="left"/>
    </xf>
    <xf numFmtId="180" fontId="3" fillId="0" borderId="0" xfId="0" applyNumberFormat="1" applyFont="1" applyAlignment="1">
      <alignment horizontal="left"/>
    </xf>
    <xf numFmtId="180" fontId="0" fillId="0" borderId="0" xfId="0" applyNumberFormat="1" applyAlignment="1">
      <alignment horizontal="left"/>
    </xf>
    <xf numFmtId="0" fontId="29" fillId="0" borderId="0" xfId="0" applyFont="1" applyAlignment="1"/>
    <xf numFmtId="0" fontId="32" fillId="0" borderId="0" xfId="0" applyFont="1" applyAlignment="1">
      <alignment horizontal="center" vertical="center"/>
    </xf>
    <xf numFmtId="0" fontId="33" fillId="0" borderId="0" xfId="0" applyFont="1" applyAlignment="1"/>
    <xf numFmtId="0" fontId="30" fillId="0" borderId="0" xfId="0" applyFont="1" applyAlignment="1"/>
    <xf numFmtId="0" fontId="30" fillId="0" borderId="0" xfId="0" applyFont="1" applyAlignment="1">
      <alignment horizontal="left"/>
    </xf>
    <xf numFmtId="0" fontId="34" fillId="0" borderId="0" xfId="0" applyFont="1" applyAlignment="1">
      <alignment horizontal="distributed" vertical="center"/>
    </xf>
    <xf numFmtId="0" fontId="29" fillId="0" borderId="0" xfId="0" applyFont="1" applyAlignment="1">
      <alignment horizontal="distributed" vertical="center"/>
    </xf>
    <xf numFmtId="0" fontId="29" fillId="0" borderId="0" xfId="0" applyFont="1" applyAlignment="1">
      <alignment horizontal="distributed"/>
    </xf>
    <xf numFmtId="0" fontId="29" fillId="0" borderId="0" xfId="0" applyFont="1" applyAlignment="1">
      <alignment wrapText="1"/>
    </xf>
    <xf numFmtId="0" fontId="9" fillId="0" borderId="0" xfId="0" applyFont="1" applyAlignment="1"/>
    <xf numFmtId="0" fontId="34" fillId="0" borderId="0" xfId="0" applyFont="1" applyAlignment="1">
      <alignment horizontal="distributed"/>
    </xf>
    <xf numFmtId="0" fontId="0" fillId="0" borderId="0" xfId="0" applyAlignment="1">
      <alignment horizontal="distributed"/>
    </xf>
    <xf numFmtId="0" fontId="34" fillId="0" borderId="0" xfId="0" applyFont="1" applyAlignment="1">
      <alignment horizontal="left"/>
    </xf>
    <xf numFmtId="49" fontId="11" fillId="0" borderId="0" xfId="0" applyNumberFormat="1" applyFont="1" applyAlignment="1"/>
    <xf numFmtId="0" fontId="10" fillId="0" borderId="0" xfId="0" applyFont="1" applyBorder="1" applyAlignment="1">
      <alignment horizontal="center" vertical="center" wrapText="1"/>
    </xf>
    <xf numFmtId="49" fontId="0" fillId="0" borderId="0" xfId="0" applyNumberFormat="1" applyAlignment="1"/>
    <xf numFmtId="0" fontId="11" fillId="0" borderId="0" xfId="0" applyFont="1" applyAlignment="1">
      <alignment horizontal="left" shrinkToFit="1"/>
    </xf>
    <xf numFmtId="0" fontId="0" fillId="0" borderId="0" xfId="0" applyAlignment="1">
      <alignment horizontal="left" shrinkToFit="1"/>
    </xf>
    <xf numFmtId="0" fontId="35" fillId="0" borderId="12" xfId="0" applyFont="1" applyBorder="1" applyAlignment="1">
      <alignment horizontal="center" vertical="center"/>
    </xf>
    <xf numFmtId="0" fontId="10" fillId="0" borderId="12" xfId="0" applyFont="1" applyBorder="1" applyAlignment="1">
      <alignment horizontal="center" vertical="center" wrapText="1"/>
    </xf>
    <xf numFmtId="0" fontId="7" fillId="0" borderId="12" xfId="0" applyFont="1" applyBorder="1" applyAlignment="1">
      <alignment horizontal="center" vertical="center"/>
    </xf>
    <xf numFmtId="0" fontId="2" fillId="0" borderId="12" xfId="0" applyFont="1" applyBorder="1" applyAlignment="1">
      <alignment horizontal="center" vertical="center"/>
    </xf>
    <xf numFmtId="0" fontId="11" fillId="0" borderId="0" xfId="0" applyFont="1" applyAlignment="1">
      <alignment shrinkToFit="1"/>
    </xf>
    <xf numFmtId="0" fontId="0" fillId="0" borderId="0" xfId="0" applyAlignment="1">
      <alignment shrinkToFit="1"/>
    </xf>
    <xf numFmtId="0" fontId="30" fillId="0" borderId="12" xfId="0" applyFont="1" applyBorder="1" applyAlignment="1">
      <alignment horizontal="center" vertical="center"/>
    </xf>
    <xf numFmtId="14" fontId="35" fillId="0" borderId="0" xfId="0" applyNumberFormat="1" applyFont="1" applyAlignment="1">
      <alignment horizontal="center" vertical="center"/>
    </xf>
    <xf numFmtId="0" fontId="0" fillId="0" borderId="0" xfId="0" applyFont="1" applyAlignment="1"/>
    <xf numFmtId="14" fontId="35" fillId="0" borderId="12" xfId="0" applyNumberFormat="1" applyFont="1" applyBorder="1" applyAlignment="1">
      <alignment horizontal="center" vertical="center"/>
    </xf>
    <xf numFmtId="0" fontId="8" fillId="0" borderId="0" xfId="0" applyFont="1" applyAlignment="1"/>
    <xf numFmtId="0" fontId="36" fillId="0" borderId="0" xfId="0" applyFont="1" applyBorder="1" applyAlignment="1">
      <alignment horizontal="center" vertical="center"/>
    </xf>
    <xf numFmtId="0" fontId="0" fillId="0" borderId="12" xfId="0" applyBorder="1">
      <alignment vertical="center"/>
    </xf>
    <xf numFmtId="0" fontId="8" fillId="0" borderId="0" xfId="0" applyFont="1" applyAlignment="1">
      <alignment horizontal="center"/>
    </xf>
    <xf numFmtId="0" fontId="9" fillId="0" borderId="0" xfId="0" applyFont="1" applyBorder="1" applyAlignment="1"/>
    <xf numFmtId="0" fontId="2" fillId="0" borderId="0" xfId="0" applyFont="1" applyAlignment="1">
      <alignment vertical="center"/>
    </xf>
    <xf numFmtId="0" fontId="2" fillId="0" borderId="0" xfId="0" applyFont="1" applyBorder="1" applyAlignment="1">
      <alignment vertical="center"/>
    </xf>
    <xf numFmtId="0" fontId="25" fillId="0" borderId="12" xfId="0" applyFont="1" applyBorder="1" applyAlignment="1"/>
    <xf numFmtId="0" fontId="25" fillId="0" borderId="0" xfId="0" applyFont="1" applyBorder="1" applyAlignment="1"/>
    <xf numFmtId="0" fontId="7" fillId="0" borderId="0" xfId="0" applyFont="1" applyAlignment="1">
      <alignment horizontal="center" vertical="center"/>
    </xf>
    <xf numFmtId="49" fontId="9" fillId="0" borderId="0" xfId="0" applyNumberFormat="1" applyFont="1" applyAlignment="1">
      <alignment vertical="center"/>
    </xf>
    <xf numFmtId="0" fontId="7" fillId="0" borderId="0" xfId="0" applyNumberFormat="1" applyFont="1" applyAlignment="1">
      <alignment vertical="center"/>
    </xf>
    <xf numFmtId="49" fontId="0" fillId="0" borderId="0" xfId="0" applyNumberFormat="1" applyAlignment="1">
      <alignment horizontal="center" vertical="center"/>
    </xf>
    <xf numFmtId="0" fontId="7" fillId="0" borderId="0" xfId="0" applyNumberFormat="1" applyFont="1" applyAlignment="1">
      <alignment horizontal="center" vertical="center"/>
    </xf>
    <xf numFmtId="0" fontId="7" fillId="0" borderId="0" xfId="0" applyFont="1" applyAlignment="1">
      <alignment horizontal="center"/>
    </xf>
    <xf numFmtId="0" fontId="2" fillId="0" borderId="0" xfId="0" applyNumberFormat="1" applyFont="1" applyAlignment="1">
      <alignment horizontal="center" vertical="center"/>
    </xf>
    <xf numFmtId="0" fontId="3" fillId="0" borderId="0" xfId="0" applyFont="1" applyAlignment="1"/>
    <xf numFmtId="0" fontId="3" fillId="0" borderId="0" xfId="0" applyFont="1" applyBorder="1" applyAlignment="1"/>
    <xf numFmtId="49" fontId="2" fillId="0" borderId="12" xfId="0" applyNumberFormat="1" applyFont="1" applyBorder="1" applyAlignment="1">
      <alignment horizontal="right" vertical="center"/>
    </xf>
    <xf numFmtId="49" fontId="7" fillId="0" borderId="12" xfId="0" applyNumberFormat="1" applyFont="1" applyBorder="1" applyAlignment="1">
      <alignment horizontal="center" vertical="center"/>
    </xf>
    <xf numFmtId="49" fontId="11" fillId="0" borderId="12" xfId="0" applyNumberFormat="1" applyFont="1" applyBorder="1" applyAlignment="1">
      <alignment horizontal="left" vertical="center"/>
    </xf>
    <xf numFmtId="49" fontId="3" fillId="0" borderId="12" xfId="0" applyNumberFormat="1" applyFont="1" applyBorder="1" applyAlignment="1">
      <alignment horizontal="left" vertical="center"/>
    </xf>
    <xf numFmtId="49" fontId="11" fillId="0" borderId="12" xfId="0" applyNumberFormat="1" applyFont="1" applyBorder="1" applyAlignment="1"/>
    <xf numFmtId="49" fontId="25" fillId="0" borderId="12" xfId="0" applyNumberFormat="1" applyFont="1" applyBorder="1" applyAlignment="1"/>
    <xf numFmtId="49" fontId="3" fillId="0" borderId="0" xfId="0" applyNumberFormat="1" applyFont="1" applyAlignment="1"/>
    <xf numFmtId="0" fontId="2" fillId="0" borderId="12" xfId="0" applyNumberFormat="1" applyFont="1" applyBorder="1" applyAlignment="1">
      <alignment horizontal="center" vertical="center"/>
    </xf>
    <xf numFmtId="49" fontId="7" fillId="0" borderId="12" xfId="0" applyNumberFormat="1" applyFont="1" applyBorder="1" applyAlignment="1">
      <alignment horizontal="left" vertical="center"/>
    </xf>
    <xf numFmtId="49" fontId="2" fillId="0" borderId="12" xfId="0" applyNumberFormat="1" applyFont="1" applyBorder="1" applyAlignment="1">
      <alignment horizontal="left" vertical="center"/>
    </xf>
    <xf numFmtId="0" fontId="3" fillId="0" borderId="12" xfId="0" applyFont="1" applyBorder="1" applyAlignment="1"/>
    <xf numFmtId="0" fontId="37" fillId="0" borderId="0" xfId="0" applyFont="1">
      <alignment vertical="center"/>
    </xf>
    <xf numFmtId="0" fontId="38" fillId="0" borderId="0" xfId="0" applyFont="1">
      <alignment vertical="center"/>
    </xf>
    <xf numFmtId="0" fontId="39" fillId="0" borderId="0" xfId="0" applyFont="1" applyAlignment="1">
      <alignment horizontal="right" vertical="center"/>
    </xf>
    <xf numFmtId="0" fontId="39" fillId="0" borderId="0" xfId="0" applyFont="1" applyAlignment="1">
      <alignment horizontal="right"/>
    </xf>
    <xf numFmtId="0" fontId="37" fillId="0" borderId="0" xfId="0" applyFont="1" applyAlignment="1">
      <alignment horizontal="center" vertical="center"/>
    </xf>
    <xf numFmtId="0" fontId="40" fillId="0" borderId="0" xfId="0" applyFont="1" applyAlignment="1">
      <alignment horizontal="center" vertical="center" wrapText="1"/>
    </xf>
    <xf numFmtId="0" fontId="40" fillId="0" borderId="0" xfId="0" applyFont="1">
      <alignment vertical="center"/>
    </xf>
    <xf numFmtId="0" fontId="40" fillId="0" borderId="0" xfId="0" applyFont="1" applyAlignment="1">
      <alignment horizontal="center" vertical="center"/>
    </xf>
    <xf numFmtId="14" fontId="40" fillId="0" borderId="0" xfId="0" applyNumberFormat="1" applyFont="1" applyAlignment="1">
      <alignment horizontal="center" vertical="center"/>
    </xf>
    <xf numFmtId="0" fontId="38" fillId="0" borderId="0" xfId="0" applyFont="1" applyAlignment="1">
      <alignment horizontal="center" vertical="center"/>
    </xf>
    <xf numFmtId="0" fontId="41" fillId="0" borderId="0" xfId="0" applyFont="1" applyAlignment="1">
      <alignment horizontal="center" vertical="center" wrapText="1"/>
    </xf>
    <xf numFmtId="0" fontId="42" fillId="0" borderId="0" xfId="0" applyFont="1" applyAlignment="1">
      <alignment horizontal="center" vertical="center"/>
    </xf>
    <xf numFmtId="0" fontId="43" fillId="0" borderId="0" xfId="0" applyFont="1" applyAlignment="1">
      <alignment horizontal="center" vertical="center"/>
    </xf>
    <xf numFmtId="14" fontId="44" fillId="0" borderId="0" xfId="0" applyNumberFormat="1" applyFont="1" applyAlignment="1">
      <alignment horizontal="center" vertical="center"/>
    </xf>
    <xf numFmtId="0" fontId="44" fillId="0" borderId="0" xfId="0" applyFont="1" applyAlignment="1">
      <alignment horizontal="center" vertical="center"/>
    </xf>
    <xf numFmtId="0" fontId="16" fillId="0" borderId="0" xfId="0" applyFont="1" applyAlignment="1">
      <alignment horizontal="center" vertical="center"/>
    </xf>
    <xf numFmtId="0" fontId="44" fillId="0" borderId="0" xfId="0" applyFont="1" applyAlignment="1">
      <alignment horizontal="left" vertical="center"/>
    </xf>
    <xf numFmtId="0" fontId="44" fillId="0" borderId="0" xfId="0" applyFont="1" applyAlignment="1">
      <alignment horizontal="right" vertical="center"/>
    </xf>
    <xf numFmtId="0" fontId="39" fillId="0" borderId="0" xfId="0" applyFont="1" applyAlignment="1">
      <alignment horizontal="left"/>
    </xf>
    <xf numFmtId="0" fontId="39" fillId="0" borderId="0" xfId="0" applyFont="1" applyAlignment="1">
      <alignment horizontal="left" vertical="center"/>
    </xf>
    <xf numFmtId="0" fontId="39" fillId="0" borderId="0" xfId="0" applyFont="1">
      <alignment vertical="center"/>
    </xf>
    <xf numFmtId="0" fontId="39" fillId="0" borderId="0" xfId="0" applyFont="1" applyAlignment="1">
      <alignment horizontal="center" vertical="center"/>
    </xf>
    <xf numFmtId="0" fontId="45" fillId="0" borderId="0" xfId="0" applyFont="1" applyAlignment="1">
      <alignment horizontal="left" vertical="center" wrapText="1"/>
    </xf>
    <xf numFmtId="0" fontId="40" fillId="0" borderId="0" xfId="0" applyFont="1" applyAlignment="1">
      <alignment horizontal="left" vertical="center" wrapText="1"/>
    </xf>
    <xf numFmtId="0" fontId="39" fillId="0" borderId="0" xfId="0" applyFont="1" applyAlignment="1">
      <alignment horizontal="center"/>
    </xf>
    <xf numFmtId="0" fontId="46" fillId="0" borderId="0" xfId="0" applyFont="1" applyAlignment="1">
      <alignment horizontal="center" vertical="center"/>
    </xf>
    <xf numFmtId="0" fontId="47" fillId="0" borderId="0" xfId="0" applyFont="1" applyAlignment="1">
      <alignment horizontal="right" vertical="center"/>
    </xf>
    <xf numFmtId="14" fontId="39" fillId="0" borderId="0" xfId="0" applyNumberFormat="1" applyFont="1" applyAlignment="1">
      <alignment horizontal="center" vertical="center"/>
    </xf>
    <xf numFmtId="179" fontId="43" fillId="0" borderId="0" xfId="0" applyNumberFormat="1" applyFont="1" applyAlignment="1">
      <alignment horizontal="left" vertical="center"/>
    </xf>
    <xf numFmtId="14" fontId="48" fillId="0" borderId="0" xfId="0" applyNumberFormat="1" applyFont="1" applyAlignment="1">
      <alignment vertical="center"/>
    </xf>
    <xf numFmtId="0" fontId="39" fillId="0" borderId="0" xfId="0" applyFont="1" applyAlignment="1">
      <alignment vertical="center"/>
    </xf>
    <xf numFmtId="0" fontId="49" fillId="0" borderId="0" xfId="0" applyFont="1" applyAlignment="1">
      <alignment horizontal="center" vertical="top"/>
    </xf>
    <xf numFmtId="0" fontId="47" fillId="0" borderId="0" xfId="0" applyFont="1" applyAlignment="1">
      <alignment horizontal="center" vertical="center"/>
    </xf>
    <xf numFmtId="0" fontId="46" fillId="0" borderId="0" xfId="0" applyFont="1">
      <alignment vertical="center"/>
    </xf>
    <xf numFmtId="179" fontId="50" fillId="0" borderId="0" xfId="0" applyNumberFormat="1" applyFont="1" applyAlignment="1">
      <alignment horizontal="left" vertical="center"/>
    </xf>
    <xf numFmtId="0" fontId="51" fillId="0" borderId="0" xfId="0" applyFont="1" applyAlignment="1">
      <alignment horizontal="center" vertical="top"/>
    </xf>
    <xf numFmtId="0" fontId="52" fillId="0" borderId="0" xfId="0" applyFont="1">
      <alignment vertical="center"/>
    </xf>
    <xf numFmtId="0" fontId="53" fillId="0" borderId="0" xfId="0" applyFont="1" applyAlignment="1">
      <alignment vertical="top"/>
    </xf>
    <xf numFmtId="0" fontId="54" fillId="0" borderId="0" xfId="0" applyFont="1" applyAlignment="1">
      <alignment vertical="center"/>
    </xf>
    <xf numFmtId="0" fontId="54" fillId="0" borderId="0" xfId="0" applyFont="1" applyAlignment="1">
      <alignment horizontal="center" vertical="center"/>
    </xf>
    <xf numFmtId="0" fontId="55" fillId="0" borderId="0" xfId="0" applyFont="1" applyAlignment="1">
      <alignment vertical="center"/>
    </xf>
    <xf numFmtId="0" fontId="56" fillId="0" borderId="0" xfId="0" applyFont="1" applyAlignment="1">
      <alignment horizontal="center" vertical="center"/>
    </xf>
    <xf numFmtId="0" fontId="57" fillId="0" borderId="0" xfId="0" applyFont="1" applyAlignment="1">
      <alignment horizontal="center" vertical="center"/>
    </xf>
    <xf numFmtId="0" fontId="58" fillId="0" borderId="0" xfId="0" applyFont="1" applyAlignment="1">
      <alignment horizontal="center" vertical="center"/>
    </xf>
    <xf numFmtId="0" fontId="0" fillId="2" borderId="0" xfId="0" applyFont="1" applyFill="1" applyAlignment="1">
      <alignment horizontal="center" vertical="center"/>
    </xf>
    <xf numFmtId="0" fontId="59" fillId="2" borderId="0" xfId="0" applyFont="1" applyFill="1" applyAlignment="1">
      <alignment horizontal="center" vertical="center"/>
    </xf>
    <xf numFmtId="0" fontId="12" fillId="2" borderId="0" xfId="0" applyFont="1" applyFill="1" applyAlignment="1">
      <alignment horizontal="center" vertical="center"/>
    </xf>
    <xf numFmtId="0" fontId="0" fillId="2" borderId="0" xfId="0" applyFill="1" applyAlignment="1">
      <alignment horizontal="right" vertical="center"/>
    </xf>
    <xf numFmtId="0" fontId="0" fillId="2" borderId="12" xfId="0" applyFont="1" applyFill="1" applyBorder="1" applyAlignment="1">
      <alignment horizontal="center" vertical="center"/>
    </xf>
    <xf numFmtId="0" fontId="0" fillId="2" borderId="16" xfId="0" applyFill="1" applyBorder="1" applyAlignment="1">
      <alignment horizontal="center" vertical="center" textRotation="255"/>
    </xf>
    <xf numFmtId="0" fontId="0" fillId="2" borderId="17" xfId="0" applyFont="1" applyFill="1" applyBorder="1" applyAlignment="1">
      <alignment horizontal="center" vertical="center"/>
    </xf>
    <xf numFmtId="0" fontId="22" fillId="2" borderId="17" xfId="0" applyFont="1" applyFill="1" applyBorder="1" applyAlignment="1">
      <alignment horizontal="center" vertical="center"/>
    </xf>
    <xf numFmtId="0" fontId="22" fillId="2" borderId="18" xfId="0" applyFont="1" applyFill="1" applyBorder="1" applyAlignment="1">
      <alignment horizontal="center" vertical="center"/>
    </xf>
    <xf numFmtId="0" fontId="22" fillId="2" borderId="19" xfId="0" applyFont="1" applyFill="1" applyBorder="1" applyAlignment="1">
      <alignment horizontal="center" vertical="center" textRotation="255"/>
    </xf>
    <xf numFmtId="0" fontId="22" fillId="2" borderId="1" xfId="0" applyFont="1" applyFill="1" applyBorder="1" applyAlignment="1">
      <alignment horizontal="left" vertical="center"/>
    </xf>
    <xf numFmtId="0" fontId="22" fillId="2" borderId="20" xfId="0" applyFont="1" applyFill="1" applyBorder="1" applyAlignment="1">
      <alignment horizontal="left" vertical="center"/>
    </xf>
    <xf numFmtId="0" fontId="22" fillId="2" borderId="2" xfId="0" applyFont="1" applyFill="1" applyBorder="1" applyAlignment="1">
      <alignment horizontal="right" vertical="center"/>
    </xf>
    <xf numFmtId="0" fontId="22" fillId="2" borderId="6" xfId="0" applyFont="1" applyFill="1" applyBorder="1" applyAlignment="1">
      <alignment horizontal="right" vertical="center"/>
    </xf>
    <xf numFmtId="0" fontId="22" fillId="2" borderId="21" xfId="0" applyFont="1" applyFill="1" applyBorder="1" applyAlignment="1">
      <alignment horizontal="right" vertical="center"/>
    </xf>
    <xf numFmtId="0" fontId="22" fillId="2" borderId="22" xfId="0" applyFont="1" applyFill="1" applyBorder="1" applyAlignment="1">
      <alignment horizontal="center" vertical="center" textRotation="255"/>
    </xf>
    <xf numFmtId="0" fontId="22" fillId="2" borderId="1" xfId="0" applyFont="1" applyFill="1" applyBorder="1" applyAlignment="1">
      <alignment horizontal="center" vertical="center"/>
    </xf>
    <xf numFmtId="0" fontId="22" fillId="2" borderId="20" xfId="0" applyFont="1" applyFill="1" applyBorder="1" applyAlignment="1">
      <alignment horizontal="center" vertical="center"/>
    </xf>
    <xf numFmtId="0" fontId="22" fillId="2" borderId="23"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left" vertical="center" wrapText="1"/>
    </xf>
    <xf numFmtId="0" fontId="22" fillId="2" borderId="27" xfId="0" applyFont="1" applyFill="1" applyBorder="1" applyAlignment="1">
      <alignment horizontal="left" vertical="center" wrapText="1"/>
    </xf>
    <xf numFmtId="0" fontId="22" fillId="2" borderId="28" xfId="0" applyFont="1" applyFill="1" applyBorder="1" applyAlignment="1">
      <alignment horizontal="left" vertical="center" wrapText="1"/>
    </xf>
    <xf numFmtId="0" fontId="22" fillId="2" borderId="29"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1" xfId="0" applyFont="1" applyFill="1" applyBorder="1" applyAlignment="1">
      <alignment horizontal="center" vertical="center"/>
    </xf>
    <xf numFmtId="0" fontId="22" fillId="2" borderId="30" xfId="0" applyFont="1" applyFill="1" applyBorder="1" applyAlignment="1">
      <alignment horizontal="center" vertical="center" textRotation="255"/>
    </xf>
    <xf numFmtId="0" fontId="22" fillId="2" borderId="8" xfId="0" applyFont="1" applyFill="1" applyBorder="1" applyAlignment="1">
      <alignment horizontal="center" vertical="center"/>
    </xf>
    <xf numFmtId="0" fontId="22" fillId="2" borderId="9" xfId="0" applyFont="1" applyFill="1" applyBorder="1" applyAlignment="1">
      <alignment horizontal="center" vertical="center"/>
    </xf>
    <xf numFmtId="0" fontId="22" fillId="2" borderId="31" xfId="0" applyFont="1" applyFill="1" applyBorder="1" applyAlignment="1">
      <alignment horizontal="center" vertical="center"/>
    </xf>
    <xf numFmtId="0" fontId="22" fillId="2" borderId="32" xfId="0" applyFont="1" applyFill="1" applyBorder="1" applyAlignment="1">
      <alignment horizontal="center" vertical="center"/>
    </xf>
    <xf numFmtId="0" fontId="22" fillId="2" borderId="0" xfId="0" applyFont="1" applyFill="1" applyBorder="1" applyAlignment="1">
      <alignment horizontal="center" vertical="center"/>
    </xf>
    <xf numFmtId="0" fontId="22" fillId="2" borderId="33" xfId="0" applyFont="1" applyFill="1" applyBorder="1" applyAlignment="1">
      <alignment horizontal="center" vertical="center"/>
    </xf>
    <xf numFmtId="0" fontId="22" fillId="2" borderId="34" xfId="0" applyFont="1" applyFill="1" applyBorder="1" applyAlignment="1">
      <alignment horizontal="center" vertical="center" textRotation="255"/>
    </xf>
    <xf numFmtId="0" fontId="22" fillId="2" borderId="35" xfId="0" applyFont="1" applyFill="1" applyBorder="1" applyAlignment="1">
      <alignment horizontal="center" vertical="center"/>
    </xf>
    <xf numFmtId="0" fontId="22" fillId="2" borderId="36" xfId="0" applyFont="1" applyFill="1" applyBorder="1" applyAlignment="1">
      <alignment horizontal="center" vertical="center"/>
    </xf>
    <xf numFmtId="0" fontId="22" fillId="2" borderId="37"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27" xfId="0" applyFont="1" applyFill="1" applyBorder="1" applyAlignment="1">
      <alignment horizontal="center" vertical="center"/>
    </xf>
    <xf numFmtId="0" fontId="16" fillId="2" borderId="26" xfId="0" applyFont="1" applyFill="1" applyBorder="1" applyAlignment="1">
      <alignment horizontal="center" vertical="center"/>
    </xf>
    <xf numFmtId="0" fontId="16" fillId="2" borderId="27" xfId="0" applyFont="1" applyFill="1" applyBorder="1" applyAlignment="1">
      <alignment horizontal="center" vertical="center"/>
    </xf>
    <xf numFmtId="0" fontId="16" fillId="2" borderId="28" xfId="0" applyFont="1" applyFill="1" applyBorder="1" applyAlignment="1">
      <alignment horizontal="center" vertical="center"/>
    </xf>
    <xf numFmtId="0" fontId="0" fillId="2" borderId="0" xfId="0" applyFill="1" applyAlignment="1">
      <alignment horizontal="left" vertical="center"/>
    </xf>
    <xf numFmtId="0" fontId="0" fillId="2" borderId="0" xfId="0" applyFill="1">
      <alignment vertical="center"/>
    </xf>
    <xf numFmtId="0" fontId="60" fillId="2" borderId="0" xfId="0" applyFont="1" applyFill="1" applyAlignment="1">
      <alignment horizontal="center" vertical="center"/>
    </xf>
    <xf numFmtId="0" fontId="61" fillId="2" borderId="0" xfId="0" applyFont="1" applyFill="1" applyAlignment="1">
      <alignment horizontal="left" vertical="center"/>
    </xf>
    <xf numFmtId="0" fontId="61" fillId="2" borderId="0" xfId="0" applyFont="1" applyFill="1">
      <alignment vertical="center"/>
    </xf>
    <xf numFmtId="0" fontId="62" fillId="2" borderId="0" xfId="0" applyFont="1" applyFill="1">
      <alignment vertical="center"/>
    </xf>
    <xf numFmtId="0" fontId="0" fillId="2" borderId="12" xfId="0" applyFill="1" applyBorder="1">
      <alignment vertical="center"/>
    </xf>
    <xf numFmtId="0" fontId="63" fillId="2" borderId="0" xfId="0" applyFont="1" applyFill="1">
      <alignment vertical="center"/>
    </xf>
    <xf numFmtId="0" fontId="64" fillId="2" borderId="0" xfId="0" applyFont="1" applyFill="1">
      <alignment vertical="center"/>
    </xf>
    <xf numFmtId="0" fontId="18" fillId="2" borderId="0" xfId="0" applyFont="1" applyFill="1">
      <alignment vertical="center"/>
    </xf>
    <xf numFmtId="0" fontId="38" fillId="2" borderId="0" xfId="0" applyFont="1" applyFill="1">
      <alignment vertical="center"/>
    </xf>
    <xf numFmtId="0" fontId="27" fillId="2" borderId="0" xfId="0" applyFont="1" applyFill="1">
      <alignment vertical="center"/>
    </xf>
    <xf numFmtId="0" fontId="65" fillId="2" borderId="0" xfId="0" applyFont="1" applyFill="1" applyAlignment="1">
      <alignment horizontal="center" vertical="center"/>
    </xf>
    <xf numFmtId="0" fontId="66" fillId="2" borderId="0" xfId="0" applyFont="1" applyFill="1">
      <alignment vertical="center"/>
    </xf>
    <xf numFmtId="0" fontId="67" fillId="2" borderId="12" xfId="0" applyFont="1" applyFill="1" applyBorder="1" applyAlignment="1">
      <alignment horizontal="center" vertical="center"/>
    </xf>
    <xf numFmtId="0" fontId="44" fillId="2" borderId="12" xfId="0" applyFont="1" applyFill="1" applyBorder="1" applyAlignment="1">
      <alignment horizontal="center" vertical="center"/>
    </xf>
    <xf numFmtId="0" fontId="38" fillId="2" borderId="9" xfId="0" applyFont="1" applyFill="1" applyBorder="1" applyAlignment="1">
      <alignment horizontal="center" vertical="center"/>
    </xf>
    <xf numFmtId="0" fontId="38" fillId="2" borderId="12" xfId="0" applyFont="1" applyFill="1" applyBorder="1" applyAlignment="1">
      <alignment horizontal="center" vertical="center"/>
    </xf>
    <xf numFmtId="0" fontId="68" fillId="2" borderId="0" xfId="0" applyFont="1" applyFill="1">
      <alignment vertical="center"/>
    </xf>
    <xf numFmtId="0" fontId="65" fillId="2" borderId="9" xfId="0" applyFont="1" applyFill="1" applyBorder="1" applyAlignment="1">
      <alignment horizontal="center" vertical="center"/>
    </xf>
    <xf numFmtId="0" fontId="45" fillId="2" borderId="0" xfId="0" applyFont="1" applyFill="1">
      <alignment vertical="center"/>
    </xf>
    <xf numFmtId="14" fontId="38" fillId="2" borderId="9" xfId="0" applyNumberFormat="1" applyFont="1" applyFill="1" applyBorder="1" applyAlignment="1">
      <alignment horizontal="center" vertical="center"/>
    </xf>
    <xf numFmtId="0" fontId="40" fillId="2" borderId="0" xfId="0" applyFont="1" applyFill="1">
      <alignment vertical="center"/>
    </xf>
    <xf numFmtId="0" fontId="69" fillId="2" borderId="0" xfId="0" applyFont="1" applyFill="1" applyAlignment="1">
      <alignment horizontal="center" vertical="center" wrapText="1"/>
    </xf>
    <xf numFmtId="0" fontId="38" fillId="2" borderId="0" xfId="0" applyFont="1" applyFill="1" applyAlignment="1">
      <alignment horizontal="center" vertical="center"/>
    </xf>
    <xf numFmtId="0" fontId="65" fillId="2" borderId="12" xfId="0" applyFont="1" applyFill="1" applyBorder="1" applyAlignment="1">
      <alignment horizontal="center" vertical="center"/>
    </xf>
    <xf numFmtId="0" fontId="70" fillId="2" borderId="0" xfId="0" applyFont="1" applyFill="1">
      <alignment vertical="center"/>
    </xf>
    <xf numFmtId="0" fontId="0" fillId="2" borderId="8" xfId="0" applyFill="1" applyBorder="1">
      <alignment vertical="center"/>
    </xf>
    <xf numFmtId="0" fontId="0" fillId="2" borderId="7" xfId="0" applyFill="1" applyBorder="1">
      <alignment vertical="center"/>
    </xf>
    <xf numFmtId="0" fontId="0" fillId="2" borderId="9" xfId="0" applyFill="1" applyBorder="1">
      <alignment vertical="center"/>
    </xf>
    <xf numFmtId="0" fontId="0" fillId="2" borderId="8" xfId="0" applyFill="1" applyBorder="1" applyAlignment="1">
      <alignment horizontal="left" vertical="center"/>
    </xf>
    <xf numFmtId="0" fontId="0" fillId="2" borderId="10" xfId="0" applyFill="1" applyBorder="1" applyAlignment="1">
      <alignment horizontal="left" vertical="center"/>
    </xf>
    <xf numFmtId="0" fontId="38" fillId="2" borderId="11" xfId="0" applyFont="1" applyFill="1" applyBorder="1">
      <alignment vertical="center"/>
    </xf>
    <xf numFmtId="0" fontId="38" fillId="2" borderId="5" xfId="0" applyFont="1" applyFill="1" applyBorder="1">
      <alignment vertical="center"/>
    </xf>
    <xf numFmtId="0" fontId="38" fillId="2" borderId="12" xfId="0" applyFont="1" applyFill="1" applyBorder="1">
      <alignment vertical="center"/>
    </xf>
    <xf numFmtId="0" fontId="38" fillId="2" borderId="11" xfId="0" applyFont="1" applyFill="1" applyBorder="1" applyAlignment="1">
      <alignment horizontal="left" vertical="center"/>
    </xf>
    <xf numFmtId="0" fontId="38" fillId="2" borderId="13" xfId="0" applyFont="1" applyFill="1" applyBorder="1" applyAlignment="1">
      <alignment horizontal="left" vertical="center"/>
    </xf>
    <xf numFmtId="0" fontId="16" fillId="2" borderId="0" xfId="0" applyFont="1" applyFill="1" applyAlignment="1">
      <alignment horizontal="left" vertical="center" wrapText="1"/>
    </xf>
    <xf numFmtId="0" fontId="71" fillId="2" borderId="0" xfId="0" applyFont="1" applyFill="1" applyAlignment="1">
      <alignment horizontal="center" vertical="center" wrapText="1"/>
    </xf>
    <xf numFmtId="0" fontId="72" fillId="2" borderId="0" xfId="0" applyFont="1" applyFill="1" applyAlignment="1">
      <alignment horizontal="left" wrapText="1"/>
    </xf>
    <xf numFmtId="0" fontId="16" fillId="2" borderId="0" xfId="0" applyFont="1" applyFill="1" applyAlignment="1">
      <alignment horizontal="left" wrapText="1"/>
    </xf>
    <xf numFmtId="0" fontId="73" fillId="2" borderId="0" xfId="0" applyFont="1" applyFill="1" applyAlignment="1">
      <alignment horizontal="center" vertical="center" wrapText="1"/>
    </xf>
    <xf numFmtId="0" fontId="16" fillId="2" borderId="1" xfId="0" applyFont="1" applyFill="1" applyBorder="1" applyAlignment="1">
      <alignment horizontal="center" vertical="center" wrapText="1"/>
    </xf>
    <xf numFmtId="0" fontId="73"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0" fontId="16" fillId="2" borderId="2"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75" fillId="2" borderId="1" xfId="0" applyFont="1" applyFill="1" applyBorder="1" applyAlignment="1">
      <alignment horizontal="center" vertical="center" wrapText="1"/>
    </xf>
    <xf numFmtId="0" fontId="76" fillId="2" borderId="1" xfId="0" applyFont="1" applyFill="1" applyBorder="1" applyAlignment="1">
      <alignment horizontal="center" vertical="center" wrapText="1"/>
    </xf>
    <xf numFmtId="0" fontId="73" fillId="2" borderId="2" xfId="0" applyFont="1" applyFill="1" applyBorder="1" applyAlignment="1">
      <alignment horizontal="center" vertical="center" wrapText="1"/>
    </xf>
    <xf numFmtId="0" fontId="73" fillId="2" borderId="6" xfId="0" applyFont="1" applyFill="1" applyBorder="1" applyAlignment="1">
      <alignment horizontal="center" vertical="center" wrapText="1"/>
    </xf>
    <xf numFmtId="0" fontId="73" fillId="2" borderId="3" xfId="0" applyFont="1" applyFill="1" applyBorder="1" applyAlignment="1">
      <alignment horizontal="center" vertical="center" wrapText="1"/>
    </xf>
    <xf numFmtId="178" fontId="73" fillId="2" borderId="1" xfId="0" applyNumberFormat="1" applyFont="1" applyFill="1" applyBorder="1" applyAlignment="1">
      <alignment horizontal="center" vertical="center" wrapText="1"/>
    </xf>
    <xf numFmtId="0" fontId="19" fillId="2" borderId="2" xfId="0" applyFont="1" applyFill="1" applyBorder="1" applyAlignment="1">
      <alignment horizontal="center" vertical="center" wrapText="1"/>
    </xf>
    <xf numFmtId="0" fontId="77" fillId="2" borderId="3" xfId="0" applyFont="1" applyFill="1" applyBorder="1" applyAlignment="1">
      <alignment horizontal="center" vertical="center" wrapText="1"/>
    </xf>
    <xf numFmtId="0" fontId="77"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1" xfId="0" applyFont="1" applyFill="1" applyBorder="1" applyAlignment="1">
      <alignment horizontal="left" vertical="center" wrapText="1"/>
    </xf>
    <xf numFmtId="0" fontId="16" fillId="2" borderId="6" xfId="0" applyFont="1" applyFill="1" applyBorder="1" applyAlignment="1">
      <alignment horizontal="center" vertical="center" wrapText="1"/>
    </xf>
    <xf numFmtId="0" fontId="78" fillId="2" borderId="6" xfId="0" applyFont="1" applyFill="1" applyBorder="1" applyAlignment="1">
      <alignment horizontal="center" vertical="center" wrapText="1"/>
    </xf>
    <xf numFmtId="0" fontId="78" fillId="2" borderId="3" xfId="0" applyFont="1" applyFill="1" applyBorder="1" applyAlignment="1">
      <alignment horizontal="center" vertical="center" wrapText="1"/>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6" fillId="2" borderId="12" xfId="0" applyFont="1" applyFill="1" applyBorder="1" applyAlignment="1">
      <alignment horizontal="left" vertical="center" wrapText="1"/>
    </xf>
    <xf numFmtId="0" fontId="26" fillId="2" borderId="12" xfId="0" applyFont="1" applyFill="1" applyBorder="1" applyAlignment="1">
      <alignment horizontal="left" vertical="center" wrapText="1"/>
    </xf>
    <xf numFmtId="0" fontId="16" fillId="2" borderId="13" xfId="0" applyFont="1" applyFill="1" applyBorder="1" applyAlignment="1">
      <alignment horizontal="left" vertical="center" wrapText="1"/>
    </xf>
    <xf numFmtId="0" fontId="78" fillId="2" borderId="1"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9" xfId="0" applyFont="1" applyFill="1" applyBorder="1" applyAlignment="1">
      <alignment horizontal="center" vertical="center" wrapText="1"/>
    </xf>
    <xf numFmtId="0" fontId="77" fillId="2" borderId="9" xfId="0" applyFont="1" applyFill="1" applyBorder="1" applyAlignment="1">
      <alignment horizontal="center" vertical="center" wrapText="1"/>
    </xf>
    <xf numFmtId="0" fontId="16" fillId="2" borderId="38" xfId="0" applyFont="1" applyFill="1" applyBorder="1" applyAlignment="1">
      <alignment horizontal="left" vertical="center" wrapText="1"/>
    </xf>
    <xf numFmtId="0" fontId="16" fillId="2" borderId="32" xfId="0" applyFont="1" applyFill="1" applyBorder="1" applyAlignment="1">
      <alignment horizontal="left" vertical="center" wrapText="1"/>
    </xf>
    <xf numFmtId="0" fontId="16" fillId="2" borderId="0" xfId="0" applyFont="1" applyFill="1" applyBorder="1" applyAlignment="1">
      <alignment horizontal="center" vertical="center" wrapText="1"/>
    </xf>
    <xf numFmtId="0" fontId="73" fillId="2" borderId="0" xfId="0" applyFont="1" applyFill="1" applyBorder="1" applyAlignment="1">
      <alignment horizontal="center" vertical="center" wrapText="1"/>
    </xf>
    <xf numFmtId="0" fontId="16" fillId="2" borderId="0" xfId="0" applyFont="1" applyFill="1" applyBorder="1" applyAlignment="1">
      <alignment horizontal="left" vertical="center" wrapText="1"/>
    </xf>
    <xf numFmtId="0" fontId="16" fillId="2" borderId="39" xfId="0" applyFont="1" applyFill="1" applyBorder="1" applyAlignment="1">
      <alignment horizontal="left" vertical="center" wrapText="1"/>
    </xf>
    <xf numFmtId="0" fontId="77" fillId="2" borderId="0" xfId="0" applyFont="1" applyFill="1" applyBorder="1" applyAlignment="1">
      <alignment horizontal="center" vertical="center" wrapText="1"/>
    </xf>
    <xf numFmtId="0" fontId="16" fillId="2" borderId="5" xfId="0" applyFont="1" applyFill="1" applyBorder="1" applyAlignment="1">
      <alignment horizontal="left" vertical="center" wrapText="1"/>
    </xf>
    <xf numFmtId="0" fontId="16" fillId="2" borderId="12" xfId="0" applyFont="1" applyFill="1" applyBorder="1" applyAlignment="1">
      <alignment horizontal="center" vertical="center" wrapText="1"/>
    </xf>
    <xf numFmtId="0" fontId="77" fillId="2" borderId="12"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79" fillId="2" borderId="6" xfId="0" applyFont="1" applyFill="1" applyBorder="1" applyAlignment="1">
      <alignment horizontal="center" vertical="center" wrapText="1"/>
    </xf>
    <xf numFmtId="178" fontId="16" fillId="2" borderId="6" xfId="0" applyNumberFormat="1" applyFont="1" applyFill="1" applyBorder="1" applyAlignment="1">
      <alignment horizontal="center" vertical="center" wrapText="1"/>
    </xf>
    <xf numFmtId="178" fontId="16" fillId="2" borderId="3" xfId="0" applyNumberFormat="1" applyFont="1" applyFill="1" applyBorder="1" applyAlignment="1">
      <alignment horizontal="center" vertical="center" wrapText="1"/>
    </xf>
    <xf numFmtId="0" fontId="16" fillId="2" borderId="10"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6" fillId="2" borderId="0" xfId="0" applyFont="1" applyFill="1" applyBorder="1" applyAlignment="1">
      <alignment horizontal="center" vertical="center" wrapText="1"/>
    </xf>
    <xf numFmtId="0" fontId="26" fillId="2" borderId="39" xfId="0" applyFont="1" applyFill="1" applyBorder="1" applyAlignment="1">
      <alignment horizontal="center" vertical="center" wrapText="1"/>
    </xf>
    <xf numFmtId="0" fontId="16" fillId="2" borderId="32" xfId="0" applyFont="1" applyFill="1" applyBorder="1" applyAlignment="1">
      <alignment horizontal="center" vertical="center" wrapText="1"/>
    </xf>
    <xf numFmtId="0" fontId="16" fillId="2" borderId="39" xfId="0" applyFont="1" applyFill="1" applyBorder="1" applyAlignment="1">
      <alignment horizontal="center" vertical="center" wrapText="1"/>
    </xf>
    <xf numFmtId="0" fontId="16" fillId="2" borderId="0" xfId="0" applyFont="1" applyFill="1" applyBorder="1" applyAlignment="1">
      <alignment horizontal="center" vertical="center"/>
    </xf>
    <xf numFmtId="0" fontId="16" fillId="2" borderId="0" xfId="0" applyFont="1" applyFill="1" applyBorder="1" applyAlignment="1">
      <alignment vertical="center"/>
    </xf>
    <xf numFmtId="0" fontId="16" fillId="2" borderId="0" xfId="0" applyFont="1" applyFill="1" applyBorder="1" applyAlignment="1">
      <alignment horizontal="left" vertical="center"/>
    </xf>
    <xf numFmtId="0" fontId="16" fillId="2" borderId="39" xfId="0" applyFont="1" applyFill="1" applyBorder="1" applyAlignment="1">
      <alignment horizontal="center" vertical="center"/>
    </xf>
    <xf numFmtId="0" fontId="16" fillId="2" borderId="12" xfId="0" applyFont="1" applyFill="1" applyBorder="1" applyAlignment="1">
      <alignment horizontal="center" vertical="center"/>
    </xf>
    <xf numFmtId="0" fontId="16" fillId="2" borderId="12" xfId="0" applyFont="1" applyFill="1" applyBorder="1" applyAlignment="1">
      <alignment vertical="center"/>
    </xf>
    <xf numFmtId="0" fontId="16" fillId="2" borderId="12" xfId="0" applyFont="1" applyFill="1" applyBorder="1" applyAlignment="1">
      <alignment horizontal="left" vertical="center"/>
    </xf>
    <xf numFmtId="0" fontId="16" fillId="2" borderId="13" xfId="0" applyFont="1" applyFill="1" applyBorder="1" applyAlignment="1">
      <alignment horizontal="center" vertical="center"/>
    </xf>
    <xf numFmtId="0" fontId="77" fillId="2" borderId="0" xfId="0" applyFont="1" applyFill="1" applyAlignment="1">
      <alignment horizontal="center" vertical="center" wrapText="1"/>
    </xf>
    <xf numFmtId="0" fontId="80" fillId="2" borderId="1" xfId="0" applyFont="1" applyFill="1" applyBorder="1" applyAlignment="1">
      <alignment horizontal="center" vertical="center" wrapText="1"/>
    </xf>
    <xf numFmtId="0" fontId="77" fillId="2" borderId="2" xfId="0" applyFont="1" applyFill="1" applyBorder="1" applyAlignment="1">
      <alignment horizontal="center" vertical="center" wrapText="1"/>
    </xf>
    <xf numFmtId="0" fontId="77" fillId="2" borderId="6" xfId="0" applyFont="1" applyFill="1" applyBorder="1" applyAlignment="1">
      <alignment horizontal="center" vertical="center" wrapText="1"/>
    </xf>
    <xf numFmtId="178" fontId="77" fillId="2" borderId="1" xfId="0" applyNumberFormat="1" applyFont="1" applyFill="1" applyBorder="1" applyAlignment="1">
      <alignment horizontal="center" vertical="center" wrapText="1"/>
    </xf>
    <xf numFmtId="0" fontId="81" fillId="2" borderId="6" xfId="0" applyFont="1" applyFill="1" applyBorder="1" applyAlignment="1">
      <alignment horizontal="center" vertical="center" wrapText="1"/>
    </xf>
    <xf numFmtId="0" fontId="82" fillId="2" borderId="0" xfId="0" applyFont="1" applyFill="1" applyAlignment="1">
      <alignment vertical="center"/>
    </xf>
    <xf numFmtId="0" fontId="39" fillId="2" borderId="0" xfId="0" applyFont="1" applyFill="1" applyAlignment="1">
      <alignment vertical="center"/>
    </xf>
    <xf numFmtId="0" fontId="0" fillId="2" borderId="0" xfId="0" applyFont="1" applyFill="1">
      <alignment vertical="center"/>
    </xf>
    <xf numFmtId="0" fontId="16" fillId="2" borderId="0" xfId="0" applyFont="1" applyFill="1">
      <alignment vertical="center"/>
    </xf>
    <xf numFmtId="0" fontId="72" fillId="2" borderId="0" xfId="0" applyFont="1" applyFill="1" applyAlignment="1">
      <alignment horizontal="left"/>
    </xf>
    <xf numFmtId="0" fontId="16" fillId="2" borderId="0" xfId="0" applyFont="1" applyFill="1" applyAlignment="1">
      <alignment horizontal="left" vertical="center"/>
    </xf>
    <xf numFmtId="14" fontId="39" fillId="2" borderId="0" xfId="0" applyNumberFormat="1" applyFont="1" applyFill="1" applyBorder="1" applyAlignment="1">
      <alignment horizontal="left"/>
    </xf>
    <xf numFmtId="0" fontId="39" fillId="2" borderId="0" xfId="0" applyFont="1" applyFill="1" applyBorder="1" applyAlignment="1">
      <alignment horizontal="left"/>
    </xf>
    <xf numFmtId="0" fontId="43" fillId="2" borderId="0" xfId="0" applyFont="1" applyFill="1">
      <alignment vertical="center"/>
    </xf>
    <xf numFmtId="0" fontId="40" fillId="2" borderId="12" xfId="0" applyFont="1" applyFill="1" applyBorder="1" applyAlignment="1">
      <alignment horizontal="left"/>
    </xf>
    <xf numFmtId="0" fontId="43" fillId="2" borderId="0" xfId="0" applyFont="1" applyFill="1" applyAlignment="1">
      <alignment horizontal="left" vertical="center"/>
    </xf>
    <xf numFmtId="0" fontId="43" fillId="2" borderId="0" xfId="0" applyFont="1" applyFill="1" applyAlignment="1">
      <alignment vertical="center"/>
    </xf>
    <xf numFmtId="0" fontId="39" fillId="2" borderId="12" xfId="0" applyFont="1" applyFill="1" applyBorder="1" applyAlignment="1">
      <alignment horizontal="left"/>
    </xf>
    <xf numFmtId="0" fontId="28" fillId="2" borderId="0" xfId="0" applyFont="1" applyFill="1">
      <alignment vertical="center"/>
    </xf>
    <xf numFmtId="0" fontId="66" fillId="2" borderId="0" xfId="0" applyFont="1" applyFill="1" applyBorder="1" applyAlignment="1">
      <alignment horizontal="left" wrapText="1"/>
    </xf>
    <xf numFmtId="0" fontId="72" fillId="2" borderId="0" xfId="0" applyFont="1" applyFill="1" applyBorder="1" applyAlignment="1">
      <alignment horizontal="left" wrapText="1"/>
    </xf>
    <xf numFmtId="0" fontId="66" fillId="2" borderId="12" xfId="0" applyFont="1" applyFill="1" applyBorder="1" applyAlignment="1">
      <alignment horizontal="left" wrapText="1"/>
    </xf>
    <xf numFmtId="0" fontId="72" fillId="2" borderId="12" xfId="0" applyFont="1" applyFill="1" applyBorder="1" applyAlignment="1">
      <alignment horizontal="left" wrapText="1"/>
    </xf>
    <xf numFmtId="0" fontId="16" fillId="2" borderId="0" xfId="0" applyFont="1" applyFill="1" applyAlignment="1">
      <alignment horizontal="right" vertical="center"/>
    </xf>
    <xf numFmtId="0" fontId="44" fillId="2" borderId="0" xfId="0" applyFont="1" applyFill="1">
      <alignment vertical="center"/>
    </xf>
    <xf numFmtId="0" fontId="16" fillId="2" borderId="7"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9" xfId="0" applyFont="1" applyFill="1" applyBorder="1" applyAlignment="1">
      <alignment horizontal="center" vertical="center"/>
    </xf>
    <xf numFmtId="0" fontId="16" fillId="2" borderId="10" xfId="0" applyFont="1" applyFill="1" applyBorder="1" applyAlignment="1">
      <alignment horizontal="center" vertical="center"/>
    </xf>
    <xf numFmtId="0" fontId="16" fillId="2" borderId="38" xfId="0" applyFont="1" applyFill="1" applyBorder="1" applyAlignment="1">
      <alignment horizontal="center" vertical="center" wrapText="1"/>
    </xf>
    <xf numFmtId="0" fontId="16" fillId="2" borderId="32"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38" xfId="0" applyFont="1" applyFill="1" applyBorder="1" applyAlignment="1">
      <alignment horizontal="center" vertical="center"/>
    </xf>
    <xf numFmtId="0" fontId="16" fillId="2" borderId="5" xfId="0" applyFont="1" applyFill="1" applyBorder="1" applyAlignment="1">
      <alignment horizontal="center" vertical="center" wrapText="1"/>
    </xf>
    <xf numFmtId="0" fontId="16" fillId="2" borderId="5" xfId="0" applyFont="1" applyFill="1" applyBorder="1" applyAlignment="1">
      <alignment horizontal="center" vertical="center"/>
    </xf>
    <xf numFmtId="0" fontId="16" fillId="2" borderId="1" xfId="0" applyFont="1" applyFill="1" applyBorder="1" applyAlignment="1">
      <alignment horizontal="center" vertical="center"/>
    </xf>
    <xf numFmtId="14" fontId="16" fillId="2" borderId="1" xfId="0" applyNumberFormat="1" applyFont="1" applyFill="1" applyBorder="1" applyAlignment="1">
      <alignment horizontal="center" vertical="center"/>
    </xf>
    <xf numFmtId="9" fontId="16" fillId="2" borderId="1" xfId="0" applyNumberFormat="1" applyFont="1" applyFill="1" applyBorder="1" applyAlignment="1">
      <alignment horizontal="center" vertical="center"/>
    </xf>
    <xf numFmtId="0" fontId="0" fillId="2" borderId="0" xfId="0" applyFill="1" applyBorder="1" applyAlignment="1">
      <alignment horizontal="center" vertical="center"/>
    </xf>
    <xf numFmtId="14" fontId="39" fillId="2" borderId="0" xfId="0" applyNumberFormat="1" applyFont="1" applyFill="1" applyBorder="1" applyAlignment="1">
      <alignment horizontal="center" vertical="center"/>
    </xf>
    <xf numFmtId="0" fontId="39" fillId="2" borderId="0" xfId="0" applyFont="1" applyFill="1" applyBorder="1" applyAlignment="1">
      <alignment horizontal="center" vertical="center"/>
    </xf>
    <xf numFmtId="0" fontId="44" fillId="2" borderId="0" xfId="0" applyFont="1" applyFill="1" applyAlignment="1">
      <alignment horizontal="right" vertical="center"/>
    </xf>
    <xf numFmtId="0" fontId="0" fillId="2" borderId="12" xfId="0" applyFill="1" applyBorder="1" applyAlignment="1">
      <alignment horizontal="center" vertical="center"/>
    </xf>
    <xf numFmtId="0" fontId="39" fillId="2" borderId="12" xfId="0" applyFont="1" applyFill="1" applyBorder="1" applyAlignment="1">
      <alignment horizontal="center" vertical="center"/>
    </xf>
    <xf numFmtId="0" fontId="83" fillId="0" borderId="0" xfId="0" applyFont="1" applyAlignment="1">
      <alignment horizontal="center" vertical="center"/>
    </xf>
    <xf numFmtId="0" fontId="84" fillId="0" borderId="0" xfId="0" applyFont="1" applyAlignment="1" applyProtection="1">
      <alignment horizontal="center" vertical="center"/>
      <protection locked="0" hidden="1"/>
    </xf>
    <xf numFmtId="0" fontId="83" fillId="0" borderId="0" xfId="0" applyFont="1" applyAlignment="1" applyProtection="1">
      <alignment horizontal="center" vertical="center"/>
      <protection locked="0" hidden="1"/>
    </xf>
    <xf numFmtId="0" fontId="85" fillId="0" borderId="0" xfId="0" applyFont="1" applyAlignment="1" applyProtection="1">
      <alignment horizontal="center" vertical="center" wrapText="1"/>
      <protection locked="0" hidden="1"/>
    </xf>
    <xf numFmtId="0" fontId="85" fillId="0" borderId="0" xfId="0" applyFont="1" applyAlignment="1" applyProtection="1">
      <alignment horizontal="center" vertical="center"/>
      <protection locked="0" hidden="1"/>
    </xf>
    <xf numFmtId="14" fontId="83" fillId="0" borderId="0" xfId="0" applyNumberFormat="1" applyFont="1" applyAlignment="1" applyProtection="1">
      <alignment horizontal="center" vertical="center"/>
      <protection locked="0" hidden="1"/>
    </xf>
    <xf numFmtId="14" fontId="83" fillId="0" borderId="0" xfId="0" applyNumberFormat="1" applyFont="1" applyFill="1" applyAlignment="1" applyProtection="1">
      <alignment horizontal="center" vertical="center"/>
      <protection locked="0" hidden="1"/>
    </xf>
    <xf numFmtId="14" fontId="83" fillId="0" borderId="0" xfId="0" applyNumberFormat="1" applyFont="1" applyAlignment="1">
      <alignment horizontal="center" vertical="center"/>
    </xf>
    <xf numFmtId="0" fontId="83" fillId="0" borderId="0" xfId="0" applyFont="1" applyAlignment="1">
      <alignment horizontal="right" vertical="center"/>
    </xf>
    <xf numFmtId="0" fontId="84" fillId="0" borderId="0" xfId="0" applyFont="1" applyAlignment="1">
      <alignment horizontal="left" vertical="center"/>
    </xf>
    <xf numFmtId="0" fontId="83" fillId="0" borderId="0" xfId="0" applyFont="1" applyAlignment="1" applyProtection="1">
      <alignment vertical="center"/>
      <protection locked="0" hidden="1"/>
    </xf>
    <xf numFmtId="0" fontId="86" fillId="0" borderId="0" xfId="0" applyFont="1" applyAlignment="1" applyProtection="1">
      <alignment horizontal="center" vertical="center"/>
      <protection locked="0" hidden="1"/>
    </xf>
    <xf numFmtId="14" fontId="83" fillId="0" borderId="0" xfId="0" applyNumberFormat="1" applyFont="1" applyAlignment="1" applyProtection="1">
      <alignment horizontal="right" vertical="center"/>
      <protection locked="0" hidden="1"/>
    </xf>
    <xf numFmtId="0" fontId="83" fillId="0" borderId="0" xfId="0" applyFont="1" applyAlignment="1" applyProtection="1">
      <alignment horizontal="center" vertical="center" wrapText="1"/>
      <protection locked="0" hidden="1"/>
    </xf>
    <xf numFmtId="0" fontId="34" fillId="2" borderId="0" xfId="0" applyFont="1" applyFill="1" applyAlignment="1"/>
    <xf numFmtId="0" fontId="87" fillId="2" borderId="0" xfId="0" applyFont="1" applyFill="1" applyAlignment="1">
      <alignment vertical="center"/>
    </xf>
    <xf numFmtId="0" fontId="83" fillId="2" borderId="0" xfId="0" applyFont="1" applyFill="1" applyAlignment="1">
      <alignment vertical="center"/>
    </xf>
    <xf numFmtId="0" fontId="34" fillId="2" borderId="0" xfId="0" applyFont="1" applyFill="1" applyAlignment="1">
      <alignment vertical="center"/>
    </xf>
    <xf numFmtId="0" fontId="29" fillId="2" borderId="0" xfId="0" applyFont="1" applyFill="1" applyAlignment="1"/>
    <xf numFmtId="0" fontId="0" fillId="2" borderId="0" xfId="0" applyFill="1" applyAlignment="1"/>
    <xf numFmtId="0" fontId="84" fillId="2" borderId="0" xfId="0" applyFont="1" applyFill="1" applyAlignment="1"/>
    <xf numFmtId="0" fontId="32" fillId="2" borderId="0" xfId="0" applyFont="1" applyFill="1" applyAlignment="1">
      <alignment horizontal="center" vertical="center" wrapText="1"/>
    </xf>
    <xf numFmtId="0" fontId="83" fillId="2" borderId="0" xfId="0" applyFont="1" applyFill="1" applyAlignment="1"/>
    <xf numFmtId="0" fontId="88" fillId="2" borderId="12" xfId="0" applyFont="1" applyFill="1" applyBorder="1" applyAlignment="1">
      <alignment horizontal="center" vertical="center"/>
    </xf>
    <xf numFmtId="14" fontId="89" fillId="2" borderId="12" xfId="0" applyNumberFormat="1" applyFont="1" applyFill="1" applyBorder="1" applyAlignment="1">
      <alignment horizontal="center" vertical="center"/>
    </xf>
    <xf numFmtId="0" fontId="90" fillId="2" borderId="12" xfId="0" applyFont="1" applyFill="1" applyBorder="1" applyAlignment="1">
      <alignment horizontal="center" vertical="center"/>
    </xf>
    <xf numFmtId="0" fontId="91" fillId="2" borderId="12" xfId="0" applyFont="1" applyFill="1" applyBorder="1" applyAlignment="1">
      <alignment horizontal="center" vertical="center"/>
    </xf>
    <xf numFmtId="0" fontId="89" fillId="2" borderId="6" xfId="0" applyFont="1" applyFill="1" applyBorder="1" applyAlignment="1">
      <alignment horizontal="center" vertical="center"/>
    </xf>
    <xf numFmtId="0" fontId="89" fillId="2" borderId="12" xfId="0" applyFont="1" applyFill="1" applyBorder="1" applyAlignment="1">
      <alignment horizontal="center" vertical="center"/>
    </xf>
    <xf numFmtId="0" fontId="87" fillId="2" borderId="0" xfId="0" applyFont="1" applyFill="1" applyAlignment="1">
      <alignment horizontal="center" vertical="center"/>
    </xf>
    <xf numFmtId="14" fontId="92" fillId="2" borderId="12" xfId="0" applyNumberFormat="1" applyFont="1" applyFill="1" applyBorder="1" applyAlignment="1">
      <alignment horizontal="center" vertical="center"/>
    </xf>
    <xf numFmtId="14" fontId="2" fillId="2" borderId="12" xfId="0" applyNumberFormat="1" applyFont="1" applyFill="1" applyBorder="1" applyAlignment="1">
      <alignment horizontal="center" vertical="center"/>
    </xf>
    <xf numFmtId="0" fontId="92" fillId="2" borderId="12" xfId="0" applyFont="1" applyFill="1" applyBorder="1" applyAlignment="1">
      <alignment horizontal="center" vertical="center"/>
    </xf>
    <xf numFmtId="0" fontId="25" fillId="2" borderId="0" xfId="0" applyFont="1" applyFill="1" applyAlignment="1">
      <alignment vertical="center"/>
    </xf>
    <xf numFmtId="0" fontId="93" fillId="2" borderId="9" xfId="0" applyFont="1" applyFill="1" applyBorder="1" applyAlignment="1">
      <alignment horizontal="center" vertical="center"/>
    </xf>
    <xf numFmtId="0" fontId="87" fillId="2" borderId="12" xfId="0" applyFont="1" applyFill="1" applyBorder="1" applyAlignment="1">
      <alignment vertical="center"/>
    </xf>
    <xf numFmtId="0" fontId="87" fillId="2" borderId="0" xfId="0" applyFont="1" applyFill="1" applyBorder="1" applyAlignment="1">
      <alignment vertical="center"/>
    </xf>
    <xf numFmtId="0" fontId="93" fillId="2" borderId="12" xfId="0" applyFont="1" applyFill="1" applyBorder="1" applyAlignment="1">
      <alignment horizontal="center" vertical="center"/>
    </xf>
    <xf numFmtId="0" fontId="91" fillId="2" borderId="1" xfId="0" applyFont="1" applyFill="1" applyBorder="1" applyAlignment="1">
      <alignment horizontal="left" vertical="center"/>
    </xf>
    <xf numFmtId="0" fontId="91" fillId="2" borderId="1" xfId="0" applyFont="1" applyFill="1" applyBorder="1" applyAlignment="1">
      <alignment horizontal="centerContinuous" vertical="center"/>
    </xf>
    <xf numFmtId="0" fontId="87" fillId="2" borderId="1" xfId="0" applyFont="1" applyFill="1" applyBorder="1" applyAlignment="1">
      <alignment vertical="center"/>
    </xf>
    <xf numFmtId="0" fontId="87" fillId="2" borderId="9" xfId="0" applyFont="1" applyFill="1" applyBorder="1" applyAlignment="1">
      <alignment vertical="center"/>
    </xf>
    <xf numFmtId="0" fontId="94" fillId="2" borderId="12" xfId="0" applyFont="1" applyFill="1" applyBorder="1" applyAlignment="1">
      <alignment vertical="center"/>
    </xf>
    <xf numFmtId="0" fontId="95" fillId="2" borderId="12" xfId="0" applyFont="1" applyFill="1" applyBorder="1" applyAlignment="1">
      <alignment vertical="center"/>
    </xf>
    <xf numFmtId="0" fontId="25" fillId="2" borderId="0" xfId="0" applyFont="1" applyFill="1" applyBorder="1" applyAlignment="1">
      <alignment vertical="center"/>
    </xf>
    <xf numFmtId="0" fontId="91" fillId="2" borderId="9" xfId="0" applyFont="1" applyFill="1" applyBorder="1" applyAlignment="1">
      <alignment horizontal="center" vertical="center"/>
    </xf>
    <xf numFmtId="14" fontId="88" fillId="2" borderId="9" xfId="0" applyNumberFormat="1" applyFont="1" applyFill="1" applyBorder="1" applyAlignment="1">
      <alignment vertical="center"/>
    </xf>
    <xf numFmtId="0" fontId="96" fillId="2" borderId="9" xfId="0" applyFont="1" applyFill="1" applyBorder="1" applyAlignment="1">
      <alignment vertical="center"/>
    </xf>
    <xf numFmtId="0" fontId="91" fillId="2" borderId="1" xfId="0" applyFont="1" applyFill="1" applyBorder="1" applyAlignment="1">
      <alignment vertical="center"/>
    </xf>
    <xf numFmtId="0" fontId="0" fillId="2" borderId="0" xfId="0" applyFill="1" applyAlignment="1">
      <alignment vertical="center"/>
    </xf>
    <xf numFmtId="0" fontId="25" fillId="2" borderId="1" xfId="0" applyFont="1" applyFill="1" applyBorder="1" applyAlignment="1">
      <alignment vertical="center"/>
    </xf>
    <xf numFmtId="0" fontId="96" fillId="2" borderId="12" xfId="0" applyFont="1" applyFill="1" applyBorder="1" applyAlignment="1">
      <alignment vertical="center"/>
    </xf>
    <xf numFmtId="0" fontId="25" fillId="2" borderId="12" xfId="0" applyFont="1" applyFill="1" applyBorder="1" applyAlignment="1">
      <alignment vertical="center"/>
    </xf>
    <xf numFmtId="0" fontId="87" fillId="2" borderId="0" xfId="0" applyFont="1" applyFill="1" applyAlignment="1">
      <alignment horizontal="right" vertical="center"/>
    </xf>
    <xf numFmtId="0" fontId="87" fillId="2" borderId="0" xfId="0" applyFont="1" applyFill="1" applyAlignment="1">
      <alignment horizontal="distributed" vertical="center"/>
    </xf>
    <xf numFmtId="0" fontId="91" fillId="2" borderId="1" xfId="0" applyFont="1" applyFill="1" applyBorder="1" applyAlignment="1">
      <alignment horizontal="center" vertical="center"/>
    </xf>
    <xf numFmtId="0" fontId="87" fillId="0" borderId="12" xfId="0" applyFont="1" applyFill="1" applyBorder="1" applyAlignment="1">
      <alignment vertical="center"/>
    </xf>
    <xf numFmtId="0" fontId="0" fillId="2" borderId="9" xfId="0" applyFill="1" applyBorder="1" applyAlignment="1">
      <alignment vertical="center"/>
    </xf>
    <xf numFmtId="0" fontId="0" fillId="2" borderId="12" xfId="0" applyFill="1" applyBorder="1" applyAlignment="1">
      <alignment vertical="center"/>
    </xf>
    <xf numFmtId="0" fontId="87" fillId="2" borderId="6" xfId="0" applyFont="1" applyFill="1" applyBorder="1" applyAlignment="1">
      <alignment vertical="center"/>
    </xf>
    <xf numFmtId="0" fontId="25" fillId="2" borderId="6" xfId="0" applyFont="1" applyFill="1" applyBorder="1" applyAlignment="1">
      <alignment vertical="center"/>
    </xf>
    <xf numFmtId="0" fontId="0" fillId="2" borderId="6" xfId="0" applyFill="1" applyBorder="1" applyAlignment="1">
      <alignment vertical="center"/>
    </xf>
    <xf numFmtId="0" fontId="87" fillId="2" borderId="9" xfId="0" applyFont="1" applyFill="1" applyBorder="1" applyAlignment="1">
      <alignment horizontal="distributed" vertical="center"/>
    </xf>
    <xf numFmtId="0" fontId="25" fillId="2" borderId="9" xfId="0" applyFont="1" applyFill="1" applyBorder="1" applyAlignment="1">
      <alignment horizontal="distributed" vertical="center"/>
    </xf>
    <xf numFmtId="0" fontId="0" fillId="2" borderId="9" xfId="0" applyFill="1" applyBorder="1" applyAlignment="1">
      <alignment horizontal="distributed" vertical="center"/>
    </xf>
    <xf numFmtId="0" fontId="87" fillId="2" borderId="0" xfId="0" applyFont="1" applyFill="1" applyAlignment="1">
      <alignment horizontal="distributed" vertical="center" shrinkToFit="1"/>
    </xf>
    <xf numFmtId="0" fontId="25" fillId="2" borderId="0" xfId="0" applyFont="1" applyFill="1" applyAlignment="1">
      <alignment horizontal="distributed" vertical="center" shrinkToFit="1"/>
    </xf>
    <xf numFmtId="0" fontId="0" fillId="2" borderId="0" xfId="0" applyFill="1" applyAlignment="1">
      <alignment horizontal="distributed" vertical="center"/>
    </xf>
    <xf numFmtId="49" fontId="87" fillId="2" borderId="0" xfId="0" applyNumberFormat="1" applyFont="1" applyFill="1" applyAlignment="1">
      <alignment vertical="center"/>
    </xf>
    <xf numFmtId="0" fontId="87" fillId="2" borderId="12" xfId="0" applyFont="1" applyFill="1" applyBorder="1" applyAlignment="1">
      <alignment horizontal="center" vertical="center"/>
    </xf>
    <xf numFmtId="0" fontId="25" fillId="2" borderId="0" xfId="0" applyFont="1" applyFill="1" applyBorder="1" applyAlignment="1">
      <alignment horizontal="center" vertical="center"/>
    </xf>
    <xf numFmtId="0" fontId="87" fillId="2" borderId="6" xfId="0" applyFont="1" applyFill="1" applyBorder="1" applyAlignment="1">
      <alignment horizontal="center" vertical="center"/>
    </xf>
    <xf numFmtId="0" fontId="34" fillId="2" borderId="0" xfId="0" applyFont="1" applyFill="1" applyAlignment="1">
      <alignment horizontal="center" vertical="center"/>
    </xf>
    <xf numFmtId="49" fontId="87" fillId="2" borderId="0" xfId="0" applyNumberFormat="1" applyFont="1" applyFill="1" applyAlignment="1">
      <alignment horizontal="center" vertical="center"/>
    </xf>
    <xf numFmtId="0" fontId="0" fillId="2" borderId="0" xfId="0" applyFill="1" applyAlignment="1">
      <alignment horizontal="center" vertical="center"/>
    </xf>
    <xf numFmtId="0" fontId="83" fillId="2" borderId="0" xfId="0" applyFont="1" applyFill="1" applyBorder="1" applyAlignment="1">
      <alignment vertical="center"/>
    </xf>
    <xf numFmtId="0" fontId="87" fillId="2" borderId="0" xfId="0" applyFont="1" applyFill="1" applyAlignment="1">
      <alignment horizontal="left" vertical="center"/>
    </xf>
    <xf numFmtId="0" fontId="83" fillId="2" borderId="9" xfId="0" applyFont="1" applyFill="1" applyBorder="1" applyAlignment="1">
      <alignment vertical="center"/>
    </xf>
    <xf numFmtId="0" fontId="83" fillId="2" borderId="12" xfId="0" applyFont="1" applyFill="1" applyBorder="1" applyAlignment="1">
      <alignment vertical="center"/>
    </xf>
    <xf numFmtId="0" fontId="83" fillId="2" borderId="1" xfId="0" applyFont="1" applyFill="1" applyBorder="1" applyAlignment="1">
      <alignment vertical="center"/>
    </xf>
    <xf numFmtId="0" fontId="97" fillId="2" borderId="0" xfId="0" applyFont="1" applyFill="1" applyAlignment="1">
      <alignment horizontal="distributed" vertical="center" shrinkToFit="1"/>
    </xf>
    <xf numFmtId="0" fontId="98" fillId="2" borderId="0" xfId="0" applyFont="1" applyFill="1" applyAlignment="1">
      <alignment horizontal="distributed" vertical="center" shrinkToFit="1"/>
    </xf>
    <xf numFmtId="0" fontId="83" fillId="2" borderId="0" xfId="0" applyFont="1" applyFill="1" applyAlignment="1">
      <alignment horizontal="distributed" vertical="center"/>
    </xf>
    <xf numFmtId="0" fontId="34" fillId="2" borderId="0" xfId="0" applyFont="1" applyFill="1" applyBorder="1" applyAlignment="1">
      <alignment vertical="center"/>
    </xf>
    <xf numFmtId="0" fontId="99" fillId="0" borderId="0" xfId="0" applyFont="1" applyAlignment="1">
      <alignment horizontal="center" vertical="center"/>
    </xf>
    <xf numFmtId="0" fontId="3" fillId="0" borderId="0" xfId="0" applyFont="1" applyAlignment="1">
      <alignment horizontal="center" vertical="center"/>
    </xf>
    <xf numFmtId="0" fontId="100" fillId="0" borderId="0" xfId="0" applyFont="1" applyAlignment="1"/>
    <xf numFmtId="0" fontId="101" fillId="0" borderId="12" xfId="0" applyFont="1" applyBorder="1" applyAlignment="1">
      <alignment horizontal="center"/>
    </xf>
    <xf numFmtId="0" fontId="102" fillId="0" borderId="12" xfId="0" applyFont="1" applyBorder="1" applyAlignment="1">
      <alignment horizontal="center"/>
    </xf>
    <xf numFmtId="0" fontId="103" fillId="0" borderId="0" xfId="0" applyFont="1" applyAlignment="1"/>
    <xf numFmtId="0" fontId="104" fillId="0" borderId="12" xfId="0" applyFont="1" applyBorder="1" applyAlignment="1">
      <alignment horizontal="center"/>
    </xf>
    <xf numFmtId="0" fontId="105" fillId="0" borderId="0" xfId="0" applyFont="1" applyAlignment="1">
      <alignment horizontal="center" vertical="center"/>
    </xf>
    <xf numFmtId="0" fontId="100" fillId="0" borderId="12" xfId="0" applyFont="1" applyBorder="1" applyAlignment="1">
      <alignment horizontal="center"/>
    </xf>
    <xf numFmtId="0" fontId="3" fillId="0" borderId="12" xfId="0" applyFont="1" applyBorder="1" applyAlignment="1">
      <alignment horizontal="center"/>
    </xf>
    <xf numFmtId="14" fontId="101" fillId="0" borderId="0" xfId="0" applyNumberFormat="1" applyFont="1" applyAlignment="1">
      <alignment horizontal="center" vertical="center"/>
    </xf>
    <xf numFmtId="0" fontId="102" fillId="0" borderId="0" xfId="0" applyFont="1" applyAlignment="1">
      <alignment horizontal="center" vertical="center"/>
    </xf>
    <xf numFmtId="0" fontId="102" fillId="0" borderId="12" xfId="0" applyFont="1" applyBorder="1" applyAlignment="1">
      <alignment horizontal="center" vertical="center"/>
    </xf>
    <xf numFmtId="0" fontId="106" fillId="0" borderId="0" xfId="0" applyNumberFormat="1" applyFont="1" applyAlignment="1">
      <alignment horizontal="center" vertical="center"/>
    </xf>
    <xf numFmtId="0" fontId="106" fillId="0" borderId="0" xfId="0" applyNumberFormat="1" applyFont="1" applyAlignment="1">
      <alignment horizontal="left" vertical="center"/>
    </xf>
    <xf numFmtId="0" fontId="107" fillId="0" borderId="0" xfId="0" applyNumberFormat="1" applyFont="1" applyAlignment="1">
      <alignment horizontal="center"/>
    </xf>
    <xf numFmtId="0" fontId="106" fillId="0" borderId="0" xfId="0" applyNumberFormat="1" applyFont="1" applyAlignment="1">
      <alignment horizontal="center"/>
    </xf>
    <xf numFmtId="14" fontId="106" fillId="0" borderId="0" xfId="0" applyNumberFormat="1" applyFont="1" applyAlignment="1">
      <alignment horizontal="center"/>
    </xf>
    <xf numFmtId="0" fontId="107" fillId="0" borderId="0" xfId="0" applyNumberFormat="1" applyFont="1" applyAlignment="1">
      <alignment horizontal="center" vertical="center"/>
    </xf>
    <xf numFmtId="0" fontId="101" fillId="0" borderId="0" xfId="0" applyNumberFormat="1" applyFont="1" applyBorder="1" applyAlignment="1">
      <alignment horizontal="center" vertical="center"/>
    </xf>
    <xf numFmtId="0" fontId="108" fillId="0" borderId="0" xfId="0" applyNumberFormat="1" applyFont="1" applyBorder="1" applyAlignment="1">
      <alignment horizontal="center" vertical="center"/>
    </xf>
    <xf numFmtId="0" fontId="109" fillId="0" borderId="0" xfId="0" applyNumberFormat="1" applyFont="1" applyBorder="1" applyAlignment="1">
      <alignment horizontal="center" vertical="center"/>
    </xf>
    <xf numFmtId="14" fontId="109" fillId="0" borderId="0" xfId="0" applyNumberFormat="1" applyFont="1" applyBorder="1" applyAlignment="1">
      <alignment horizontal="center" vertical="center"/>
    </xf>
    <xf numFmtId="0" fontId="109" fillId="0" borderId="8" xfId="0" applyNumberFormat="1" applyFont="1" applyBorder="1" applyAlignment="1">
      <alignment horizontal="center" vertical="center" wrapText="1"/>
    </xf>
    <xf numFmtId="0" fontId="109" fillId="0" borderId="10" xfId="0" applyNumberFormat="1" applyFont="1" applyBorder="1" applyAlignment="1">
      <alignment horizontal="center" vertical="center" wrapText="1"/>
    </xf>
    <xf numFmtId="0" fontId="86" fillId="0" borderId="8" xfId="0" applyNumberFormat="1" applyFont="1" applyBorder="1" applyAlignment="1">
      <alignment horizontal="center" vertical="center" wrapText="1"/>
    </xf>
    <xf numFmtId="0" fontId="86" fillId="0" borderId="9" xfId="0" applyNumberFormat="1" applyFont="1" applyBorder="1" applyAlignment="1">
      <alignment horizontal="center" vertical="center" wrapText="1"/>
    </xf>
    <xf numFmtId="0" fontId="86" fillId="0" borderId="10" xfId="0" applyNumberFormat="1" applyFont="1" applyBorder="1" applyAlignment="1">
      <alignment horizontal="center" vertical="center" wrapText="1"/>
    </xf>
    <xf numFmtId="0" fontId="10" fillId="0" borderId="7" xfId="0" applyNumberFormat="1" applyFont="1" applyBorder="1" applyAlignment="1">
      <alignment horizontal="center" vertical="center" wrapText="1"/>
    </xf>
    <xf numFmtId="0" fontId="109" fillId="0" borderId="11" xfId="0" applyNumberFormat="1" applyFont="1" applyBorder="1" applyAlignment="1">
      <alignment horizontal="center" vertical="center" wrapText="1"/>
    </xf>
    <xf numFmtId="0" fontId="109" fillId="0" borderId="13" xfId="0" applyNumberFormat="1" applyFont="1" applyBorder="1" applyAlignment="1">
      <alignment horizontal="center" vertical="center" wrapText="1"/>
    </xf>
    <xf numFmtId="0" fontId="7" fillId="0" borderId="11" xfId="0" applyNumberFormat="1" applyFont="1" applyBorder="1" applyAlignment="1">
      <alignment horizontal="center" vertical="center" wrapText="1"/>
    </xf>
    <xf numFmtId="0" fontId="7" fillId="0" borderId="12" xfId="0" applyNumberFormat="1" applyFont="1" applyBorder="1" applyAlignment="1">
      <alignment horizontal="center" vertical="center" wrapText="1"/>
    </xf>
    <xf numFmtId="0" fontId="7" fillId="0" borderId="13" xfId="0" applyNumberFormat="1" applyFont="1" applyBorder="1" applyAlignment="1">
      <alignment horizontal="center" vertical="center" wrapText="1"/>
    </xf>
    <xf numFmtId="0" fontId="89" fillId="0" borderId="5" xfId="0" applyNumberFormat="1" applyFont="1" applyBorder="1" applyAlignment="1">
      <alignment horizontal="center" vertical="center" wrapText="1"/>
    </xf>
    <xf numFmtId="0" fontId="8" fillId="0" borderId="8" xfId="0" applyNumberFormat="1" applyFont="1" applyBorder="1" applyAlignment="1">
      <alignment horizontal="center" vertical="center" wrapText="1"/>
    </xf>
    <xf numFmtId="0" fontId="8" fillId="0" borderId="10" xfId="0" applyNumberFormat="1" applyFont="1" applyBorder="1" applyAlignment="1">
      <alignment horizontal="center" vertical="center" wrapText="1"/>
    </xf>
    <xf numFmtId="0" fontId="8" fillId="0" borderId="39" xfId="0" applyNumberFormat="1" applyFont="1" applyBorder="1" applyAlignment="1">
      <alignment horizontal="center" vertical="center" wrapText="1"/>
    </xf>
    <xf numFmtId="14" fontId="9" fillId="0" borderId="39" xfId="0" applyNumberFormat="1" applyFont="1" applyBorder="1" applyAlignment="1">
      <alignment horizontal="center" vertical="center" wrapText="1"/>
    </xf>
    <xf numFmtId="0" fontId="8" fillId="0" borderId="7" xfId="0" applyNumberFormat="1" applyFont="1" applyBorder="1" applyAlignment="1">
      <alignment horizontal="center" vertical="center" wrapText="1"/>
    </xf>
    <xf numFmtId="0" fontId="9" fillId="0" borderId="39" xfId="0" applyNumberFormat="1" applyFont="1" applyBorder="1" applyAlignment="1">
      <alignment horizontal="center" vertical="center" wrapText="1"/>
    </xf>
    <xf numFmtId="0" fontId="83" fillId="0" borderId="11" xfId="0" applyNumberFormat="1" applyFont="1" applyBorder="1" applyAlignment="1">
      <alignment horizontal="center" vertical="center" wrapText="1"/>
    </xf>
    <xf numFmtId="0" fontId="83" fillId="0" borderId="13" xfId="0" applyNumberFormat="1" applyFont="1" applyBorder="1" applyAlignment="1">
      <alignment horizontal="center" vertical="center" wrapText="1"/>
    </xf>
    <xf numFmtId="0" fontId="83" fillId="0" borderId="38" xfId="0" applyNumberFormat="1" applyFont="1" applyBorder="1" applyAlignment="1">
      <alignment horizontal="center" vertical="center" wrapText="1"/>
    </xf>
    <xf numFmtId="14" fontId="83" fillId="0" borderId="38" xfId="0" applyNumberFormat="1" applyFont="1" applyBorder="1" applyAlignment="1">
      <alignment horizontal="center" vertical="center" wrapText="1"/>
    </xf>
    <xf numFmtId="0" fontId="83" fillId="0" borderId="39" xfId="0" applyNumberFormat="1" applyFont="1" applyBorder="1" applyAlignment="1">
      <alignment horizontal="center" vertical="center" wrapText="1"/>
    </xf>
    <xf numFmtId="0" fontId="92" fillId="0" borderId="2" xfId="0" applyNumberFormat="1" applyFont="1" applyBorder="1" applyAlignment="1">
      <alignment horizontal="center" vertical="center" wrapText="1"/>
    </xf>
    <xf numFmtId="0" fontId="89" fillId="0" borderId="3" xfId="0" applyNumberFormat="1" applyFont="1" applyBorder="1" applyAlignment="1">
      <alignment horizontal="center" vertical="center" wrapText="1"/>
    </xf>
    <xf numFmtId="0" fontId="33" fillId="0" borderId="1" xfId="0" applyNumberFormat="1" applyFont="1" applyBorder="1" applyAlignment="1">
      <alignment horizontal="center" vertical="center" wrapText="1"/>
    </xf>
    <xf numFmtId="14" fontId="32" fillId="0" borderId="1" xfId="0" applyNumberFormat="1" applyFont="1" applyBorder="1" applyAlignment="1">
      <alignment horizontal="center" vertical="center" wrapText="1"/>
    </xf>
    <xf numFmtId="0" fontId="92" fillId="0" borderId="1" xfId="0" applyNumberFormat="1" applyFont="1" applyBorder="1" applyAlignment="1">
      <alignment horizontal="center" vertical="center" wrapText="1"/>
    </xf>
    <xf numFmtId="0" fontId="32" fillId="0" borderId="1" xfId="0" applyNumberFormat="1" applyFont="1" applyBorder="1" applyAlignment="1">
      <alignment horizontal="center" vertical="center" wrapText="1"/>
    </xf>
    <xf numFmtId="0" fontId="110" fillId="0" borderId="1" xfId="0" applyNumberFormat="1" applyFont="1" applyBorder="1" applyAlignment="1">
      <alignment horizontal="center" vertical="center" wrapText="1"/>
    </xf>
    <xf numFmtId="0" fontId="89" fillId="0" borderId="2" xfId="0" applyNumberFormat="1" applyFont="1" applyBorder="1" applyAlignment="1">
      <alignment horizontal="center" vertical="center" wrapText="1"/>
    </xf>
    <xf numFmtId="0" fontId="88" fillId="0" borderId="1" xfId="0" applyNumberFormat="1" applyFont="1" applyBorder="1" applyAlignment="1">
      <alignment horizontal="center" vertical="center" wrapText="1"/>
    </xf>
    <xf numFmtId="0" fontId="32" fillId="0" borderId="1" xfId="0" applyNumberFormat="1" applyFont="1" applyBorder="1" applyAlignment="1">
      <alignment horizontal="center" vertical="center"/>
    </xf>
    <xf numFmtId="0" fontId="10" fillId="0" borderId="1" xfId="0" applyNumberFormat="1" applyFont="1" applyBorder="1" applyAlignment="1">
      <alignment horizontal="center" vertical="center" wrapText="1"/>
    </xf>
    <xf numFmtId="0" fontId="86" fillId="0" borderId="9" xfId="0" applyNumberFormat="1" applyFont="1" applyBorder="1" applyAlignment="1">
      <alignment vertical="center" wrapText="1"/>
    </xf>
    <xf numFmtId="14" fontId="86" fillId="0" borderId="9" xfId="0" applyNumberFormat="1" applyFont="1" applyBorder="1" applyAlignment="1">
      <alignment vertical="center" wrapText="1"/>
    </xf>
    <xf numFmtId="0" fontId="86" fillId="0" borderId="0" xfId="0" applyNumberFormat="1" applyFont="1" applyBorder="1" applyAlignment="1">
      <alignment horizontal="center" vertical="center"/>
    </xf>
    <xf numFmtId="0" fontId="86" fillId="0" borderId="0" xfId="0" applyNumberFormat="1" applyFont="1" applyBorder="1" applyAlignment="1">
      <alignment vertical="center" wrapText="1"/>
    </xf>
    <xf numFmtId="0" fontId="107" fillId="0" borderId="0" xfId="0" applyNumberFormat="1" applyFont="1" applyAlignment="1">
      <alignment horizontal="left" vertical="center"/>
    </xf>
    <xf numFmtId="0" fontId="109" fillId="0" borderId="0" xfId="0" applyNumberFormat="1" applyFont="1" applyBorder="1" applyAlignment="1">
      <alignment vertical="center"/>
    </xf>
    <xf numFmtId="14" fontId="109" fillId="0" borderId="0" xfId="0" applyNumberFormat="1" applyFont="1" applyBorder="1" applyAlignment="1">
      <alignment vertical="center"/>
    </xf>
    <xf numFmtId="0" fontId="109" fillId="0" borderId="0" xfId="0" applyNumberFormat="1" applyFont="1" applyBorder="1" applyAlignment="1">
      <alignment horizontal="right" vertical="center"/>
    </xf>
    <xf numFmtId="0" fontId="52" fillId="0" borderId="0" xfId="0" applyNumberFormat="1" applyFont="1" applyAlignment="1">
      <alignment horizontal="right" vertical="center" wrapText="1"/>
    </xf>
    <xf numFmtId="0" fontId="106" fillId="0" borderId="0" xfId="0" applyNumberFormat="1" applyFont="1" applyBorder="1" applyAlignment="1">
      <alignment horizontal="center" vertical="center" wrapText="1"/>
    </xf>
    <xf numFmtId="0" fontId="11" fillId="0" borderId="0" xfId="0" applyNumberFormat="1" applyFont="1" applyBorder="1" applyAlignment="1">
      <alignment horizontal="left" vertical="center" wrapText="1"/>
    </xf>
    <xf numFmtId="0" fontId="44" fillId="0" borderId="0" xfId="0" applyNumberFormat="1" applyFont="1" applyBorder="1" applyAlignment="1">
      <alignment horizontal="left" vertical="center"/>
    </xf>
    <xf numFmtId="0" fontId="34" fillId="0" borderId="0" xfId="0" applyNumberFormat="1" applyFont="1" applyAlignment="1">
      <alignment horizontal="right" vertical="center"/>
    </xf>
    <xf numFmtId="0" fontId="106" fillId="0" borderId="12" xfId="0" applyNumberFormat="1" applyFont="1" applyBorder="1" applyAlignment="1">
      <alignment horizontal="center" vertical="center" wrapText="1"/>
    </xf>
    <xf numFmtId="0" fontId="52" fillId="0" borderId="0" xfId="0" applyNumberFormat="1" applyFont="1" applyAlignment="1">
      <alignment horizontal="left" vertical="center" wrapText="1"/>
    </xf>
    <xf numFmtId="0" fontId="106" fillId="0" borderId="0" xfId="0" applyNumberFormat="1" applyFont="1" applyAlignment="1">
      <alignment horizontal="left" vertical="center" wrapText="1"/>
    </xf>
    <xf numFmtId="0" fontId="109" fillId="0" borderId="0" xfId="0" applyNumberFormat="1" applyFont="1" applyAlignment="1">
      <alignment horizontal="right" vertical="center"/>
    </xf>
    <xf numFmtId="14" fontId="11" fillId="0" borderId="9" xfId="0" applyNumberFormat="1" applyFont="1" applyBorder="1" applyAlignment="1">
      <alignment horizontal="center" wrapText="1"/>
    </xf>
    <xf numFmtId="14" fontId="11" fillId="0" borderId="12" xfId="0" applyNumberFormat="1" applyFont="1" applyBorder="1" applyAlignment="1">
      <alignment horizontal="center" wrapText="1"/>
    </xf>
    <xf numFmtId="0" fontId="111" fillId="3" borderId="0" xfId="0" applyFont="1" applyFill="1" applyBorder="1" applyAlignment="1">
      <alignment vertical="center"/>
    </xf>
    <xf numFmtId="0" fontId="112" fillId="3" borderId="0" xfId="0" applyFont="1" applyFill="1" applyBorder="1" applyAlignment="1">
      <alignment vertical="center"/>
    </xf>
    <xf numFmtId="0" fontId="111" fillId="3" borderId="0" xfId="0" applyFont="1" applyFill="1" applyAlignment="1">
      <alignment horizontal="center" vertical="center"/>
    </xf>
    <xf numFmtId="0" fontId="111" fillId="3" borderId="0" xfId="0" applyFont="1" applyFill="1" applyAlignment="1">
      <alignment vertical="center"/>
    </xf>
    <xf numFmtId="0" fontId="7" fillId="3" borderId="0" xfId="0" applyFont="1" applyFill="1" applyAlignment="1">
      <alignment horizontal="center" vertical="center"/>
    </xf>
    <xf numFmtId="0" fontId="34" fillId="3" borderId="0" xfId="0" applyFont="1" applyFill="1" applyBorder="1" applyAlignment="1">
      <alignment vertical="center" wrapText="1"/>
    </xf>
    <xf numFmtId="0" fontId="41" fillId="3" borderId="7" xfId="0" applyFont="1" applyFill="1" applyBorder="1" applyAlignment="1">
      <alignment horizontal="center" vertical="center" wrapText="1"/>
    </xf>
    <xf numFmtId="0" fontId="113" fillId="3" borderId="0" xfId="0" applyFont="1" applyFill="1" applyBorder="1" applyAlignment="1" applyProtection="1">
      <alignment horizontal="center" vertical="center"/>
      <protection locked="0"/>
    </xf>
    <xf numFmtId="0" fontId="113" fillId="3" borderId="5" xfId="0" applyFont="1" applyFill="1" applyBorder="1" applyAlignment="1" applyProtection="1">
      <alignment horizontal="center" vertical="center" wrapText="1"/>
      <protection locked="0"/>
    </xf>
    <xf numFmtId="0" fontId="109" fillId="3" borderId="0" xfId="0" applyFont="1" applyFill="1" applyBorder="1" applyAlignment="1">
      <alignment vertical="center" wrapText="1"/>
    </xf>
    <xf numFmtId="0" fontId="41" fillId="3" borderId="8" xfId="0" applyFont="1" applyFill="1" applyBorder="1" applyAlignment="1">
      <alignment horizontal="left" vertical="center" wrapText="1"/>
    </xf>
    <xf numFmtId="0" fontId="41" fillId="3" borderId="9" xfId="0" applyFont="1" applyFill="1" applyBorder="1" applyAlignment="1">
      <alignment horizontal="left" vertical="center" wrapText="1"/>
    </xf>
    <xf numFmtId="0" fontId="114" fillId="3" borderId="9" xfId="0" applyFont="1" applyFill="1" applyBorder="1" applyAlignment="1">
      <alignment horizontal="center" vertical="center" wrapText="1"/>
    </xf>
    <xf numFmtId="0" fontId="115" fillId="3" borderId="10" xfId="0" applyFont="1" applyFill="1" applyBorder="1" applyAlignment="1">
      <alignment horizontal="center" vertical="center" wrapText="1"/>
    </xf>
    <xf numFmtId="0" fontId="41" fillId="3" borderId="7" xfId="0" applyFont="1" applyFill="1" applyBorder="1" applyAlignment="1">
      <alignment horizontal="left" vertical="center"/>
    </xf>
    <xf numFmtId="0" fontId="41" fillId="3" borderId="10" xfId="0" applyFont="1" applyFill="1" applyBorder="1" applyAlignment="1">
      <alignment horizontal="left" vertical="center" wrapText="1"/>
    </xf>
    <xf numFmtId="0" fontId="111" fillId="3" borderId="7" xfId="0" applyFont="1" applyFill="1" applyBorder="1" applyAlignment="1">
      <alignment horizontal="center" vertical="center"/>
    </xf>
    <xf numFmtId="0" fontId="41" fillId="3" borderId="32" xfId="0" applyFont="1" applyFill="1" applyBorder="1" applyAlignment="1">
      <alignment horizontal="left" vertical="center" wrapText="1"/>
    </xf>
    <xf numFmtId="0" fontId="41" fillId="3" borderId="0" xfId="0" applyFont="1" applyFill="1" applyBorder="1" applyAlignment="1">
      <alignment horizontal="left" vertical="center" wrapText="1"/>
    </xf>
    <xf numFmtId="0" fontId="114" fillId="3" borderId="0" xfId="0" applyFont="1" applyFill="1" applyBorder="1" applyAlignment="1">
      <alignment horizontal="center" vertical="center" wrapText="1"/>
    </xf>
    <xf numFmtId="0" fontId="114" fillId="3" borderId="39" xfId="0" applyFont="1" applyFill="1" applyBorder="1" applyAlignment="1">
      <alignment horizontal="center" vertical="center" wrapText="1"/>
    </xf>
    <xf numFmtId="0" fontId="114" fillId="3" borderId="38" xfId="0" applyFont="1" applyFill="1" applyBorder="1" applyAlignment="1">
      <alignment horizontal="center" vertical="center"/>
    </xf>
    <xf numFmtId="14" fontId="114" fillId="3" borderId="32" xfId="0" applyNumberFormat="1" applyFont="1" applyFill="1" applyBorder="1" applyAlignment="1">
      <alignment horizontal="center" vertical="center"/>
    </xf>
    <xf numFmtId="14" fontId="114" fillId="3" borderId="39" xfId="0" applyNumberFormat="1" applyFont="1" applyFill="1" applyBorder="1" applyAlignment="1">
      <alignment horizontal="center" vertical="center"/>
    </xf>
    <xf numFmtId="0" fontId="111" fillId="3" borderId="38" xfId="0" applyFont="1" applyFill="1" applyBorder="1" applyAlignment="1">
      <alignment horizontal="center" vertical="center"/>
    </xf>
    <xf numFmtId="0" fontId="41" fillId="3" borderId="11" xfId="0" applyFont="1" applyFill="1" applyBorder="1" applyAlignment="1">
      <alignment horizontal="left" vertical="center" wrapText="1"/>
    </xf>
    <xf numFmtId="0" fontId="41" fillId="3" borderId="12" xfId="0" applyFont="1" applyFill="1" applyBorder="1" applyAlignment="1">
      <alignment horizontal="left" vertical="center" wrapText="1"/>
    </xf>
    <xf numFmtId="0" fontId="114" fillId="3" borderId="12" xfId="0" applyFont="1" applyFill="1" applyBorder="1" applyAlignment="1">
      <alignment horizontal="center" vertical="center" wrapText="1"/>
    </xf>
    <xf numFmtId="0" fontId="114" fillId="3" borderId="13" xfId="0" applyFont="1" applyFill="1" applyBorder="1" applyAlignment="1">
      <alignment horizontal="center" vertical="center" wrapText="1"/>
    </xf>
    <xf numFmtId="0" fontId="114" fillId="3" borderId="5" xfId="0" applyFont="1" applyFill="1" applyBorder="1" applyAlignment="1">
      <alignment horizontal="center" vertical="center"/>
    </xf>
    <xf numFmtId="14" fontId="114" fillId="3" borderId="11" xfId="0" applyNumberFormat="1" applyFont="1" applyFill="1" applyBorder="1" applyAlignment="1">
      <alignment horizontal="center" vertical="center"/>
    </xf>
    <xf numFmtId="14" fontId="114" fillId="3" borderId="13" xfId="0" applyNumberFormat="1" applyFont="1" applyFill="1" applyBorder="1" applyAlignment="1">
      <alignment horizontal="center" vertical="center"/>
    </xf>
    <xf numFmtId="0" fontId="111" fillId="3" borderId="5" xfId="0" applyFont="1" applyFill="1" applyBorder="1" applyAlignment="1">
      <alignment horizontal="center" vertical="center"/>
    </xf>
    <xf numFmtId="0" fontId="41" fillId="3" borderId="32" xfId="0" applyFont="1" applyFill="1" applyBorder="1" applyAlignment="1">
      <alignment vertical="center" wrapText="1"/>
    </xf>
    <xf numFmtId="0" fontId="41" fillId="3" borderId="0" xfId="0" applyFont="1" applyFill="1" applyBorder="1" applyAlignment="1">
      <alignment vertical="center" wrapText="1"/>
    </xf>
    <xf numFmtId="0" fontId="41" fillId="3" borderId="39" xfId="0" applyFont="1" applyFill="1" applyBorder="1" applyAlignment="1">
      <alignment vertical="center" wrapText="1"/>
    </xf>
    <xf numFmtId="0" fontId="116" fillId="3" borderId="1" xfId="0" applyFont="1" applyFill="1" applyBorder="1" applyAlignment="1">
      <alignment horizontal="center" vertical="center" wrapText="1"/>
    </xf>
    <xf numFmtId="0" fontId="113" fillId="3" borderId="11" xfId="0" applyFont="1" applyFill="1" applyBorder="1" applyAlignment="1" applyProtection="1">
      <alignment horizontal="center" vertical="center" wrapText="1"/>
      <protection hidden="1"/>
    </xf>
    <xf numFmtId="0" fontId="113" fillId="3" borderId="12" xfId="0" applyFont="1" applyFill="1" applyBorder="1" applyAlignment="1" applyProtection="1">
      <alignment horizontal="center" vertical="center" wrapText="1"/>
      <protection hidden="1"/>
    </xf>
    <xf numFmtId="0" fontId="113" fillId="3" borderId="13" xfId="0" applyFont="1" applyFill="1" applyBorder="1" applyAlignment="1" applyProtection="1">
      <alignment horizontal="center" vertical="center" wrapText="1"/>
      <protection hidden="1"/>
    </xf>
    <xf numFmtId="0" fontId="41" fillId="3" borderId="39" xfId="0" applyFont="1" applyFill="1" applyBorder="1" applyAlignment="1">
      <alignment horizontal="left" vertical="center" wrapText="1"/>
    </xf>
    <xf numFmtId="0" fontId="116" fillId="3" borderId="1" xfId="0" applyFont="1" applyFill="1" applyBorder="1" applyAlignment="1">
      <alignment horizontal="center" vertical="center"/>
    </xf>
    <xf numFmtId="0" fontId="41" fillId="3" borderId="8" xfId="0" applyFont="1" applyFill="1" applyBorder="1" applyAlignment="1">
      <alignment vertical="center" wrapText="1"/>
    </xf>
    <xf numFmtId="0" fontId="41" fillId="3" borderId="7" xfId="0" applyFont="1" applyFill="1" applyBorder="1" applyAlignment="1">
      <alignment vertical="center" wrapText="1"/>
    </xf>
    <xf numFmtId="0" fontId="41" fillId="3" borderId="2" xfId="0" applyFont="1" applyFill="1" applyBorder="1" applyAlignment="1">
      <alignment vertical="center" wrapText="1"/>
    </xf>
    <xf numFmtId="0" fontId="41" fillId="3" borderId="10" xfId="0" applyFont="1" applyFill="1" applyBorder="1" applyAlignment="1">
      <alignment vertical="center" wrapText="1"/>
    </xf>
    <xf numFmtId="0" fontId="41" fillId="3" borderId="13" xfId="0" applyFont="1" applyFill="1" applyBorder="1" applyAlignment="1">
      <alignment horizontal="left" vertical="center" wrapText="1"/>
    </xf>
    <xf numFmtId="0" fontId="34" fillId="3" borderId="39" xfId="0" applyFont="1" applyFill="1" applyBorder="1" applyAlignment="1">
      <alignment horizontal="right" vertical="center" textRotation="90" wrapText="1"/>
    </xf>
    <xf numFmtId="181" fontId="117" fillId="3" borderId="40" xfId="0" applyNumberFormat="1" applyFont="1" applyFill="1" applyBorder="1" applyAlignment="1">
      <alignment horizontal="center" vertical="center" wrapText="1"/>
    </xf>
    <xf numFmtId="0" fontId="118" fillId="3" borderId="2" xfId="0" applyFont="1" applyFill="1" applyBorder="1" applyAlignment="1">
      <alignment vertical="center" wrapText="1"/>
    </xf>
    <xf numFmtId="0" fontId="119" fillId="3" borderId="3" xfId="0" applyFont="1" applyFill="1" applyBorder="1" applyAlignment="1">
      <alignment vertical="center" wrapText="1"/>
    </xf>
    <xf numFmtId="0" fontId="117" fillId="3" borderId="40" xfId="0" applyFont="1" applyFill="1" applyBorder="1" applyAlignment="1" applyProtection="1">
      <alignment horizontal="center" vertical="center" wrapText="1"/>
      <protection locked="0"/>
    </xf>
    <xf numFmtId="0" fontId="120" fillId="3" borderId="40" xfId="0" applyFont="1" applyFill="1" applyBorder="1" applyAlignment="1" applyProtection="1">
      <alignment horizontal="center" vertical="center" wrapText="1"/>
      <protection locked="0"/>
    </xf>
    <xf numFmtId="0" fontId="117" fillId="3" borderId="41" xfId="0" applyFont="1" applyFill="1" applyBorder="1" applyAlignment="1">
      <alignment horizontal="center" vertical="center" wrapText="1"/>
    </xf>
    <xf numFmtId="14" fontId="121" fillId="3" borderId="42" xfId="0" applyNumberFormat="1" applyFont="1" applyFill="1" applyBorder="1" applyAlignment="1">
      <alignment horizontal="center" vertical="center" wrapText="1"/>
    </xf>
    <xf numFmtId="0" fontId="50" fillId="3" borderId="43" xfId="0" applyFont="1" applyFill="1" applyBorder="1" applyAlignment="1">
      <alignment horizontal="center" vertical="center" wrapText="1"/>
    </xf>
    <xf numFmtId="0" fontId="50" fillId="3" borderId="44" xfId="0" applyNumberFormat="1" applyFont="1" applyFill="1" applyBorder="1" applyAlignment="1">
      <alignment horizontal="center" vertical="center" wrapText="1"/>
    </xf>
    <xf numFmtId="49" fontId="121" fillId="3" borderId="45" xfId="0" applyNumberFormat="1" applyFont="1" applyFill="1" applyBorder="1" applyAlignment="1">
      <alignment horizontal="center" vertical="center" wrapText="1"/>
    </xf>
    <xf numFmtId="0" fontId="122" fillId="3" borderId="1" xfId="0" applyFont="1" applyFill="1" applyBorder="1" applyAlignment="1">
      <alignment horizontal="center" vertical="center"/>
    </xf>
    <xf numFmtId="0" fontId="123" fillId="3" borderId="2" xfId="0" applyFont="1" applyFill="1" applyBorder="1" applyAlignment="1">
      <alignment vertical="center" wrapText="1"/>
    </xf>
    <xf numFmtId="0" fontId="120" fillId="3" borderId="46" xfId="0" applyFont="1" applyFill="1" applyBorder="1" applyAlignment="1" applyProtection="1">
      <alignment horizontal="center" vertical="center" wrapText="1"/>
      <protection locked="0"/>
    </xf>
    <xf numFmtId="14" fontId="121" fillId="3" borderId="41" xfId="0" applyNumberFormat="1" applyFont="1" applyFill="1" applyBorder="1" applyAlignment="1">
      <alignment horizontal="center" vertical="center" wrapText="1"/>
    </xf>
    <xf numFmtId="49" fontId="121" fillId="3" borderId="43" xfId="0" applyNumberFormat="1" applyFont="1" applyFill="1" applyBorder="1" applyAlignment="1">
      <alignment horizontal="center" vertical="center" wrapText="1"/>
    </xf>
    <xf numFmtId="49" fontId="124" fillId="3" borderId="43" xfId="0" applyNumberFormat="1" applyFont="1" applyFill="1" applyBorder="1" applyAlignment="1">
      <alignment horizontal="center" vertical="center" wrapText="1"/>
    </xf>
    <xf numFmtId="0" fontId="116" fillId="3" borderId="43" xfId="0" applyFont="1" applyFill="1" applyBorder="1" applyAlignment="1">
      <alignment horizontal="center" vertical="center" wrapText="1"/>
    </xf>
    <xf numFmtId="0" fontId="97" fillId="3" borderId="46" xfId="0" applyFont="1" applyFill="1" applyBorder="1" applyAlignment="1" applyProtection="1">
      <alignment horizontal="center" vertical="center" wrapText="1"/>
      <protection locked="0"/>
    </xf>
    <xf numFmtId="0" fontId="125" fillId="0" borderId="1" xfId="0" applyFont="1" applyBorder="1" applyAlignment="1">
      <alignment horizontal="center" vertical="center"/>
    </xf>
    <xf numFmtId="181" fontId="34" fillId="3" borderId="47" xfId="0" applyNumberFormat="1" applyFont="1" applyFill="1" applyBorder="1" applyAlignment="1">
      <alignment horizontal="center" vertical="center" wrapText="1"/>
    </xf>
    <xf numFmtId="0" fontId="119" fillId="3" borderId="41" xfId="0" applyFont="1" applyFill="1" applyBorder="1" applyAlignment="1">
      <alignment horizontal="left" vertical="center" wrapText="1"/>
    </xf>
    <xf numFmtId="0" fontId="122" fillId="3" borderId="43" xfId="0" applyFont="1" applyFill="1" applyBorder="1" applyAlignment="1">
      <alignment horizontal="left" vertical="center" wrapText="1"/>
    </xf>
    <xf numFmtId="0" fontId="109" fillId="3" borderId="41" xfId="0" applyFont="1" applyFill="1" applyBorder="1" applyAlignment="1" applyProtection="1">
      <alignment vertical="center" wrapText="1"/>
      <protection locked="0"/>
    </xf>
    <xf numFmtId="0" fontId="109" fillId="3" borderId="43" xfId="0" applyFont="1" applyFill="1" applyBorder="1" applyAlignment="1" applyProtection="1">
      <alignment vertical="center" wrapText="1"/>
      <protection locked="0"/>
    </xf>
    <xf numFmtId="0" fontId="34" fillId="3" borderId="46" xfId="0" applyFont="1" applyFill="1" applyBorder="1" applyAlignment="1" applyProtection="1">
      <alignment horizontal="center" vertical="center" wrapText="1"/>
      <protection locked="0"/>
    </xf>
    <xf numFmtId="0" fontId="11" fillId="3" borderId="41" xfId="0" applyFont="1" applyFill="1" applyBorder="1" applyAlignment="1" applyProtection="1">
      <alignment horizontal="center" vertical="center" wrapText="1"/>
      <protection locked="0"/>
    </xf>
    <xf numFmtId="14" fontId="34" fillId="3" borderId="41" xfId="0" applyNumberFormat="1" applyFont="1" applyFill="1" applyBorder="1" applyAlignment="1" applyProtection="1">
      <alignment horizontal="center" vertical="center" wrapText="1"/>
      <protection locked="0"/>
    </xf>
    <xf numFmtId="0" fontId="83" fillId="3" borderId="43" xfId="0" applyFont="1" applyFill="1" applyBorder="1" applyAlignment="1" applyProtection="1">
      <alignment horizontal="center" vertical="center" wrapText="1"/>
      <protection locked="0"/>
    </xf>
    <xf numFmtId="49" fontId="109" fillId="3" borderId="43" xfId="0" applyNumberFormat="1" applyFont="1" applyFill="1" applyBorder="1" applyAlignment="1" applyProtection="1">
      <alignment horizontal="center" vertical="center" wrapText="1"/>
      <protection locked="0"/>
    </xf>
    <xf numFmtId="0" fontId="83" fillId="3" borderId="0" xfId="0" applyFont="1" applyFill="1" applyBorder="1" applyAlignment="1">
      <alignment horizontal="center" vertical="center" textRotation="90" wrapText="1"/>
    </xf>
    <xf numFmtId="0" fontId="42" fillId="3" borderId="0" xfId="0" applyFont="1" applyFill="1" applyBorder="1" applyAlignment="1">
      <alignment horizontal="right" vertical="center" wrapText="1"/>
    </xf>
    <xf numFmtId="181" fontId="34" fillId="3" borderId="48" xfId="0" applyNumberFormat="1" applyFont="1" applyFill="1" applyBorder="1" applyAlignment="1">
      <alignment horizontal="center" vertical="center" wrapText="1"/>
    </xf>
    <xf numFmtId="0" fontId="109" fillId="3" borderId="49" xfId="0" applyFont="1" applyFill="1" applyBorder="1" applyAlignment="1" applyProtection="1">
      <alignment vertical="center" wrapText="1"/>
      <protection locked="0"/>
    </xf>
    <xf numFmtId="0" fontId="109" fillId="3" borderId="50" xfId="0" applyFont="1" applyFill="1" applyBorder="1" applyAlignment="1" applyProtection="1">
      <alignment vertical="center" wrapText="1"/>
      <protection locked="0"/>
    </xf>
    <xf numFmtId="0" fontId="34" fillId="3" borderId="48" xfId="0" applyFont="1" applyFill="1" applyBorder="1" applyAlignment="1" applyProtection="1">
      <alignment horizontal="center" vertical="center" wrapText="1"/>
      <protection locked="0"/>
    </xf>
    <xf numFmtId="0" fontId="11" fillId="3" borderId="49" xfId="0" applyFont="1" applyFill="1" applyBorder="1" applyAlignment="1" applyProtection="1">
      <alignment horizontal="center" vertical="center" wrapText="1"/>
      <protection locked="0"/>
    </xf>
    <xf numFmtId="14" fontId="34" fillId="3" borderId="49" xfId="0" applyNumberFormat="1" applyFont="1" applyFill="1" applyBorder="1" applyAlignment="1" applyProtection="1">
      <alignment horizontal="center" vertical="center" wrapText="1"/>
      <protection locked="0"/>
    </xf>
    <xf numFmtId="0" fontId="83" fillId="3" borderId="50" xfId="0" applyFont="1" applyFill="1" applyBorder="1" applyAlignment="1" applyProtection="1">
      <alignment horizontal="center" vertical="center" wrapText="1"/>
      <protection locked="0"/>
    </xf>
    <xf numFmtId="0" fontId="50" fillId="3" borderId="48" xfId="0" applyFont="1" applyFill="1" applyBorder="1" applyAlignment="1">
      <alignment horizontal="center" vertical="center" wrapText="1"/>
    </xf>
    <xf numFmtId="49" fontId="109" fillId="3" borderId="50" xfId="0" applyNumberFormat="1" applyFont="1" applyFill="1" applyBorder="1" applyAlignment="1" applyProtection="1">
      <alignment horizontal="center" vertical="center" wrapText="1"/>
      <protection locked="0"/>
    </xf>
    <xf numFmtId="0" fontId="41" fillId="3" borderId="39" xfId="0" applyFont="1" applyFill="1" applyBorder="1" applyAlignment="1">
      <alignment horizontal="left" vertical="center"/>
    </xf>
    <xf numFmtId="0" fontId="97" fillId="3" borderId="32" xfId="0" applyFont="1" applyFill="1" applyBorder="1" applyAlignment="1">
      <alignment vertical="center"/>
    </xf>
    <xf numFmtId="0" fontId="97" fillId="3" borderId="0" xfId="0" applyFont="1" applyFill="1" applyBorder="1" applyAlignment="1">
      <alignment vertical="center"/>
    </xf>
    <xf numFmtId="0" fontId="109" fillId="3" borderId="0" xfId="0" applyFont="1" applyFill="1" applyBorder="1" applyAlignment="1">
      <alignment vertical="center"/>
    </xf>
    <xf numFmtId="0" fontId="41" fillId="3" borderId="0" xfId="0" applyFont="1" applyFill="1" applyAlignment="1">
      <alignment horizontal="left" vertical="center"/>
    </xf>
    <xf numFmtId="49" fontId="126" fillId="3" borderId="11" xfId="0" applyNumberFormat="1" applyFont="1" applyFill="1" applyBorder="1" applyAlignment="1">
      <alignment horizontal="right" vertical="center" wrapText="1"/>
    </xf>
    <xf numFmtId="0" fontId="126" fillId="3" borderId="12" xfId="0" applyFont="1" applyFill="1" applyBorder="1" applyAlignment="1">
      <alignment horizontal="right" vertical="center" wrapText="1"/>
    </xf>
    <xf numFmtId="0" fontId="109" fillId="3" borderId="12" xfId="0" applyFont="1" applyFill="1" applyBorder="1" applyAlignment="1">
      <alignment horizontal="left" vertical="center" wrapText="1"/>
    </xf>
    <xf numFmtId="0" fontId="87" fillId="3" borderId="12" xfId="0" applyFont="1" applyFill="1" applyBorder="1" applyAlignment="1">
      <alignment horizontal="left" vertical="center" wrapText="1"/>
    </xf>
    <xf numFmtId="0" fontId="34" fillId="3" borderId="12" xfId="0" applyFont="1" applyFill="1" applyBorder="1" applyAlignment="1" applyProtection="1">
      <alignment horizontal="center" vertical="center" wrapText="1"/>
      <protection locked="0"/>
    </xf>
    <xf numFmtId="0" fontId="87" fillId="3" borderId="12" xfId="0" applyFont="1" applyFill="1" applyBorder="1" applyAlignment="1" applyProtection="1">
      <alignment horizontal="right" vertical="center" wrapText="1"/>
      <protection locked="0"/>
    </xf>
    <xf numFmtId="0" fontId="111" fillId="3" borderId="12" xfId="0" applyFont="1" applyFill="1" applyBorder="1" applyAlignment="1">
      <alignment vertical="center"/>
    </xf>
    <xf numFmtId="0" fontId="113" fillId="3" borderId="12" xfId="0" applyFont="1" applyFill="1" applyBorder="1" applyAlignment="1" applyProtection="1">
      <alignment horizontal="right" vertical="center" wrapText="1"/>
      <protection hidden="1"/>
    </xf>
    <xf numFmtId="14" fontId="113" fillId="3" borderId="12" xfId="0" applyNumberFormat="1" applyFont="1" applyFill="1" applyBorder="1" applyAlignment="1" applyProtection="1">
      <alignment horizontal="center" vertical="center" wrapText="1"/>
      <protection hidden="1"/>
    </xf>
    <xf numFmtId="0" fontId="112" fillId="3" borderId="0" xfId="0" applyFont="1" applyFill="1" applyAlignment="1">
      <alignment vertical="center"/>
    </xf>
    <xf numFmtId="0" fontId="127" fillId="3" borderId="0" xfId="0" applyFont="1" applyFill="1" applyAlignment="1">
      <alignment vertical="center"/>
    </xf>
    <xf numFmtId="0" fontId="128" fillId="3" borderId="0" xfId="0" applyFont="1" applyFill="1" applyAlignment="1">
      <alignment vertical="center"/>
    </xf>
    <xf numFmtId="0" fontId="129" fillId="3" borderId="0" xfId="0" applyFont="1" applyFill="1" applyAlignment="1">
      <alignment vertical="center"/>
    </xf>
    <xf numFmtId="0" fontId="117" fillId="3" borderId="0" xfId="0" applyFont="1" applyFill="1" applyAlignment="1">
      <alignment vertical="center"/>
    </xf>
    <xf numFmtId="0" fontId="128" fillId="3" borderId="0" xfId="0" applyFont="1" applyFill="1" applyBorder="1" applyAlignment="1">
      <alignment vertical="center"/>
    </xf>
    <xf numFmtId="0" fontId="129" fillId="3" borderId="0" xfId="0" applyFont="1" applyFill="1" applyBorder="1" applyAlignment="1">
      <alignment vertical="center"/>
    </xf>
    <xf numFmtId="14" fontId="130" fillId="3" borderId="0" xfId="0" applyNumberFormat="1" applyFont="1" applyFill="1" applyBorder="1" applyAlignment="1" applyProtection="1">
      <alignment horizontal="center" vertical="center"/>
      <protection locked="0"/>
    </xf>
    <xf numFmtId="0" fontId="131" fillId="3" borderId="0" xfId="0" applyFont="1" applyFill="1" applyBorder="1" applyAlignment="1">
      <alignment vertical="center" wrapText="1"/>
    </xf>
    <xf numFmtId="0" fontId="132" fillId="3" borderId="0" xfId="0" applyFont="1" applyFill="1" applyBorder="1" applyAlignment="1">
      <alignment vertical="center"/>
    </xf>
    <xf numFmtId="0" fontId="133" fillId="3" borderId="0" xfId="0" applyFont="1" applyFill="1" applyBorder="1" applyAlignment="1">
      <alignment vertical="center" wrapText="1"/>
    </xf>
    <xf numFmtId="0" fontId="38" fillId="0" borderId="0" xfId="0" applyNumberFormat="1" applyFont="1" applyAlignment="1">
      <alignment horizontal="center" vertical="center"/>
    </xf>
    <xf numFmtId="0" fontId="134" fillId="0" borderId="0" xfId="0" applyNumberFormat="1" applyFont="1" applyAlignment="1">
      <alignment horizontal="center" vertical="center"/>
    </xf>
    <xf numFmtId="49" fontId="92" fillId="0" borderId="2" xfId="0" applyNumberFormat="1" applyFont="1" applyBorder="1" applyAlignment="1">
      <alignment horizontal="center" vertical="center" wrapText="1"/>
    </xf>
    <xf numFmtId="49" fontId="89" fillId="0" borderId="3" xfId="0" applyNumberFormat="1" applyFont="1" applyBorder="1" applyAlignment="1">
      <alignment horizontal="center" vertical="center" wrapText="1"/>
    </xf>
    <xf numFmtId="49" fontId="89" fillId="0" borderId="2" xfId="0" applyNumberFormat="1" applyFont="1" applyBorder="1" applyAlignment="1">
      <alignment horizontal="center" vertical="center" wrapText="1"/>
    </xf>
    <xf numFmtId="0" fontId="87" fillId="0" borderId="0" xfId="0" applyNumberFormat="1" applyFont="1" applyAlignment="1">
      <alignment horizontal="right" vertical="center"/>
    </xf>
    <xf numFmtId="49" fontId="0" fillId="0" borderId="0" xfId="0" applyNumberFormat="1">
      <alignment vertical="center"/>
    </xf>
    <xf numFmtId="0" fontId="0" fillId="0" borderId="0" xfId="0" applyNumberFormat="1">
      <alignment vertical="center"/>
    </xf>
    <xf numFmtId="49" fontId="135" fillId="4" borderId="1" xfId="0" applyNumberFormat="1" applyFont="1" applyFill="1" applyBorder="1" applyAlignment="1">
      <alignment horizontal="center" vertical="center"/>
    </xf>
    <xf numFmtId="0" fontId="135" fillId="4" borderId="1" xfId="0" applyNumberFormat="1" applyFont="1" applyFill="1" applyBorder="1" applyAlignment="1">
      <alignment horizontal="center" vertical="center"/>
    </xf>
    <xf numFmtId="49" fontId="136" fillId="5" borderId="1" xfId="0" applyNumberFormat="1" applyFont="1" applyFill="1" applyBorder="1" applyAlignment="1">
      <alignment horizontal="center" vertical="center"/>
    </xf>
    <xf numFmtId="49" fontId="136" fillId="5" borderId="1" xfId="0" applyNumberFormat="1" applyFont="1" applyFill="1" applyBorder="1">
      <alignment vertical="center"/>
    </xf>
    <xf numFmtId="182" fontId="0" fillId="0" borderId="0" xfId="0" applyNumberFormat="1">
      <alignment vertical="center"/>
    </xf>
    <xf numFmtId="49" fontId="0" fillId="0" borderId="0" xfId="0" applyNumberFormat="1" applyAlignment="1">
      <alignment horizontal="left" vertical="center"/>
    </xf>
    <xf numFmtId="0" fontId="0" fillId="0" borderId="0" xfId="0" applyNumberFormat="1" applyFont="1">
      <alignment vertical="center"/>
    </xf>
    <xf numFmtId="49" fontId="0" fillId="0" borderId="0" xfId="0" applyNumberFormat="1" applyFont="1" applyAlignment="1">
      <alignment horizontal="left" vertical="center"/>
    </xf>
    <xf numFmtId="49" fontId="0" fillId="0" borderId="0" xfId="0" applyNumberFormat="1" applyFont="1">
      <alignment vertical="center"/>
    </xf>
    <xf numFmtId="0" fontId="111" fillId="0" borderId="0" xfId="0" applyFont="1" applyFill="1" applyAlignment="1">
      <alignment vertical="center"/>
    </xf>
    <xf numFmtId="0" fontId="137" fillId="3" borderId="0" xfId="0" applyFont="1" applyFill="1" applyAlignment="1">
      <alignment horizontal="center" vertical="center"/>
    </xf>
    <xf numFmtId="0" fontId="117" fillId="3" borderId="0" xfId="0" applyFont="1" applyFill="1" applyBorder="1" applyAlignment="1">
      <alignment vertical="center" wrapText="1"/>
    </xf>
    <xf numFmtId="0" fontId="120" fillId="3" borderId="7" xfId="0" applyFont="1" applyFill="1" applyBorder="1" applyAlignment="1">
      <alignment horizontal="center" vertical="center" wrapText="1"/>
    </xf>
    <xf numFmtId="0" fontId="138" fillId="3" borderId="0" xfId="0" applyFont="1" applyFill="1" applyBorder="1" applyAlignment="1" applyProtection="1">
      <alignment horizontal="center" vertical="center"/>
      <protection locked="0"/>
    </xf>
    <xf numFmtId="0" fontId="138" fillId="3" borderId="5" xfId="0" applyFont="1" applyFill="1" applyBorder="1" applyAlignment="1" applyProtection="1">
      <alignment horizontal="center" vertical="center" wrapText="1"/>
      <protection locked="0"/>
    </xf>
    <xf numFmtId="0" fontId="112" fillId="3" borderId="0" xfId="0" applyFont="1" applyFill="1" applyBorder="1" applyAlignment="1">
      <alignment vertical="center" wrapText="1"/>
    </xf>
    <xf numFmtId="0" fontId="120" fillId="3" borderId="8" xfId="0" applyFont="1" applyFill="1" applyBorder="1" applyAlignment="1">
      <alignment horizontal="left" vertical="center" wrapText="1"/>
    </xf>
    <xf numFmtId="0" fontId="120" fillId="3" borderId="9" xfId="0" applyFont="1" applyFill="1" applyBorder="1" applyAlignment="1">
      <alignment horizontal="left" vertical="center" wrapText="1"/>
    </xf>
    <xf numFmtId="0" fontId="138" fillId="3" borderId="9" xfId="0" applyFont="1" applyFill="1" applyBorder="1" applyAlignment="1">
      <alignment horizontal="center" vertical="center" wrapText="1"/>
    </xf>
    <xf numFmtId="0" fontId="139" fillId="3" borderId="10" xfId="0" applyFont="1" applyFill="1" applyBorder="1" applyAlignment="1">
      <alignment horizontal="center" vertical="center" wrapText="1"/>
    </xf>
    <xf numFmtId="0" fontId="120" fillId="3" borderId="7" xfId="0" applyFont="1" applyFill="1" applyBorder="1" applyAlignment="1">
      <alignment horizontal="left" vertical="center"/>
    </xf>
    <xf numFmtId="0" fontId="120" fillId="3" borderId="10" xfId="0" applyFont="1" applyFill="1" applyBorder="1" applyAlignment="1">
      <alignment horizontal="left" vertical="center" wrapText="1"/>
    </xf>
    <xf numFmtId="0" fontId="120" fillId="3" borderId="32" xfId="0" applyFont="1" applyFill="1" applyBorder="1" applyAlignment="1">
      <alignment horizontal="left" vertical="center" wrapText="1"/>
    </xf>
    <xf numFmtId="0" fontId="120" fillId="3" borderId="0" xfId="0" applyFont="1" applyFill="1" applyBorder="1" applyAlignment="1">
      <alignment horizontal="left" vertical="center" wrapText="1"/>
    </xf>
    <xf numFmtId="0" fontId="138" fillId="3" borderId="0" xfId="0" applyFont="1" applyFill="1" applyBorder="1" applyAlignment="1">
      <alignment horizontal="center" vertical="center" wrapText="1"/>
    </xf>
    <xf numFmtId="0" fontId="138" fillId="3" borderId="39" xfId="0" applyFont="1" applyFill="1" applyBorder="1" applyAlignment="1">
      <alignment horizontal="center" vertical="center" wrapText="1"/>
    </xf>
    <xf numFmtId="0" fontId="138" fillId="3" borderId="38" xfId="0" applyFont="1" applyFill="1" applyBorder="1" applyAlignment="1">
      <alignment horizontal="center" vertical="center"/>
    </xf>
    <xf numFmtId="14" fontId="138" fillId="3" borderId="32" xfId="0" applyNumberFormat="1" applyFont="1" applyFill="1" applyBorder="1" applyAlignment="1">
      <alignment horizontal="center" vertical="center"/>
    </xf>
    <xf numFmtId="14" fontId="138" fillId="3" borderId="39" xfId="0" applyNumberFormat="1" applyFont="1" applyFill="1" applyBorder="1" applyAlignment="1">
      <alignment horizontal="center" vertical="center"/>
    </xf>
    <xf numFmtId="0" fontId="120" fillId="3" borderId="11" xfId="0" applyFont="1" applyFill="1" applyBorder="1" applyAlignment="1">
      <alignment horizontal="left" vertical="center" wrapText="1"/>
    </xf>
    <xf numFmtId="0" fontId="120" fillId="3" borderId="12" xfId="0" applyFont="1" applyFill="1" applyBorder="1" applyAlignment="1">
      <alignment horizontal="left" vertical="center" wrapText="1"/>
    </xf>
    <xf numFmtId="0" fontId="138" fillId="3" borderId="12" xfId="0" applyFont="1" applyFill="1" applyBorder="1" applyAlignment="1">
      <alignment horizontal="center" vertical="center" wrapText="1"/>
    </xf>
    <xf numFmtId="0" fontId="138" fillId="3" borderId="13" xfId="0" applyFont="1" applyFill="1" applyBorder="1" applyAlignment="1">
      <alignment horizontal="center" vertical="center" wrapText="1"/>
    </xf>
    <xf numFmtId="0" fontId="138" fillId="3" borderId="5" xfId="0" applyFont="1" applyFill="1" applyBorder="1" applyAlignment="1">
      <alignment horizontal="center" vertical="center"/>
    </xf>
    <xf numFmtId="14" fontId="138" fillId="3" borderId="11" xfId="0" applyNumberFormat="1" applyFont="1" applyFill="1" applyBorder="1" applyAlignment="1">
      <alignment horizontal="center" vertical="center"/>
    </xf>
    <xf numFmtId="14" fontId="138" fillId="3" borderId="13" xfId="0" applyNumberFormat="1" applyFont="1" applyFill="1" applyBorder="1" applyAlignment="1">
      <alignment horizontal="center" vertical="center"/>
    </xf>
    <xf numFmtId="0" fontId="120" fillId="3" borderId="32" xfId="0" applyFont="1" applyFill="1" applyBorder="1" applyAlignment="1">
      <alignment vertical="center" wrapText="1"/>
    </xf>
    <xf numFmtId="0" fontId="120" fillId="3" borderId="0" xfId="0" applyFont="1" applyFill="1" applyBorder="1" applyAlignment="1">
      <alignment vertical="center" wrapText="1"/>
    </xf>
    <xf numFmtId="0" fontId="120" fillId="3" borderId="39" xfId="0" applyFont="1" applyFill="1" applyBorder="1" applyAlignment="1">
      <alignment vertical="center" wrapText="1"/>
    </xf>
    <xf numFmtId="0" fontId="138" fillId="3" borderId="11" xfId="0" applyFont="1" applyFill="1" applyBorder="1" applyAlignment="1" applyProtection="1">
      <alignment horizontal="center" vertical="center" wrapText="1"/>
      <protection hidden="1"/>
    </xf>
    <xf numFmtId="0" fontId="138" fillId="3" borderId="12" xfId="0" applyFont="1" applyFill="1" applyBorder="1" applyAlignment="1" applyProtection="1">
      <alignment horizontal="center" vertical="center" wrapText="1"/>
      <protection hidden="1"/>
    </xf>
    <xf numFmtId="0" fontId="138" fillId="3" borderId="13" xfId="0" applyFont="1" applyFill="1" applyBorder="1" applyAlignment="1" applyProtection="1">
      <alignment horizontal="center" vertical="center" wrapText="1"/>
      <protection hidden="1"/>
    </xf>
    <xf numFmtId="0" fontId="120" fillId="3" borderId="39" xfId="0" applyFont="1" applyFill="1" applyBorder="1" applyAlignment="1">
      <alignment horizontal="left" vertical="center" wrapText="1"/>
    </xf>
    <xf numFmtId="0" fontId="120" fillId="3" borderId="8" xfId="0" applyFont="1" applyFill="1" applyBorder="1" applyAlignment="1">
      <alignment vertical="center" wrapText="1"/>
    </xf>
    <xf numFmtId="0" fontId="120" fillId="3" borderId="7" xfId="0" applyFont="1" applyFill="1" applyBorder="1" applyAlignment="1">
      <alignment vertical="center" wrapText="1"/>
    </xf>
    <xf numFmtId="0" fontId="120" fillId="3" borderId="2" xfId="0" applyFont="1" applyFill="1" applyBorder="1" applyAlignment="1">
      <alignment vertical="center" wrapText="1"/>
    </xf>
    <xf numFmtId="0" fontId="120" fillId="3" borderId="10" xfId="0" applyFont="1" applyFill="1" applyBorder="1" applyAlignment="1">
      <alignment vertical="center" wrapText="1"/>
    </xf>
    <xf numFmtId="0" fontId="120" fillId="3" borderId="13" xfId="0" applyFont="1" applyFill="1" applyBorder="1" applyAlignment="1">
      <alignment horizontal="left" vertical="center" wrapText="1"/>
    </xf>
    <xf numFmtId="0" fontId="117" fillId="3" borderId="39" xfId="0" applyFont="1" applyFill="1" applyBorder="1" applyAlignment="1">
      <alignment horizontal="right" vertical="center" textRotation="90" wrapText="1"/>
    </xf>
    <xf numFmtId="0" fontId="24" fillId="3" borderId="0" xfId="0" applyFont="1" applyFill="1" applyAlignment="1">
      <alignment vertical="center"/>
    </xf>
    <xf numFmtId="181" fontId="140" fillId="3" borderId="40" xfId="0" applyNumberFormat="1" applyFont="1" applyFill="1" applyBorder="1" applyAlignment="1">
      <alignment horizontal="center" vertical="center" wrapText="1"/>
    </xf>
    <xf numFmtId="0" fontId="141" fillId="3" borderId="3" xfId="0" applyFont="1" applyFill="1" applyBorder="1" applyAlignment="1">
      <alignment vertical="center" wrapText="1"/>
    </xf>
    <xf numFmtId="0" fontId="140" fillId="3" borderId="40" xfId="0" applyFont="1" applyFill="1" applyBorder="1" applyAlignment="1" applyProtection="1">
      <alignment horizontal="center" vertical="center" wrapText="1"/>
      <protection locked="0"/>
    </xf>
    <xf numFmtId="0" fontId="142" fillId="3" borderId="46" xfId="0" applyFont="1" applyFill="1" applyBorder="1" applyAlignment="1" applyProtection="1">
      <alignment horizontal="center" vertical="center" wrapText="1"/>
      <protection locked="0"/>
    </xf>
    <xf numFmtId="0" fontId="140" fillId="3" borderId="41" xfId="0" applyFont="1" applyFill="1" applyBorder="1" applyAlignment="1">
      <alignment horizontal="center" vertical="center" wrapText="1"/>
    </xf>
    <xf numFmtId="14" fontId="143" fillId="3" borderId="41" xfId="0" applyNumberFormat="1" applyFont="1" applyFill="1" applyBorder="1" applyAlignment="1">
      <alignment horizontal="center" vertical="center" wrapText="1"/>
    </xf>
    <xf numFmtId="0" fontId="144" fillId="3" borderId="43" xfId="0" applyFont="1" applyFill="1" applyBorder="1" applyAlignment="1">
      <alignment horizontal="center" vertical="center" wrapText="1"/>
    </xf>
    <xf numFmtId="0" fontId="144" fillId="3" borderId="44" xfId="0" applyNumberFormat="1" applyFont="1" applyFill="1" applyBorder="1" applyAlignment="1">
      <alignment horizontal="center" vertical="center" wrapText="1"/>
    </xf>
    <xf numFmtId="49" fontId="143" fillId="3" borderId="43" xfId="0" applyNumberFormat="1" applyFont="1" applyFill="1" applyBorder="1" applyAlignment="1">
      <alignment horizontal="center" vertical="center" wrapText="1"/>
    </xf>
    <xf numFmtId="0" fontId="145" fillId="3" borderId="2" xfId="0" applyFont="1" applyFill="1" applyBorder="1" applyAlignment="1">
      <alignment vertical="center" wrapText="1"/>
    </xf>
    <xf numFmtId="0" fontId="146" fillId="3" borderId="43" xfId="0" applyFont="1" applyFill="1" applyBorder="1" applyAlignment="1">
      <alignment horizontal="center" vertical="center" wrapText="1"/>
    </xf>
    <xf numFmtId="0" fontId="117" fillId="0" borderId="39" xfId="0" applyFont="1" applyFill="1" applyBorder="1" applyAlignment="1">
      <alignment horizontal="right" vertical="center" textRotation="90" wrapText="1"/>
    </xf>
    <xf numFmtId="181" fontId="140" fillId="0" borderId="40" xfId="0" applyNumberFormat="1" applyFont="1" applyFill="1" applyBorder="1" applyAlignment="1">
      <alignment horizontal="center" vertical="center" wrapText="1"/>
    </xf>
    <xf numFmtId="0" fontId="145" fillId="0" borderId="2" xfId="0" applyFont="1" applyFill="1" applyBorder="1" applyAlignment="1">
      <alignment vertical="center" wrapText="1"/>
    </xf>
    <xf numFmtId="0" fontId="141" fillId="0" borderId="3" xfId="0" applyFont="1" applyFill="1" applyBorder="1" applyAlignment="1">
      <alignment vertical="center" wrapText="1"/>
    </xf>
    <xf numFmtId="0" fontId="140" fillId="0" borderId="40" xfId="0" applyFont="1" applyFill="1" applyBorder="1" applyAlignment="1" applyProtection="1">
      <alignment horizontal="center" vertical="center" wrapText="1"/>
      <protection locked="0"/>
    </xf>
    <xf numFmtId="0" fontId="142" fillId="0" borderId="46" xfId="0" applyFont="1" applyFill="1" applyBorder="1" applyAlignment="1" applyProtection="1">
      <alignment horizontal="center" vertical="center" wrapText="1"/>
      <protection locked="0"/>
    </xf>
    <xf numFmtId="0" fontId="140" fillId="0" borderId="41" xfId="0" applyFont="1" applyFill="1" applyBorder="1" applyAlignment="1">
      <alignment horizontal="center" vertical="center" wrapText="1"/>
    </xf>
    <xf numFmtId="14" fontId="143" fillId="0" borderId="41" xfId="0" applyNumberFormat="1" applyFont="1" applyFill="1" applyBorder="1" applyAlignment="1">
      <alignment horizontal="center" vertical="center" wrapText="1"/>
    </xf>
    <xf numFmtId="0" fontId="144" fillId="0" borderId="43" xfId="0" applyFont="1" applyFill="1" applyBorder="1" applyAlignment="1">
      <alignment horizontal="center" vertical="center" wrapText="1"/>
    </xf>
    <xf numFmtId="49" fontId="143" fillId="0" borderId="43" xfId="0" applyNumberFormat="1" applyFont="1" applyFill="1" applyBorder="1" applyAlignment="1">
      <alignment horizontal="center" vertical="center" wrapText="1"/>
    </xf>
    <xf numFmtId="0" fontId="120" fillId="3" borderId="39" xfId="0" applyFont="1" applyFill="1" applyBorder="1" applyAlignment="1">
      <alignment horizontal="left" vertical="center"/>
    </xf>
    <xf numFmtId="0" fontId="120" fillId="3" borderId="32" xfId="0" applyFont="1" applyFill="1" applyBorder="1" applyAlignment="1">
      <alignment vertical="center"/>
    </xf>
    <xf numFmtId="0" fontId="120" fillId="3" borderId="0" xfId="0" applyFont="1" applyFill="1" applyBorder="1" applyAlignment="1">
      <alignment vertical="center"/>
    </xf>
    <xf numFmtId="0" fontId="120" fillId="3" borderId="0" xfId="0" applyFont="1" applyFill="1" applyAlignment="1">
      <alignment horizontal="left" vertical="center"/>
    </xf>
    <xf numFmtId="49" fontId="147" fillId="3" borderId="11" xfId="0" applyNumberFormat="1" applyFont="1" applyFill="1" applyBorder="1" applyAlignment="1">
      <alignment horizontal="right" vertical="center" wrapText="1"/>
    </xf>
    <xf numFmtId="0" fontId="147" fillId="3" borderId="12" xfId="0" applyFont="1" applyFill="1" applyBorder="1" applyAlignment="1">
      <alignment horizontal="right" vertical="center" wrapText="1"/>
    </xf>
    <xf numFmtId="0" fontId="112" fillId="3" borderId="12" xfId="0" applyFont="1" applyFill="1" applyBorder="1" applyAlignment="1">
      <alignment horizontal="left" vertical="center" wrapText="1"/>
    </xf>
    <xf numFmtId="0" fontId="148" fillId="3" borderId="12" xfId="0" applyFont="1" applyFill="1" applyBorder="1" applyAlignment="1">
      <alignment horizontal="left" vertical="center" wrapText="1"/>
    </xf>
    <xf numFmtId="0" fontId="117" fillId="3" borderId="12" xfId="0" applyFont="1" applyFill="1" applyBorder="1" applyAlignment="1" applyProtection="1">
      <alignment horizontal="center" vertical="center" wrapText="1"/>
      <protection locked="0"/>
    </xf>
    <xf numFmtId="0" fontId="148" fillId="3" borderId="12" xfId="0" applyFont="1" applyFill="1" applyBorder="1" applyAlignment="1" applyProtection="1">
      <alignment horizontal="right" vertical="center" wrapText="1"/>
      <protection locked="0"/>
    </xf>
    <xf numFmtId="0" fontId="138" fillId="3" borderId="12" xfId="0" applyFont="1" applyFill="1" applyBorder="1" applyAlignment="1" applyProtection="1">
      <alignment horizontal="right" vertical="center" wrapText="1"/>
      <protection hidden="1"/>
    </xf>
    <xf numFmtId="14" fontId="138" fillId="3" borderId="12" xfId="0" applyNumberFormat="1" applyFont="1" applyFill="1" applyBorder="1" applyAlignment="1" applyProtection="1">
      <alignment horizontal="center" vertical="center" wrapText="1"/>
      <protection hidden="1"/>
    </xf>
    <xf numFmtId="14" fontId="149" fillId="3" borderId="0" xfId="0" applyNumberFormat="1" applyFont="1" applyFill="1" applyBorder="1" applyAlignment="1" applyProtection="1">
      <alignment horizontal="center" vertical="center"/>
      <protection locked="0"/>
    </xf>
    <xf numFmtId="0" fontId="87" fillId="2" borderId="0" xfId="0" applyFont="1" applyFill="1" applyBorder="1" applyAlignment="1" applyProtection="1">
      <alignment horizontal="right" vertical="center" textRotation="90" wrapText="1"/>
      <protection hidden="1"/>
    </xf>
    <xf numFmtId="0" fontId="86" fillId="2" borderId="0" xfId="0" applyFont="1" applyFill="1" applyAlignment="1" applyProtection="1">
      <alignment horizontal="center"/>
      <protection hidden="1"/>
    </xf>
    <xf numFmtId="0" fontId="3" fillId="2" borderId="0" xfId="0" applyFont="1" applyFill="1" applyAlignment="1" applyProtection="1">
      <protection hidden="1"/>
    </xf>
    <xf numFmtId="0" fontId="10" fillId="2" borderId="0" xfId="0" applyFont="1" applyFill="1" applyAlignment="1" applyProtection="1">
      <alignment horizontal="center"/>
      <protection hidden="1"/>
    </xf>
    <xf numFmtId="0" fontId="8" fillId="2" borderId="0" xfId="0" applyFont="1" applyFill="1" applyBorder="1" applyAlignment="1" applyProtection="1">
      <alignment horizontal="center" vertical="center" wrapText="1"/>
      <protection hidden="1"/>
    </xf>
    <xf numFmtId="0" fontId="29" fillId="2" borderId="0" xfId="0" applyFont="1" applyFill="1" applyAlignment="1" applyProtection="1">
      <alignment horizontal="left" vertical="center"/>
      <protection hidden="1"/>
    </xf>
    <xf numFmtId="0" fontId="9" fillId="2" borderId="0" xfId="0" applyFont="1" applyFill="1" applyAlignment="1" applyProtection="1">
      <alignment horizontal="center"/>
      <protection hidden="1"/>
    </xf>
    <xf numFmtId="0" fontId="84" fillId="2" borderId="0" xfId="0" applyFont="1" applyFill="1" applyAlignment="1" applyProtection="1">
      <alignment horizontal="center"/>
      <protection hidden="1"/>
    </xf>
    <xf numFmtId="0" fontId="84" fillId="2" borderId="0" xfId="0" applyFont="1" applyFill="1" applyBorder="1" applyAlignment="1" applyProtection="1">
      <alignment horizontal="left"/>
      <protection hidden="1"/>
    </xf>
    <xf numFmtId="0" fontId="29" fillId="2" borderId="7" xfId="0" applyFont="1" applyFill="1" applyBorder="1" applyAlignment="1" applyProtection="1">
      <alignment horizontal="center" vertical="center"/>
      <protection hidden="1"/>
    </xf>
    <xf numFmtId="0" fontId="83" fillId="2" borderId="0" xfId="0" applyFont="1" applyFill="1" applyAlignment="1" applyProtection="1">
      <alignment horizontal="left" vertical="center"/>
      <protection hidden="1"/>
    </xf>
    <xf numFmtId="0" fontId="83" fillId="2" borderId="0" xfId="0" applyFont="1" applyFill="1" applyBorder="1" applyAlignment="1" applyProtection="1">
      <alignment horizontal="center" vertical="top"/>
      <protection hidden="1"/>
    </xf>
    <xf numFmtId="0" fontId="83" fillId="2" borderId="0" xfId="0" applyFont="1" applyFill="1" applyBorder="1" applyAlignment="1" applyProtection="1">
      <alignment vertical="top"/>
      <protection hidden="1"/>
    </xf>
    <xf numFmtId="0" fontId="87" fillId="2" borderId="5" xfId="0" applyFont="1" applyFill="1" applyBorder="1" applyAlignment="1" applyProtection="1">
      <alignment vertical="center"/>
      <protection hidden="1"/>
    </xf>
    <xf numFmtId="0" fontId="87" fillId="2" borderId="39" xfId="0" applyFont="1" applyFill="1" applyBorder="1" applyAlignment="1" applyProtection="1">
      <alignment vertical="center"/>
      <protection hidden="1"/>
    </xf>
    <xf numFmtId="0" fontId="34" fillId="2" borderId="8" xfId="0" applyFont="1" applyFill="1" applyBorder="1" applyAlignment="1" applyProtection="1">
      <alignment horizontal="left" vertical="center"/>
      <protection hidden="1"/>
    </xf>
    <xf numFmtId="0" fontId="110" fillId="2" borderId="9" xfId="0" applyFont="1" applyFill="1" applyBorder="1" applyAlignment="1" applyProtection="1">
      <alignment vertical="center"/>
      <protection hidden="1"/>
    </xf>
    <xf numFmtId="0" fontId="2" fillId="2" borderId="9" xfId="0" applyFont="1" applyFill="1" applyBorder="1" applyAlignment="1" applyProtection="1">
      <alignment vertical="center"/>
      <protection hidden="1"/>
    </xf>
    <xf numFmtId="0" fontId="34" fillId="2" borderId="9" xfId="0" applyFont="1" applyFill="1" applyBorder="1" applyAlignment="1" applyProtection="1">
      <alignment horizontal="left" vertical="center"/>
      <protection hidden="1"/>
    </xf>
    <xf numFmtId="0" fontId="34" fillId="2" borderId="9" xfId="0" applyFont="1" applyFill="1" applyBorder="1" applyAlignment="1" applyProtection="1">
      <alignment vertical="center"/>
      <protection hidden="1"/>
    </xf>
    <xf numFmtId="0" fontId="2" fillId="2" borderId="10" xfId="0" applyFont="1" applyFill="1" applyBorder="1" applyAlignment="1" applyProtection="1">
      <alignment vertical="center"/>
      <protection hidden="1"/>
    </xf>
    <xf numFmtId="0" fontId="87" fillId="2" borderId="11" xfId="0" applyFont="1" applyFill="1" applyBorder="1" applyAlignment="1" applyProtection="1">
      <alignment horizontal="left" vertical="center"/>
      <protection hidden="1"/>
    </xf>
    <xf numFmtId="0" fontId="10" fillId="2" borderId="12" xfId="0" applyFont="1" applyFill="1" applyBorder="1" applyAlignment="1" applyProtection="1">
      <alignment vertical="center"/>
      <protection hidden="1"/>
    </xf>
    <xf numFmtId="0" fontId="2" fillId="2" borderId="12" xfId="0" applyFont="1" applyFill="1" applyBorder="1" applyAlignment="1" applyProtection="1">
      <alignment vertical="center"/>
      <protection hidden="1"/>
    </xf>
    <xf numFmtId="0" fontId="87" fillId="2" borderId="12" xfId="0" applyFont="1" applyFill="1" applyBorder="1" applyAlignment="1" applyProtection="1">
      <alignment horizontal="left" vertical="center"/>
      <protection hidden="1"/>
    </xf>
    <xf numFmtId="0" fontId="83" fillId="2" borderId="12" xfId="0" applyFont="1" applyFill="1" applyBorder="1" applyAlignment="1" applyProtection="1">
      <alignment vertical="center"/>
      <protection hidden="1"/>
    </xf>
    <xf numFmtId="0" fontId="83" fillId="2" borderId="13" xfId="0" applyFont="1" applyFill="1" applyBorder="1" applyAlignment="1" applyProtection="1">
      <alignment vertical="center"/>
      <protection hidden="1"/>
    </xf>
    <xf numFmtId="0" fontId="33" fillId="2" borderId="9" xfId="0" applyFont="1" applyFill="1" applyBorder="1" applyAlignment="1" applyProtection="1">
      <alignment vertical="center"/>
      <protection hidden="1"/>
    </xf>
    <xf numFmtId="0" fontId="34" fillId="2" borderId="9" xfId="0" applyFont="1" applyFill="1" applyBorder="1" applyAlignment="1" applyProtection="1">
      <alignment vertical="center" wrapText="1"/>
      <protection hidden="1"/>
    </xf>
    <xf numFmtId="0" fontId="93" fillId="2" borderId="9" xfId="0" applyFont="1" applyFill="1" applyBorder="1" applyAlignment="1" applyProtection="1">
      <alignment horizontal="center" vertical="center" wrapText="1"/>
      <protection hidden="1"/>
    </xf>
    <xf numFmtId="0" fontId="110" fillId="2" borderId="10" xfId="0" applyFont="1" applyFill="1" applyBorder="1" applyAlignment="1" applyProtection="1">
      <alignment vertical="center"/>
      <protection hidden="1"/>
    </xf>
    <xf numFmtId="0" fontId="83" fillId="2" borderId="11" xfId="0" applyFont="1" applyFill="1" applyBorder="1" applyAlignment="1" applyProtection="1">
      <alignment horizontal="left" vertical="center"/>
      <protection hidden="1"/>
    </xf>
    <xf numFmtId="0" fontId="93" fillId="2" borderId="12" xfId="0" applyFont="1" applyFill="1" applyBorder="1" applyAlignment="1" applyProtection="1">
      <alignment vertical="center"/>
      <protection hidden="1"/>
    </xf>
    <xf numFmtId="0" fontId="93" fillId="2" borderId="12" xfId="0" applyFont="1" applyFill="1" applyBorder="1" applyAlignment="1" applyProtection="1">
      <alignment horizontal="center" vertical="center" wrapText="1"/>
      <protection hidden="1"/>
    </xf>
    <xf numFmtId="0" fontId="43" fillId="2" borderId="12" xfId="0" applyFont="1" applyFill="1" applyBorder="1" applyAlignment="1" applyProtection="1">
      <alignment vertical="center"/>
      <protection hidden="1"/>
    </xf>
    <xf numFmtId="0" fontId="83" fillId="2" borderId="13" xfId="0" applyFont="1" applyFill="1" applyBorder="1" applyAlignment="1" applyProtection="1">
      <alignment horizontal="left" vertical="center"/>
      <protection hidden="1"/>
    </xf>
    <xf numFmtId="0" fontId="34" fillId="2" borderId="7" xfId="0" applyFont="1" applyFill="1" applyBorder="1" applyAlignment="1" applyProtection="1">
      <alignment horizontal="left" vertical="center"/>
      <protection hidden="1"/>
    </xf>
    <xf numFmtId="0" fontId="3" fillId="2" borderId="9" xfId="0" applyFont="1" applyFill="1" applyBorder="1" applyAlignment="1" applyProtection="1">
      <alignment horizontal="left" vertical="center"/>
      <protection hidden="1"/>
    </xf>
    <xf numFmtId="0" fontId="87" fillId="2" borderId="47" xfId="0" applyFont="1" applyFill="1" applyBorder="1" applyAlignment="1" applyProtection="1">
      <alignment horizontal="left" vertical="center"/>
      <protection hidden="1"/>
    </xf>
    <xf numFmtId="0" fontId="87" fillId="2" borderId="14" xfId="0" applyFont="1" applyFill="1" applyBorder="1" applyAlignment="1" applyProtection="1">
      <alignment horizontal="left" vertical="center"/>
      <protection hidden="1"/>
    </xf>
    <xf numFmtId="0" fontId="87" fillId="2" borderId="47" xfId="0" applyFont="1" applyFill="1" applyBorder="1" applyAlignment="1" applyProtection="1">
      <alignment horizontal="center" vertical="center"/>
      <protection hidden="1"/>
    </xf>
    <xf numFmtId="0" fontId="87" fillId="2" borderId="47" xfId="0" applyFont="1" applyFill="1" applyBorder="1" applyAlignment="1" applyProtection="1">
      <alignment vertical="center"/>
      <protection hidden="1"/>
    </xf>
    <xf numFmtId="0" fontId="34" fillId="2" borderId="46" xfId="0" applyFont="1" applyFill="1" applyBorder="1" applyAlignment="1" applyProtection="1">
      <protection hidden="1"/>
    </xf>
    <xf numFmtId="0" fontId="34" fillId="2" borderId="51" xfId="0" applyFont="1" applyFill="1" applyBorder="1" applyAlignment="1" applyProtection="1">
      <protection hidden="1"/>
    </xf>
    <xf numFmtId="0" fontId="2" fillId="2" borderId="46" xfId="0" applyFont="1" applyFill="1" applyBorder="1" applyAlignment="1" applyProtection="1">
      <alignment vertical="center"/>
      <protection hidden="1"/>
    </xf>
    <xf numFmtId="0" fontId="7" fillId="2" borderId="46" xfId="0" applyFont="1" applyFill="1" applyBorder="1" applyAlignment="1" applyProtection="1">
      <alignment vertical="center"/>
      <protection hidden="1"/>
    </xf>
    <xf numFmtId="0" fontId="86" fillId="2" borderId="51" xfId="0" applyFont="1" applyFill="1" applyBorder="1" applyAlignment="1" applyProtection="1">
      <protection hidden="1"/>
    </xf>
    <xf numFmtId="0" fontId="0" fillId="2" borderId="0" xfId="0" applyFont="1" applyFill="1" applyAlignment="1"/>
    <xf numFmtId="0" fontId="8" fillId="2" borderId="51" xfId="0" applyFont="1" applyFill="1" applyBorder="1" applyAlignment="1" applyProtection="1">
      <alignment vertical="center"/>
      <protection hidden="1"/>
    </xf>
    <xf numFmtId="0" fontId="29" fillId="2" borderId="46" xfId="0" applyFont="1" applyFill="1" applyBorder="1" applyAlignment="1" applyProtection="1">
      <protection hidden="1"/>
    </xf>
    <xf numFmtId="0" fontId="32" fillId="2" borderId="51" xfId="0" applyFont="1" applyFill="1" applyBorder="1" applyAlignment="1" applyProtection="1">
      <protection hidden="1"/>
    </xf>
    <xf numFmtId="0" fontId="7" fillId="2" borderId="51" xfId="0" applyFont="1" applyFill="1" applyBorder="1" applyAlignment="1" applyProtection="1">
      <protection hidden="1"/>
    </xf>
    <xf numFmtId="0" fontId="100" fillId="2" borderId="46" xfId="0" applyFont="1" applyFill="1" applyBorder="1" applyAlignment="1" applyProtection="1">
      <protection hidden="1"/>
    </xf>
    <xf numFmtId="0" fontId="10" fillId="2" borderId="51" xfId="0" applyFont="1" applyFill="1" applyBorder="1" applyAlignment="1" applyProtection="1">
      <alignment horizontal="center"/>
      <protection hidden="1"/>
    </xf>
    <xf numFmtId="0" fontId="34" fillId="2" borderId="52" xfId="0" applyFont="1" applyFill="1" applyBorder="1" applyAlignment="1" applyProtection="1">
      <protection hidden="1"/>
    </xf>
    <xf numFmtId="0" fontId="34" fillId="2" borderId="15" xfId="0" applyFont="1" applyFill="1" applyBorder="1" applyAlignment="1" applyProtection="1">
      <protection hidden="1"/>
    </xf>
    <xf numFmtId="0" fontId="34" fillId="2" borderId="48" xfId="0" applyFont="1" applyFill="1" applyBorder="1" applyAlignment="1" applyProtection="1">
      <protection hidden="1"/>
    </xf>
    <xf numFmtId="0" fontId="34" fillId="2" borderId="53" xfId="0" applyFont="1" applyFill="1" applyBorder="1" applyAlignment="1" applyProtection="1">
      <protection hidden="1"/>
    </xf>
    <xf numFmtId="0" fontId="87" fillId="2" borderId="0" xfId="0" applyFont="1" applyFill="1" applyBorder="1" applyAlignment="1" applyProtection="1">
      <alignment vertical="center"/>
      <protection hidden="1"/>
    </xf>
    <xf numFmtId="0" fontId="34" fillId="2" borderId="0" xfId="0" applyFont="1" applyFill="1" applyBorder="1" applyAlignment="1" applyProtection="1">
      <protection hidden="1"/>
    </xf>
    <xf numFmtId="0" fontId="83" fillId="2" borderId="0" xfId="0" applyFont="1" applyFill="1" applyBorder="1" applyAlignment="1" applyProtection="1">
      <alignment horizontal="left" vertical="center"/>
      <protection hidden="1"/>
    </xf>
    <xf numFmtId="0" fontId="83" fillId="2" borderId="0" xfId="0" applyFont="1" applyFill="1" applyBorder="1" applyAlignment="1" applyProtection="1">
      <alignment horizontal="left"/>
      <protection hidden="1"/>
    </xf>
    <xf numFmtId="0" fontId="3" fillId="2" borderId="0" xfId="0" applyFont="1" applyFill="1" applyAlignment="1">
      <alignment horizontal="center" vertical="center" textRotation="90" wrapText="1"/>
    </xf>
    <xf numFmtId="0" fontId="3" fillId="2" borderId="0" xfId="0" applyFont="1" applyFill="1" applyAlignment="1"/>
    <xf numFmtId="0" fontId="0" fillId="2" borderId="0" xfId="0" applyFill="1" applyAlignment="1">
      <alignment horizontal="center" vertical="center" textRotation="90" wrapText="1"/>
    </xf>
    <xf numFmtId="0" fontId="34" fillId="2" borderId="0" xfId="0" applyFont="1" applyFill="1" applyBorder="1" applyAlignment="1"/>
    <xf numFmtId="0" fontId="84" fillId="2" borderId="0" xfId="0" applyFont="1" applyFill="1" applyBorder="1" applyAlignment="1" applyProtection="1">
      <alignment horizontal="right"/>
      <protection hidden="1"/>
    </xf>
    <xf numFmtId="0" fontId="83" fillId="2" borderId="0" xfId="0" applyFont="1" applyFill="1" applyAlignment="1">
      <alignment horizontal="right"/>
    </xf>
    <xf numFmtId="0" fontId="11" fillId="2" borderId="0" xfId="0" applyFont="1" applyFill="1" applyAlignment="1">
      <alignment horizontal="right" vertical="center" textRotation="90" wrapText="1"/>
    </xf>
    <xf numFmtId="0" fontId="102" fillId="2" borderId="0" xfId="0" applyFont="1" applyFill="1" applyAlignment="1">
      <alignment horizontal="center" vertical="center"/>
    </xf>
    <xf numFmtId="0" fontId="102" fillId="2" borderId="0" xfId="0" applyFont="1" applyFill="1" applyAlignment="1">
      <alignment vertical="center"/>
    </xf>
    <xf numFmtId="0" fontId="150" fillId="2" borderId="0" xfId="0" applyFont="1" applyFill="1" applyAlignment="1"/>
    <xf numFmtId="0" fontId="3" fillId="2" borderId="0" xfId="0" applyFont="1" applyFill="1" applyAlignment="1">
      <alignment horizontal="right" vertical="center" textRotation="90" wrapText="1"/>
    </xf>
    <xf numFmtId="0" fontId="151" fillId="2" borderId="0" xfId="0" applyFont="1" applyFill="1" applyAlignment="1">
      <alignment horizontal="center" vertical="center"/>
    </xf>
    <xf numFmtId="0" fontId="152" fillId="2" borderId="0" xfId="0" applyFont="1" applyFill="1" applyAlignment="1">
      <alignment horizontal="center" vertical="center"/>
    </xf>
    <xf numFmtId="0" fontId="152" fillId="2" borderId="0" xfId="0" applyFont="1" applyFill="1" applyAlignment="1">
      <alignment vertical="center"/>
    </xf>
    <xf numFmtId="0" fontId="83" fillId="2" borderId="0" xfId="0" applyFont="1" applyFill="1" applyAlignment="1">
      <alignment horizontal="left" vertical="center"/>
    </xf>
    <xf numFmtId="0" fontId="153" fillId="2" borderId="0" xfId="0" applyFont="1" applyFill="1" applyAlignment="1">
      <alignment horizontal="center"/>
    </xf>
    <xf numFmtId="0" fontId="154" fillId="2" borderId="0" xfId="0" applyFont="1" applyFill="1" applyAlignment="1">
      <alignment horizontal="center"/>
    </xf>
    <xf numFmtId="0" fontId="155" fillId="2" borderId="7" xfId="0" applyFont="1" applyFill="1" applyBorder="1" applyAlignment="1">
      <alignment horizontal="center" vertical="center"/>
    </xf>
    <xf numFmtId="0" fontId="84" fillId="2" borderId="0" xfId="0" applyFont="1" applyFill="1" applyAlignment="1">
      <alignment horizontal="left" vertical="center"/>
    </xf>
    <xf numFmtId="0" fontId="84" fillId="2" borderId="32" xfId="0" applyFont="1" applyFill="1" applyBorder="1" applyAlignment="1">
      <alignment horizontal="left" vertical="center"/>
    </xf>
    <xf numFmtId="0" fontId="154" fillId="2" borderId="0" xfId="0" applyFont="1" applyFill="1" applyAlignment="1">
      <alignment horizontal="left" vertical="center"/>
    </xf>
    <xf numFmtId="0" fontId="154" fillId="2" borderId="0" xfId="0" applyFont="1" applyFill="1" applyAlignment="1"/>
    <xf numFmtId="0" fontId="83" fillId="2" borderId="0" xfId="0" applyFont="1" applyFill="1" applyAlignment="1">
      <alignment vertical="center" wrapText="1"/>
    </xf>
    <xf numFmtId="0" fontId="155" fillId="2" borderId="5" xfId="0" applyFont="1" applyFill="1" applyBorder="1" applyAlignment="1">
      <alignment horizontal="center" vertical="center"/>
    </xf>
    <xf numFmtId="0" fontId="84" fillId="2" borderId="0" xfId="0" applyFont="1" applyFill="1" applyAlignment="1">
      <alignment horizontal="left" vertical="center" wrapText="1"/>
    </xf>
    <xf numFmtId="0" fontId="84" fillId="2" borderId="0" xfId="0" applyFont="1" applyFill="1" applyBorder="1" applyAlignment="1">
      <alignment horizontal="left" vertical="center" wrapText="1"/>
    </xf>
    <xf numFmtId="0" fontId="155" fillId="2" borderId="0" xfId="0" applyFont="1" applyFill="1" applyBorder="1" applyAlignment="1">
      <alignment vertical="center"/>
    </xf>
    <xf numFmtId="0" fontId="11" fillId="2" borderId="54" xfId="0" applyFont="1" applyFill="1" applyBorder="1" applyAlignment="1">
      <alignment vertical="center"/>
    </xf>
    <xf numFmtId="0" fontId="11" fillId="2" borderId="55" xfId="0" applyFont="1" applyFill="1" applyBorder="1" applyAlignment="1">
      <alignment vertical="center"/>
    </xf>
    <xf numFmtId="0" fontId="25" fillId="2" borderId="55" xfId="0" applyFont="1" applyFill="1" applyBorder="1" applyAlignment="1">
      <alignment vertical="center"/>
    </xf>
    <xf numFmtId="0" fontId="30" fillId="2" borderId="55" xfId="0" applyFont="1" applyFill="1" applyBorder="1" applyAlignment="1">
      <alignment horizontal="center" vertical="center"/>
    </xf>
    <xf numFmtId="0" fontId="96" fillId="2" borderId="56" xfId="0" applyFont="1" applyFill="1" applyBorder="1" applyAlignment="1">
      <alignment horizontal="center" vertical="center"/>
    </xf>
    <xf numFmtId="0" fontId="96" fillId="2" borderId="57" xfId="0" applyFont="1" applyFill="1" applyBorder="1" applyAlignment="1">
      <alignment horizontal="center" vertical="center"/>
    </xf>
    <xf numFmtId="0" fontId="11" fillId="2" borderId="58" xfId="0" applyFont="1" applyFill="1" applyBorder="1" applyAlignment="1">
      <alignment vertical="center"/>
    </xf>
    <xf numFmtId="0" fontId="3" fillId="2" borderId="55" xfId="0" applyFont="1" applyFill="1" applyBorder="1" applyAlignment="1">
      <alignment vertical="center"/>
    </xf>
    <xf numFmtId="0" fontId="33" fillId="2" borderId="55" xfId="0" applyFont="1" applyFill="1" applyBorder="1" applyAlignment="1">
      <alignment vertical="center"/>
    </xf>
    <xf numFmtId="0" fontId="33" fillId="2" borderId="57" xfId="0" applyFont="1" applyFill="1" applyBorder="1" applyAlignment="1">
      <alignment vertical="center"/>
    </xf>
    <xf numFmtId="0" fontId="8" fillId="2" borderId="58" xfId="0" applyFont="1" applyFill="1" applyBorder="1" applyAlignment="1">
      <alignment vertical="center"/>
    </xf>
    <xf numFmtId="0" fontId="9" fillId="2" borderId="55" xfId="0" applyFont="1" applyFill="1" applyBorder="1" applyAlignment="1">
      <alignment vertical="center"/>
    </xf>
    <xf numFmtId="14" fontId="156" fillId="2" borderId="59" xfId="0" applyNumberFormat="1" applyFont="1" applyFill="1" applyBorder="1" applyAlignment="1">
      <alignment horizontal="center" vertical="center"/>
    </xf>
    <xf numFmtId="0" fontId="87" fillId="2" borderId="60" xfId="0" applyFont="1" applyFill="1" applyBorder="1" applyAlignment="1">
      <alignment vertical="center"/>
    </xf>
    <xf numFmtId="0" fontId="86" fillId="2" borderId="12" xfId="0" applyFont="1" applyFill="1" applyBorder="1" applyAlignment="1">
      <alignment horizontal="center" vertical="center"/>
    </xf>
    <xf numFmtId="0" fontId="88" fillId="2" borderId="61" xfId="0" applyFont="1" applyFill="1" applyBorder="1" applyAlignment="1">
      <alignment horizontal="center" vertical="center"/>
    </xf>
    <xf numFmtId="0" fontId="88" fillId="2" borderId="13" xfId="0" applyFont="1" applyFill="1" applyBorder="1" applyAlignment="1">
      <alignment horizontal="center" vertical="center"/>
    </xf>
    <xf numFmtId="0" fontId="85" fillId="2" borderId="11" xfId="0" applyFont="1" applyFill="1" applyBorder="1" applyAlignment="1">
      <alignment vertical="center"/>
    </xf>
    <xf numFmtId="0" fontId="90" fillId="2" borderId="12" xfId="0" applyFont="1" applyFill="1" applyBorder="1" applyAlignment="1">
      <alignment vertical="center"/>
    </xf>
    <xf numFmtId="0" fontId="90" fillId="2" borderId="13" xfId="0" applyFont="1" applyFill="1" applyBorder="1" applyAlignment="1">
      <alignment vertical="center"/>
    </xf>
    <xf numFmtId="0" fontId="157" fillId="2" borderId="12" xfId="0" applyFont="1" applyFill="1" applyBorder="1" applyAlignment="1">
      <alignment vertical="center"/>
    </xf>
    <xf numFmtId="179" fontId="156" fillId="2" borderId="62" xfId="0" applyNumberFormat="1" applyFont="1" applyFill="1" applyBorder="1" applyAlignment="1">
      <alignment horizontal="center" vertical="center"/>
    </xf>
    <xf numFmtId="0" fontId="11" fillId="2" borderId="63" xfId="0" applyFont="1" applyFill="1" applyBorder="1" applyAlignment="1">
      <alignment vertical="center"/>
    </xf>
    <xf numFmtId="0" fontId="11" fillId="2" borderId="0" xfId="0" applyFont="1" applyFill="1" applyBorder="1" applyAlignment="1">
      <alignment vertical="center"/>
    </xf>
    <xf numFmtId="0" fontId="2" fillId="2" borderId="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11" fillId="2" borderId="0" xfId="0" applyFont="1" applyFill="1" applyBorder="1" applyAlignment="1"/>
    <xf numFmtId="0" fontId="3" fillId="2" borderId="0" xfId="0" applyFont="1" applyFill="1" applyBorder="1" applyAlignment="1"/>
    <xf numFmtId="0" fontId="47" fillId="2" borderId="9" xfId="0" applyFont="1" applyFill="1" applyBorder="1" applyAlignment="1">
      <alignment horizontal="left" vertical="center" wrapText="1"/>
    </xf>
    <xf numFmtId="0" fontId="47" fillId="2" borderId="10" xfId="0" applyFont="1" applyFill="1" applyBorder="1" applyAlignment="1">
      <alignment horizontal="left" vertical="center" wrapText="1"/>
    </xf>
    <xf numFmtId="0" fontId="11" fillId="2" borderId="8" xfId="0" applyFont="1" applyFill="1" applyBorder="1" applyAlignment="1">
      <alignment vertical="center"/>
    </xf>
    <xf numFmtId="0" fontId="3" fillId="2" borderId="9" xfId="0" applyFont="1" applyFill="1" applyBorder="1" applyAlignment="1">
      <alignment vertical="center"/>
    </xf>
    <xf numFmtId="0" fontId="158" fillId="2" borderId="9" xfId="0" applyFont="1" applyFill="1" applyBorder="1" applyAlignment="1">
      <alignment horizontal="left" vertical="center"/>
    </xf>
    <xf numFmtId="0" fontId="158" fillId="2" borderId="31" xfId="0" applyFont="1" applyFill="1" applyBorder="1" applyAlignment="1">
      <alignment horizontal="left" vertical="center"/>
    </xf>
    <xf numFmtId="0" fontId="32" fillId="2" borderId="12" xfId="0" applyFont="1" applyFill="1" applyBorder="1" applyAlignment="1">
      <alignment horizontal="center" vertical="center" wrapText="1"/>
    </xf>
    <xf numFmtId="0" fontId="34" fillId="2" borderId="12" xfId="0" applyFont="1" applyFill="1" applyBorder="1" applyAlignment="1">
      <alignment horizontal="center" vertical="center" wrapText="1"/>
    </xf>
    <xf numFmtId="0" fontId="34" fillId="2" borderId="13" xfId="0" applyFont="1" applyFill="1" applyBorder="1" applyAlignment="1">
      <alignment horizontal="center" vertical="center" wrapText="1"/>
    </xf>
    <xf numFmtId="0" fontId="87" fillId="2" borderId="12" xfId="0" applyFont="1" applyFill="1" applyBorder="1" applyAlignment="1">
      <alignment wrapText="1"/>
    </xf>
    <xf numFmtId="0" fontId="25" fillId="2" borderId="12" xfId="0" applyFont="1" applyFill="1" applyBorder="1" applyAlignment="1"/>
    <xf numFmtId="0" fontId="47" fillId="2" borderId="12" xfId="0" applyFont="1" applyFill="1" applyBorder="1" applyAlignment="1">
      <alignment horizontal="left" vertical="center" wrapText="1"/>
    </xf>
    <xf numFmtId="0" fontId="47" fillId="2" borderId="13" xfId="0" applyFont="1" applyFill="1" applyBorder="1" applyAlignment="1">
      <alignment horizontal="left" vertical="center" wrapText="1"/>
    </xf>
    <xf numFmtId="0" fontId="159" fillId="2" borderId="12" xfId="0" applyFont="1" applyFill="1" applyBorder="1" applyAlignment="1">
      <alignment horizontal="left" vertical="center"/>
    </xf>
    <xf numFmtId="0" fontId="159" fillId="2" borderId="62" xfId="0" applyFont="1" applyFill="1" applyBorder="1" applyAlignment="1">
      <alignment horizontal="left" vertical="center"/>
    </xf>
    <xf numFmtId="0" fontId="11" fillId="2" borderId="64"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180" fontId="160" fillId="2" borderId="8" xfId="0" applyNumberFormat="1" applyFont="1" applyFill="1" applyBorder="1" applyAlignment="1">
      <alignment horizontal="center" vertical="center"/>
    </xf>
    <xf numFmtId="180" fontId="160" fillId="2" borderId="9" xfId="0" applyNumberFormat="1" applyFont="1" applyFill="1" applyBorder="1" applyAlignment="1">
      <alignment horizontal="center" vertical="center"/>
    </xf>
    <xf numFmtId="180" fontId="160" fillId="2" borderId="10" xfId="0" applyNumberFormat="1" applyFont="1" applyFill="1" applyBorder="1" applyAlignment="1">
      <alignment horizontal="center" vertical="center"/>
    </xf>
    <xf numFmtId="0" fontId="3" fillId="2" borderId="31" xfId="0" applyFont="1" applyFill="1" applyBorder="1" applyAlignment="1">
      <alignment vertical="center"/>
    </xf>
    <xf numFmtId="0" fontId="87" fillId="2" borderId="60" xfId="0" applyFont="1" applyFill="1" applyBorder="1" applyAlignment="1"/>
    <xf numFmtId="0" fontId="87" fillId="2" borderId="12" xfId="0" applyFont="1" applyFill="1" applyBorder="1" applyAlignment="1"/>
    <xf numFmtId="0" fontId="87" fillId="2" borderId="13" xfId="0" applyFont="1" applyFill="1" applyBorder="1" applyAlignment="1"/>
    <xf numFmtId="180" fontId="160" fillId="2" borderId="11" xfId="0" applyNumberFormat="1" applyFont="1" applyFill="1" applyBorder="1" applyAlignment="1">
      <alignment horizontal="center" vertical="center"/>
    </xf>
    <xf numFmtId="180" fontId="160" fillId="2" borderId="12" xfId="0" applyNumberFormat="1" applyFont="1" applyFill="1" applyBorder="1" applyAlignment="1">
      <alignment horizontal="center" vertical="center"/>
    </xf>
    <xf numFmtId="180" fontId="160" fillId="2" borderId="13" xfId="0" applyNumberFormat="1" applyFont="1" applyFill="1" applyBorder="1" applyAlignment="1">
      <alignment horizontal="center" vertical="center"/>
    </xf>
    <xf numFmtId="0" fontId="87" fillId="2" borderId="11" xfId="0" applyFont="1" applyFill="1" applyBorder="1" applyAlignment="1">
      <alignment vertical="center"/>
    </xf>
    <xf numFmtId="0" fontId="3" fillId="2" borderId="12" xfId="0" applyFont="1" applyFill="1" applyBorder="1" applyAlignment="1">
      <alignment vertical="center"/>
    </xf>
    <xf numFmtId="0" fontId="3" fillId="2" borderId="62" xfId="0" applyFont="1" applyFill="1" applyBorder="1" applyAlignment="1">
      <alignment vertical="center"/>
    </xf>
    <xf numFmtId="0" fontId="11" fillId="2" borderId="64" xfId="0" applyFont="1" applyFill="1" applyBorder="1" applyAlignment="1">
      <alignment vertical="center"/>
    </xf>
    <xf numFmtId="183" fontId="160" fillId="2" borderId="9" xfId="0" applyNumberFormat="1" applyFont="1" applyFill="1" applyBorder="1" applyAlignment="1">
      <alignment horizontal="center" vertical="center"/>
    </xf>
    <xf numFmtId="183" fontId="161" fillId="2" borderId="9" xfId="0" applyNumberFormat="1" applyFont="1" applyFill="1" applyBorder="1" applyAlignment="1">
      <alignment horizontal="center" vertical="center"/>
    </xf>
    <xf numFmtId="183" fontId="161" fillId="2" borderId="10" xfId="0" applyNumberFormat="1" applyFont="1" applyFill="1" applyBorder="1" applyAlignment="1">
      <alignment horizontal="center" vertical="center"/>
    </xf>
    <xf numFmtId="0" fontId="11" fillId="2" borderId="0" xfId="0" applyFont="1" applyFill="1" applyBorder="1" applyAlignment="1">
      <alignment wrapText="1"/>
    </xf>
    <xf numFmtId="0" fontId="3" fillId="2" borderId="0" xfId="0" applyFont="1" applyFill="1" applyBorder="1" applyAlignment="1">
      <alignment wrapText="1"/>
    </xf>
    <xf numFmtId="183" fontId="160" fillId="2" borderId="0" xfId="0" applyNumberFormat="1" applyFont="1" applyFill="1" applyBorder="1" applyAlignment="1">
      <alignment horizontal="center" vertical="center"/>
    </xf>
    <xf numFmtId="183" fontId="160" fillId="2" borderId="0" xfId="0" applyNumberFormat="1" applyFont="1" applyFill="1" applyBorder="1" applyAlignment="1"/>
    <xf numFmtId="183" fontId="160" fillId="2" borderId="39" xfId="0" applyNumberFormat="1" applyFont="1" applyFill="1" applyBorder="1" applyAlignment="1"/>
    <xf numFmtId="0" fontId="7" fillId="2" borderId="8" xfId="0" applyFont="1" applyFill="1" applyBorder="1" applyAlignment="1">
      <alignment vertical="center" wrapText="1"/>
    </xf>
    <xf numFmtId="0" fontId="162" fillId="2" borderId="9" xfId="0" applyFont="1" applyFill="1" applyBorder="1" applyAlignment="1">
      <alignment horizontal="center" vertical="center" wrapText="1"/>
    </xf>
    <xf numFmtId="0" fontId="161" fillId="2" borderId="9" xfId="0" applyFont="1" applyFill="1" applyBorder="1" applyAlignment="1">
      <alignment horizontal="center" vertical="center" wrapText="1"/>
    </xf>
    <xf numFmtId="0" fontId="161" fillId="2" borderId="31" xfId="0" applyFont="1" applyFill="1" applyBorder="1" applyAlignment="1">
      <alignment horizontal="center" vertical="center" wrapText="1"/>
    </xf>
    <xf numFmtId="183" fontId="161" fillId="2" borderId="12" xfId="0" applyNumberFormat="1" applyFont="1" applyFill="1" applyBorder="1" applyAlignment="1">
      <alignment horizontal="center" vertical="center"/>
    </xf>
    <xf numFmtId="183" fontId="161" fillId="2" borderId="13" xfId="0" applyNumberFormat="1" applyFont="1" applyFill="1" applyBorder="1" applyAlignment="1">
      <alignment horizontal="center" vertical="center"/>
    </xf>
    <xf numFmtId="0" fontId="25" fillId="2" borderId="12" xfId="0" applyFont="1" applyFill="1" applyBorder="1" applyAlignment="1">
      <alignment wrapText="1"/>
    </xf>
    <xf numFmtId="0" fontId="3" fillId="2" borderId="12" xfId="0" applyFont="1" applyFill="1" applyBorder="1" applyAlignment="1"/>
    <xf numFmtId="183" fontId="160" fillId="2" borderId="12" xfId="0" applyNumberFormat="1" applyFont="1" applyFill="1" applyBorder="1" applyAlignment="1"/>
    <xf numFmtId="183" fontId="160" fillId="2" borderId="13" xfId="0" applyNumberFormat="1" applyFont="1" applyFill="1" applyBorder="1" applyAlignment="1"/>
    <xf numFmtId="0" fontId="18" fillId="2" borderId="32" xfId="0" applyFont="1" applyFill="1" applyBorder="1" applyAlignment="1">
      <alignment vertical="center" wrapText="1"/>
    </xf>
    <xf numFmtId="0" fontId="162" fillId="2" borderId="0" xfId="0" applyFont="1" applyFill="1" applyBorder="1" applyAlignment="1">
      <alignment horizontal="center" vertical="center" wrapText="1"/>
    </xf>
    <xf numFmtId="0" fontId="161" fillId="2" borderId="0" xfId="0" applyFont="1" applyFill="1" applyBorder="1" applyAlignment="1">
      <alignment horizontal="center" vertical="center" wrapText="1"/>
    </xf>
    <xf numFmtId="0" fontId="161" fillId="2" borderId="33" xfId="0" applyFont="1" applyFill="1" applyBorder="1" applyAlignment="1">
      <alignment horizontal="center" vertical="center" wrapText="1"/>
    </xf>
    <xf numFmtId="0" fontId="11" fillId="2" borderId="64" xfId="0" applyFont="1" applyFill="1" applyBorder="1" applyAlignment="1"/>
    <xf numFmtId="0" fontId="11" fillId="2" borderId="9" xfId="0" applyFont="1" applyFill="1" applyBorder="1" applyAlignment="1"/>
    <xf numFmtId="0" fontId="87" fillId="2" borderId="9" xfId="0" applyFont="1" applyFill="1" applyBorder="1" applyAlignment="1"/>
    <xf numFmtId="0" fontId="163" fillId="2" borderId="9" xfId="0" applyFont="1" applyFill="1" applyBorder="1" applyAlignment="1">
      <alignment horizontal="left" vertical="center"/>
    </xf>
    <xf numFmtId="0" fontId="163" fillId="2" borderId="10" xfId="0" applyFont="1" applyFill="1" applyBorder="1" applyAlignment="1">
      <alignment horizontal="left" vertical="center"/>
    </xf>
    <xf numFmtId="0" fontId="86" fillId="2" borderId="32" xfId="0" applyFont="1" applyFill="1" applyBorder="1" applyAlignment="1">
      <alignment horizontal="center" vertical="center"/>
    </xf>
    <xf numFmtId="0" fontId="102" fillId="2" borderId="0" xfId="0" applyFont="1" applyFill="1" applyBorder="1" applyAlignment="1">
      <alignment horizontal="center" vertical="center"/>
    </xf>
    <xf numFmtId="0" fontId="164" fillId="2" borderId="0" xfId="0" applyFont="1" applyFill="1" applyBorder="1" applyAlignment="1">
      <alignment horizontal="center" vertical="center"/>
    </xf>
    <xf numFmtId="0" fontId="161" fillId="2" borderId="0" xfId="0" applyFont="1" applyFill="1" applyBorder="1" applyAlignment="1">
      <alignment horizontal="center" vertical="center"/>
    </xf>
    <xf numFmtId="0" fontId="165" fillId="2" borderId="0" xfId="0" applyFont="1" applyFill="1" applyAlignment="1">
      <alignment horizontal="center" vertical="center"/>
    </xf>
    <xf numFmtId="0" fontId="165" fillId="2" borderId="33" xfId="0" applyFont="1" applyFill="1" applyBorder="1" applyAlignment="1">
      <alignment horizontal="center" vertical="center"/>
    </xf>
    <xf numFmtId="0" fontId="163" fillId="2" borderId="12" xfId="0" applyFont="1" applyFill="1" applyBorder="1" applyAlignment="1">
      <alignment horizontal="left" vertical="center"/>
    </xf>
    <xf numFmtId="0" fontId="163" fillId="2" borderId="13" xfId="0" applyFont="1" applyFill="1" applyBorder="1" applyAlignment="1">
      <alignment horizontal="left" vertical="center"/>
    </xf>
    <xf numFmtId="0" fontId="30" fillId="2" borderId="11" xfId="0" applyFont="1" applyFill="1" applyBorder="1" applyAlignment="1">
      <alignment horizontal="center" vertical="center"/>
    </xf>
    <xf numFmtId="0" fontId="164" fillId="2" borderId="12" xfId="0" applyFont="1" applyFill="1" applyBorder="1" applyAlignment="1">
      <alignment horizontal="center" vertical="center"/>
    </xf>
    <xf numFmtId="0" fontId="165" fillId="2" borderId="12" xfId="0" applyFont="1" applyFill="1" applyBorder="1" applyAlignment="1">
      <alignment horizontal="center" vertical="center"/>
    </xf>
    <xf numFmtId="0" fontId="165" fillId="2" borderId="62" xfId="0" applyFont="1" applyFill="1" applyBorder="1" applyAlignment="1">
      <alignment horizontal="center" vertical="center"/>
    </xf>
    <xf numFmtId="0" fontId="3" fillId="2" borderId="0" xfId="0" applyFont="1" applyFill="1" applyBorder="1" applyAlignment="1">
      <alignment vertical="center"/>
    </xf>
    <xf numFmtId="0" fontId="3" fillId="2" borderId="33" xfId="0" applyFont="1" applyFill="1" applyBorder="1" applyAlignment="1">
      <alignment vertical="center"/>
    </xf>
    <xf numFmtId="0" fontId="87" fillId="2" borderId="63" xfId="0" applyFont="1" applyFill="1" applyBorder="1" applyAlignment="1">
      <alignment vertical="center"/>
    </xf>
    <xf numFmtId="0" fontId="109" fillId="2" borderId="63" xfId="0" applyFont="1" applyFill="1" applyBorder="1" applyAlignment="1">
      <alignment vertical="center"/>
    </xf>
    <xf numFmtId="0" fontId="30" fillId="2" borderId="0" xfId="0" applyFont="1" applyFill="1" applyBorder="1" applyAlignment="1">
      <alignment vertical="center"/>
    </xf>
    <xf numFmtId="0" fontId="86" fillId="2" borderId="0" xfId="0" applyFont="1" applyFill="1" applyBorder="1" applyAlignment="1">
      <alignment vertical="center"/>
    </xf>
    <xf numFmtId="0" fontId="30" fillId="2" borderId="0" xfId="0" applyFont="1" applyFill="1" applyBorder="1" applyAlignment="1">
      <alignment horizontal="right" vertical="center"/>
    </xf>
    <xf numFmtId="0" fontId="136" fillId="2" borderId="0" xfId="0" applyFont="1" applyFill="1" applyAlignment="1">
      <alignment horizontal="center" vertical="center"/>
    </xf>
    <xf numFmtId="0" fontId="166" fillId="2" borderId="0" xfId="0" applyFont="1" applyFill="1" applyAlignment="1">
      <alignment horizontal="center" vertical="center"/>
    </xf>
    <xf numFmtId="0" fontId="110" fillId="2" borderId="0" xfId="0" applyFont="1" applyFill="1" applyBorder="1" applyAlignment="1">
      <alignment vertical="center"/>
    </xf>
    <xf numFmtId="0" fontId="155" fillId="2" borderId="0" xfId="0" applyFont="1" applyFill="1" applyBorder="1" applyAlignment="1">
      <alignment horizontal="left" vertical="center"/>
    </xf>
    <xf numFmtId="0" fontId="84" fillId="2" borderId="33" xfId="0" applyFont="1" applyFill="1" applyBorder="1" applyAlignment="1">
      <alignment horizontal="center" vertical="center"/>
    </xf>
    <xf numFmtId="0" fontId="86" fillId="2" borderId="60" xfId="0" applyFont="1" applyFill="1" applyBorder="1" applyAlignment="1">
      <alignment horizontal="right" vertical="center"/>
    </xf>
    <xf numFmtId="0" fontId="86" fillId="2" borderId="12" xfId="0" applyFont="1" applyFill="1" applyBorder="1" applyAlignment="1">
      <alignment horizontal="right" vertical="center"/>
    </xf>
    <xf numFmtId="0" fontId="136" fillId="2" borderId="12" xfId="0" applyFont="1" applyFill="1" applyBorder="1" applyAlignment="1">
      <alignment horizontal="center" vertical="center"/>
    </xf>
    <xf numFmtId="0" fontId="137" fillId="2" borderId="12" xfId="0" applyFont="1" applyFill="1" applyBorder="1" applyAlignment="1">
      <alignment horizontal="center" vertical="center"/>
    </xf>
    <xf numFmtId="0" fontId="136" fillId="2" borderId="0" xfId="0" applyFont="1" applyFill="1" applyBorder="1" applyAlignment="1">
      <alignment vertical="center"/>
    </xf>
    <xf numFmtId="0" fontId="121" fillId="2" borderId="12" xfId="0" applyFont="1" applyFill="1" applyBorder="1" applyAlignment="1">
      <alignment vertical="center"/>
    </xf>
    <xf numFmtId="0" fontId="121" fillId="2" borderId="62" xfId="0" applyFont="1" applyFill="1" applyBorder="1" applyAlignment="1">
      <alignment vertical="center"/>
    </xf>
    <xf numFmtId="0" fontId="109" fillId="2" borderId="64" xfId="0" applyFont="1" applyFill="1" applyBorder="1" applyAlignment="1">
      <alignment vertical="center"/>
    </xf>
    <xf numFmtId="0" fontId="109" fillId="2" borderId="9" xfId="0" applyFont="1" applyFill="1" applyBorder="1" applyAlignment="1">
      <alignment vertical="center"/>
    </xf>
    <xf numFmtId="0" fontId="31" fillId="2" borderId="9" xfId="0" applyFont="1" applyFill="1" applyBorder="1" applyAlignment="1">
      <alignment vertical="center"/>
    </xf>
    <xf numFmtId="0" fontId="31" fillId="2" borderId="31" xfId="0" applyFont="1" applyFill="1" applyBorder="1" applyAlignment="1">
      <alignment vertical="center"/>
    </xf>
    <xf numFmtId="0" fontId="72" fillId="2" borderId="0" xfId="0" applyFont="1" applyFill="1" applyAlignment="1">
      <alignment vertical="center"/>
    </xf>
    <xf numFmtId="0" fontId="162" fillId="2" borderId="0" xfId="0" applyFont="1" applyFill="1" applyAlignment="1">
      <alignment vertical="center"/>
    </xf>
    <xf numFmtId="0" fontId="2" fillId="2" borderId="0" xfId="0" applyFont="1" applyFill="1" applyAlignment="1">
      <alignment horizontal="center" vertical="center"/>
    </xf>
    <xf numFmtId="0" fontId="20" fillId="2" borderId="0" xfId="0" applyFont="1" applyFill="1" applyAlignment="1">
      <alignment vertical="center"/>
    </xf>
    <xf numFmtId="0" fontId="31" fillId="2" borderId="0" xfId="0" applyFont="1" applyFill="1" applyBorder="1" applyAlignment="1">
      <alignment vertical="center"/>
    </xf>
    <xf numFmtId="0" fontId="31" fillId="2" borderId="33" xfId="0" applyFont="1" applyFill="1" applyBorder="1" applyAlignment="1">
      <alignment vertical="center"/>
    </xf>
    <xf numFmtId="0" fontId="109" fillId="2" borderId="63" xfId="0" applyFont="1" applyFill="1" applyBorder="1" applyAlignment="1">
      <alignment horizontal="left" vertical="center"/>
    </xf>
    <xf numFmtId="0" fontId="167" fillId="2" borderId="0" xfId="0" applyFont="1" applyFill="1" applyAlignment="1"/>
    <xf numFmtId="0" fontId="167" fillId="2" borderId="0" xfId="0" applyFont="1" applyFill="1" applyAlignment="1">
      <alignment vertical="center"/>
    </xf>
    <xf numFmtId="0" fontId="167" fillId="2" borderId="0" xfId="0" applyFont="1" applyFill="1" applyAlignment="1">
      <alignment horizontal="right" vertical="center"/>
    </xf>
    <xf numFmtId="0" fontId="30" fillId="2" borderId="0" xfId="0" applyFont="1" applyFill="1" applyAlignment="1">
      <alignment horizontal="left" vertical="center"/>
    </xf>
    <xf numFmtId="0" fontId="168" fillId="2" borderId="0" xfId="0" applyFont="1" applyFill="1" applyAlignment="1">
      <alignment horizontal="right" vertical="center"/>
    </xf>
    <xf numFmtId="0" fontId="168" fillId="2" borderId="0" xfId="0" applyFont="1" applyFill="1" applyAlignment="1">
      <alignment vertical="center"/>
    </xf>
    <xf numFmtId="0" fontId="168" fillId="0" borderId="0" xfId="0" applyFont="1" applyAlignment="1">
      <alignment horizontal="center" vertical="center"/>
    </xf>
    <xf numFmtId="0" fontId="20" fillId="2" borderId="0" xfId="0" applyFont="1" applyFill="1" applyAlignment="1">
      <alignment horizontal="center" vertical="center"/>
    </xf>
    <xf numFmtId="0" fontId="169" fillId="2" borderId="0" xfId="0" applyFont="1" applyFill="1" applyAlignment="1">
      <alignment vertical="center"/>
    </xf>
    <xf numFmtId="0" fontId="169" fillId="0" borderId="0" xfId="0" applyFont="1" applyAlignment="1">
      <alignment horizontal="center" vertical="center"/>
    </xf>
    <xf numFmtId="0" fontId="30" fillId="2" borderId="33" xfId="0" applyFont="1" applyFill="1" applyBorder="1" applyAlignment="1">
      <alignment horizontal="left" vertical="center"/>
    </xf>
    <xf numFmtId="0" fontId="78" fillId="2" borderId="0" xfId="0" applyFont="1" applyFill="1" applyBorder="1" applyAlignment="1">
      <alignment vertical="center"/>
    </xf>
    <xf numFmtId="0" fontId="167" fillId="2" borderId="0" xfId="0" applyFont="1" applyFill="1" applyBorder="1" applyAlignment="1">
      <alignment horizontal="right" vertical="center"/>
    </xf>
    <xf numFmtId="0" fontId="20" fillId="2" borderId="0" xfId="0" applyFont="1" applyFill="1" applyBorder="1" applyAlignment="1">
      <alignment horizontal="left" vertical="center"/>
    </xf>
    <xf numFmtId="0" fontId="18" fillId="2" borderId="0" xfId="0" applyFont="1" applyFill="1" applyBorder="1" applyAlignment="1">
      <alignment horizontal="right" vertical="center"/>
    </xf>
    <xf numFmtId="0" fontId="18" fillId="2" borderId="0" xfId="0" applyFont="1" applyFill="1" applyBorder="1" applyAlignment="1">
      <alignment vertical="center"/>
    </xf>
    <xf numFmtId="0" fontId="162" fillId="2" borderId="0" xfId="0" applyFont="1" applyFill="1" applyBorder="1" applyAlignment="1">
      <alignment horizontal="center" vertical="center"/>
    </xf>
    <xf numFmtId="0" fontId="78" fillId="2" borderId="0" xfId="0" applyFont="1" applyFill="1" applyBorder="1" applyAlignment="1">
      <alignment horizontal="center" vertical="center"/>
    </xf>
    <xf numFmtId="0" fontId="30" fillId="2" borderId="0" xfId="0" applyFont="1" applyFill="1" applyBorder="1" applyAlignment="1">
      <alignment horizontal="center" vertical="center"/>
    </xf>
    <xf numFmtId="0" fontId="31" fillId="2" borderId="33" xfId="0" applyFont="1" applyFill="1" applyBorder="1" applyAlignment="1">
      <alignment horizontal="left" vertical="center"/>
    </xf>
    <xf numFmtId="0" fontId="87" fillId="2" borderId="64" xfId="0" applyFont="1" applyFill="1" applyBorder="1" applyAlignment="1">
      <alignment vertical="center"/>
    </xf>
    <xf numFmtId="0" fontId="163" fillId="2" borderId="10" xfId="0" applyFont="1" applyFill="1" applyBorder="1" applyAlignment="1">
      <alignment horizontal="center" vertical="center"/>
    </xf>
    <xf numFmtId="0" fontId="161" fillId="2" borderId="10" xfId="0" applyFont="1" applyFill="1" applyBorder="1" applyAlignment="1">
      <alignment horizontal="center" vertical="center"/>
    </xf>
    <xf numFmtId="0" fontId="8" fillId="2" borderId="8" xfId="0" applyFont="1" applyFill="1" applyBorder="1" applyAlignment="1">
      <alignment vertical="center"/>
    </xf>
    <xf numFmtId="0" fontId="9" fillId="2" borderId="9" xfId="0" applyFont="1" applyFill="1" applyBorder="1" applyAlignment="1">
      <alignment vertical="center"/>
    </xf>
    <xf numFmtId="0" fontId="25" fillId="2" borderId="9" xfId="0" applyFont="1" applyFill="1" applyBorder="1" applyAlignment="1"/>
    <xf numFmtId="0" fontId="170" fillId="2" borderId="9" xfId="0" applyFont="1" applyFill="1" applyBorder="1" applyAlignment="1">
      <alignment horizontal="left" vertical="center"/>
    </xf>
    <xf numFmtId="0" fontId="170" fillId="2" borderId="65" xfId="0" applyFont="1" applyFill="1" applyBorder="1" applyAlignment="1">
      <alignment horizontal="left" vertical="center"/>
    </xf>
    <xf numFmtId="0" fontId="171" fillId="2" borderId="66" xfId="0" applyFont="1" applyFill="1" applyBorder="1" applyAlignment="1">
      <alignment horizontal="left" vertical="center"/>
    </xf>
    <xf numFmtId="0" fontId="171" fillId="2" borderId="31" xfId="0" applyFont="1" applyFill="1" applyBorder="1" applyAlignment="1">
      <alignment horizontal="left" vertical="center"/>
    </xf>
    <xf numFmtId="0" fontId="163" fillId="2" borderId="13" xfId="0" applyFont="1" applyFill="1" applyBorder="1" applyAlignment="1">
      <alignment horizontal="center" vertical="center"/>
    </xf>
    <xf numFmtId="0" fontId="161" fillId="2" borderId="13" xfId="0" applyFont="1" applyFill="1" applyBorder="1" applyAlignment="1">
      <alignment horizontal="center" vertical="center"/>
    </xf>
    <xf numFmtId="0" fontId="8" fillId="2" borderId="32" xfId="0" applyFont="1" applyFill="1" applyBorder="1" applyAlignment="1">
      <alignment horizontal="left" vertical="center"/>
    </xf>
    <xf numFmtId="0" fontId="9" fillId="2" borderId="0" xfId="0" applyFont="1" applyFill="1" applyBorder="1" applyAlignment="1">
      <alignment horizontal="left" vertical="center"/>
    </xf>
    <xf numFmtId="0" fontId="25" fillId="2" borderId="0" xfId="0" applyFont="1" applyFill="1" applyBorder="1" applyAlignment="1"/>
    <xf numFmtId="0" fontId="105" fillId="2" borderId="0" xfId="0" applyFont="1" applyFill="1" applyBorder="1" applyAlignment="1">
      <alignment horizontal="left" vertical="center"/>
    </xf>
    <xf numFmtId="0" fontId="105" fillId="2" borderId="67" xfId="0" applyFont="1" applyFill="1" applyBorder="1" applyAlignment="1">
      <alignment horizontal="left" vertical="center"/>
    </xf>
    <xf numFmtId="0" fontId="172" fillId="2" borderId="68" xfId="0" applyFont="1" applyFill="1" applyBorder="1" applyAlignment="1">
      <alignment vertical="center"/>
    </xf>
    <xf numFmtId="0" fontId="172" fillId="2" borderId="33" xfId="0" applyFont="1" applyFill="1" applyBorder="1" applyAlignment="1">
      <alignment vertical="center"/>
    </xf>
    <xf numFmtId="0" fontId="25" fillId="2" borderId="64"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9" fillId="2" borderId="32" xfId="0" applyFont="1" applyFill="1" applyBorder="1" applyAlignment="1">
      <alignment vertical="center"/>
    </xf>
    <xf numFmtId="0" fontId="9" fillId="2" borderId="0" xfId="0" applyFont="1" applyFill="1" applyBorder="1" applyAlignment="1"/>
    <xf numFmtId="0" fontId="87" fillId="2" borderId="60" xfId="0" applyFont="1" applyFill="1" applyBorder="1" applyAlignment="1">
      <alignment horizontal="center" vertical="center"/>
    </xf>
    <xf numFmtId="0" fontId="25" fillId="2" borderId="12" xfId="0" applyFont="1" applyFill="1" applyBorder="1" applyAlignment="1">
      <alignment horizontal="center" vertical="center"/>
    </xf>
    <xf numFmtId="0" fontId="25" fillId="2" borderId="13" xfId="0" applyFont="1" applyFill="1" applyBorder="1" applyAlignment="1">
      <alignment horizontal="center" vertical="center"/>
    </xf>
    <xf numFmtId="0" fontId="8" fillId="2" borderId="32" xfId="0" applyFont="1" applyFill="1" applyBorder="1" applyAlignment="1"/>
    <xf numFmtId="0" fontId="89" fillId="2" borderId="3" xfId="0" applyFont="1" applyFill="1" applyBorder="1" applyAlignment="1">
      <alignment horizontal="center" vertical="center"/>
    </xf>
    <xf numFmtId="184" fontId="92" fillId="2" borderId="3" xfId="0" applyNumberFormat="1" applyFont="1" applyFill="1" applyBorder="1" applyAlignment="1">
      <alignment horizontal="center" vertical="center"/>
    </xf>
    <xf numFmtId="0" fontId="9" fillId="2" borderId="0" xfId="0" applyFont="1" applyFill="1" applyBorder="1" applyAlignment="1">
      <alignment vertical="center"/>
    </xf>
    <xf numFmtId="0" fontId="3" fillId="2" borderId="0" xfId="0" applyFont="1" applyFill="1" applyBorder="1" applyAlignment="1">
      <alignment horizontal="left" wrapText="1"/>
    </xf>
    <xf numFmtId="0" fontId="29" fillId="2" borderId="11" xfId="0" applyFont="1" applyFill="1" applyBorder="1" applyAlignment="1">
      <alignment horizontal="left" vertical="center"/>
    </xf>
    <xf numFmtId="0" fontId="29" fillId="2" borderId="12" xfId="0" applyFont="1" applyFill="1" applyBorder="1" applyAlignment="1">
      <alignment horizontal="left" vertical="center"/>
    </xf>
    <xf numFmtId="0" fontId="86" fillId="2" borderId="0" xfId="0" applyFont="1" applyFill="1" applyBorder="1" applyAlignment="1">
      <alignment horizontal="left" vertical="center"/>
    </xf>
    <xf numFmtId="0" fontId="86" fillId="2" borderId="67" xfId="0" applyFont="1" applyFill="1" applyBorder="1" applyAlignment="1">
      <alignment horizontal="left" vertical="center"/>
    </xf>
    <xf numFmtId="0" fontId="172" fillId="2" borderId="69" xfId="0" applyFont="1" applyFill="1" applyBorder="1" applyAlignment="1">
      <alignment vertical="center"/>
    </xf>
    <xf numFmtId="0" fontId="172" fillId="2" borderId="62" xfId="0" applyFont="1" applyFill="1" applyBorder="1" applyAlignment="1">
      <alignment vertical="center"/>
    </xf>
    <xf numFmtId="0" fontId="160" fillId="2" borderId="3" xfId="0" applyFont="1" applyFill="1" applyBorder="1" applyAlignment="1">
      <alignment horizontal="center" vertical="center"/>
    </xf>
    <xf numFmtId="184" fontId="161" fillId="2" borderId="3" xfId="0" applyNumberFormat="1" applyFont="1" applyFill="1" applyBorder="1" applyAlignment="1">
      <alignment horizontal="center" vertical="center"/>
    </xf>
    <xf numFmtId="0" fontId="87" fillId="2" borderId="31" xfId="0" applyFont="1" applyFill="1" applyBorder="1" applyAlignment="1">
      <alignment vertical="center"/>
    </xf>
    <xf numFmtId="0" fontId="161" fillId="2" borderId="3" xfId="0" applyFont="1" applyFill="1" applyBorder="1" applyAlignment="1">
      <alignment horizontal="center" vertical="center"/>
    </xf>
    <xf numFmtId="0" fontId="25" fillId="2" borderId="33" xfId="0" applyFont="1" applyFill="1" applyBorder="1" applyAlignment="1">
      <alignment vertical="center"/>
    </xf>
    <xf numFmtId="0" fontId="25" fillId="2" borderId="32" xfId="0" applyFont="1" applyFill="1" applyBorder="1" applyAlignment="1"/>
    <xf numFmtId="0" fontId="0" fillId="0" borderId="33" xfId="0" applyBorder="1">
      <alignment vertical="center"/>
    </xf>
    <xf numFmtId="0" fontId="97" fillId="2" borderId="70" xfId="0" applyFont="1" applyFill="1" applyBorder="1" applyAlignment="1">
      <alignment vertical="center"/>
    </xf>
    <xf numFmtId="0" fontId="87" fillId="2" borderId="36" xfId="0" applyFont="1" applyFill="1" applyBorder="1" applyAlignment="1">
      <alignment vertical="center"/>
    </xf>
    <xf numFmtId="0" fontId="89" fillId="2" borderId="71" xfId="0" applyFont="1" applyFill="1" applyBorder="1" applyAlignment="1">
      <alignment horizontal="center" vertical="center"/>
    </xf>
    <xf numFmtId="0" fontId="85" fillId="2" borderId="36" xfId="0" applyFont="1" applyFill="1" applyBorder="1" applyAlignment="1">
      <alignment vertical="center"/>
    </xf>
    <xf numFmtId="0" fontId="25" fillId="2" borderId="36" xfId="0" applyFont="1" applyFill="1" applyBorder="1" applyAlignment="1">
      <alignment vertical="center"/>
    </xf>
    <xf numFmtId="184" fontId="92" fillId="2" borderId="71" xfId="0" applyNumberFormat="1" applyFont="1" applyFill="1" applyBorder="1" applyAlignment="1">
      <alignment horizontal="center"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84" fillId="2" borderId="55" xfId="0" applyFont="1" applyFill="1" applyBorder="1" applyAlignment="1"/>
    <xf numFmtId="0" fontId="84" fillId="2" borderId="0" xfId="0" applyFont="1" applyFill="1" applyBorder="1" applyAlignment="1"/>
    <xf numFmtId="0" fontId="25" fillId="2" borderId="0" xfId="0" applyFont="1" applyFill="1" applyAlignment="1"/>
    <xf numFmtId="0" fontId="100" fillId="2" borderId="0" xfId="0" applyFont="1" applyFill="1" applyAlignment="1">
      <alignment vertical="center"/>
    </xf>
    <xf numFmtId="0" fontId="103" fillId="2" borderId="0" xfId="0" applyFont="1" applyFill="1" applyAlignment="1">
      <alignment vertical="center"/>
    </xf>
    <xf numFmtId="0" fontId="3" fillId="2" borderId="0" xfId="0" applyFont="1" applyFill="1" applyAlignment="1">
      <alignment vertical="center"/>
    </xf>
    <xf numFmtId="0" fontId="7" fillId="2" borderId="12" xfId="0" applyFont="1" applyFill="1" applyBorder="1" applyAlignment="1" applyProtection="1">
      <alignment vertical="center"/>
      <protection hidden="1"/>
    </xf>
    <xf numFmtId="0" fontId="87" fillId="2" borderId="0" xfId="0" applyFont="1" applyFill="1" applyAlignment="1">
      <alignment horizontal="right" vertical="center" textRotation="90" wrapText="1"/>
    </xf>
    <xf numFmtId="0" fontId="34" fillId="2" borderId="54" xfId="0" applyFont="1" applyFill="1" applyBorder="1" applyAlignment="1">
      <alignment vertical="center"/>
    </xf>
    <xf numFmtId="0" fontId="87" fillId="2" borderId="55" xfId="0" applyFont="1" applyFill="1" applyBorder="1" applyAlignment="1">
      <alignment vertical="center"/>
    </xf>
    <xf numFmtId="0" fontId="155" fillId="2" borderId="55" xfId="0" applyFont="1" applyFill="1" applyBorder="1" applyAlignment="1">
      <alignment horizontal="center" vertical="center"/>
    </xf>
    <xf numFmtId="0" fontId="30" fillId="2" borderId="56" xfId="0" applyFont="1" applyFill="1" applyBorder="1" applyAlignment="1">
      <alignment horizontal="center" vertical="center"/>
    </xf>
    <xf numFmtId="0" fontId="30" fillId="2" borderId="57" xfId="0" applyFont="1" applyFill="1" applyBorder="1" applyAlignment="1">
      <alignment horizontal="center" vertical="center"/>
    </xf>
    <xf numFmtId="0" fontId="87" fillId="2" borderId="58" xfId="0" applyFont="1" applyFill="1" applyBorder="1" applyAlignment="1">
      <alignment vertical="center"/>
    </xf>
    <xf numFmtId="0" fontId="34" fillId="2" borderId="60" xfId="0" applyFont="1" applyFill="1" applyBorder="1" applyAlignment="1">
      <alignment vertical="center"/>
    </xf>
    <xf numFmtId="0" fontId="86" fillId="2" borderId="61" xfId="0" applyFont="1" applyFill="1" applyBorder="1" applyAlignment="1">
      <alignment horizontal="center" vertical="center"/>
    </xf>
    <xf numFmtId="0" fontId="86" fillId="2" borderId="13" xfId="0" applyFont="1" applyFill="1" applyBorder="1" applyAlignment="1">
      <alignment horizontal="center" vertical="center"/>
    </xf>
    <xf numFmtId="0" fontId="32" fillId="2" borderId="12" xfId="0" applyFont="1" applyFill="1" applyBorder="1" applyAlignment="1">
      <alignment vertical="center" wrapText="1"/>
    </xf>
    <xf numFmtId="0" fontId="32" fillId="2" borderId="13" xfId="0" applyFont="1" applyFill="1" applyBorder="1" applyAlignment="1">
      <alignment vertical="center" wrapText="1"/>
    </xf>
    <xf numFmtId="0" fontId="34" fillId="2" borderId="63" xfId="0" applyFont="1" applyFill="1" applyBorder="1" applyAlignment="1">
      <alignment vertical="center"/>
    </xf>
    <xf numFmtId="0" fontId="29" fillId="2" borderId="0" xfId="0" applyFont="1" applyFill="1" applyBorder="1" applyAlignment="1"/>
    <xf numFmtId="0" fontId="60" fillId="2" borderId="9" xfId="0" applyFont="1" applyFill="1" applyBorder="1" applyAlignment="1">
      <alignment horizontal="left" vertical="center" wrapText="1"/>
    </xf>
    <xf numFmtId="0" fontId="173" fillId="2" borderId="10" xfId="0" applyFont="1" applyFill="1" applyBorder="1" applyAlignment="1">
      <alignment horizontal="left" vertical="center" wrapText="1"/>
    </xf>
    <xf numFmtId="0" fontId="87" fillId="2" borderId="8" xfId="0" applyFont="1" applyFill="1" applyBorder="1" applyAlignment="1">
      <alignment vertical="center"/>
    </xf>
    <xf numFmtId="0" fontId="104" fillId="2" borderId="9" xfId="0" applyFont="1" applyFill="1" applyBorder="1" applyAlignment="1">
      <alignment horizontal="left" vertical="center"/>
    </xf>
    <xf numFmtId="0" fontId="104" fillId="2" borderId="31" xfId="0" applyFont="1" applyFill="1" applyBorder="1" applyAlignment="1">
      <alignment horizontal="left" vertical="center"/>
    </xf>
    <xf numFmtId="0" fontId="10" fillId="2" borderId="12"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34" fillId="2" borderId="12" xfId="0" applyFont="1" applyFill="1" applyBorder="1" applyAlignment="1">
      <alignment wrapText="1"/>
    </xf>
    <xf numFmtId="0" fontId="29" fillId="2" borderId="12" xfId="0" applyFont="1" applyFill="1" applyBorder="1" applyAlignment="1"/>
    <xf numFmtId="0" fontId="173" fillId="2" borderId="12" xfId="0" applyFont="1" applyFill="1" applyBorder="1" applyAlignment="1">
      <alignment horizontal="left" vertical="center" wrapText="1"/>
    </xf>
    <xf numFmtId="0" fontId="173" fillId="2" borderId="13" xfId="0" applyFont="1" applyFill="1" applyBorder="1" applyAlignment="1">
      <alignment horizontal="left" vertical="center" wrapText="1"/>
    </xf>
    <xf numFmtId="0" fontId="36" fillId="2" borderId="12" xfId="0" applyFont="1" applyFill="1" applyBorder="1" applyAlignment="1">
      <alignment horizontal="left" vertical="center"/>
    </xf>
    <xf numFmtId="0" fontId="36" fillId="2" borderId="62" xfId="0" applyFont="1" applyFill="1" applyBorder="1" applyAlignment="1">
      <alignment horizontal="left" vertical="center"/>
    </xf>
    <xf numFmtId="0" fontId="34" fillId="2" borderId="64" xfId="0" applyFont="1" applyFill="1" applyBorder="1" applyAlignment="1">
      <alignment vertical="center"/>
    </xf>
    <xf numFmtId="0" fontId="87" fillId="2" borderId="0" xfId="0" applyFont="1" applyFill="1" applyBorder="1" applyAlignment="1"/>
    <xf numFmtId="0" fontId="160" fillId="2" borderId="60" xfId="0" applyFont="1" applyFill="1" applyBorder="1" applyAlignment="1">
      <alignment horizontal="center"/>
    </xf>
    <xf numFmtId="0" fontId="160" fillId="2" borderId="12" xfId="0" applyFont="1" applyFill="1" applyBorder="1" applyAlignment="1">
      <alignment horizontal="center"/>
    </xf>
    <xf numFmtId="0" fontId="160" fillId="2" borderId="13" xfId="0" applyFont="1" applyFill="1" applyBorder="1" applyAlignment="1">
      <alignment horizontal="center"/>
    </xf>
    <xf numFmtId="0" fontId="87" fillId="2" borderId="0" xfId="0" applyFont="1" applyFill="1" applyBorder="1" applyAlignment="1">
      <alignment wrapText="1"/>
    </xf>
    <xf numFmtId="0" fontId="102" fillId="2" borderId="8" xfId="0" applyFont="1" applyFill="1" applyBorder="1" applyAlignment="1">
      <alignment horizontal="center" vertical="center" wrapText="1"/>
    </xf>
    <xf numFmtId="0" fontId="102" fillId="2" borderId="9" xfId="0" applyFont="1" applyFill="1" applyBorder="1" applyAlignment="1">
      <alignment horizontal="center" vertical="center" wrapText="1"/>
    </xf>
    <xf numFmtId="0" fontId="102" fillId="2" borderId="31" xfId="0" applyFont="1" applyFill="1" applyBorder="1" applyAlignment="1">
      <alignment horizontal="center" vertical="center" wrapText="1"/>
    </xf>
    <xf numFmtId="0" fontId="102" fillId="2" borderId="32" xfId="0" applyFont="1" applyFill="1" applyBorder="1" applyAlignment="1">
      <alignment horizontal="center" vertical="center" wrapText="1"/>
    </xf>
    <xf numFmtId="0" fontId="102" fillId="2" borderId="0" xfId="0" applyFont="1" applyFill="1" applyAlignment="1">
      <alignment horizontal="center" vertical="center" wrapText="1"/>
    </xf>
    <xf numFmtId="0" fontId="102" fillId="2" borderId="33" xfId="0" applyFont="1" applyFill="1" applyBorder="1" applyAlignment="1">
      <alignment horizontal="center" vertical="center" wrapText="1"/>
    </xf>
    <xf numFmtId="0" fontId="87" fillId="2" borderId="64" xfId="0" applyFont="1" applyFill="1" applyBorder="1" applyAlignment="1"/>
    <xf numFmtId="0" fontId="102" fillId="2" borderId="32" xfId="0" applyFont="1" applyFill="1" applyBorder="1" applyAlignment="1">
      <alignment horizontal="center" vertical="center"/>
    </xf>
    <xf numFmtId="0" fontId="102" fillId="2" borderId="33" xfId="0" applyFont="1" applyFill="1" applyBorder="1" applyAlignment="1">
      <alignment horizontal="center" vertical="center"/>
    </xf>
    <xf numFmtId="0" fontId="102" fillId="2" borderId="11" xfId="0" applyFont="1" applyFill="1" applyBorder="1" applyAlignment="1">
      <alignment horizontal="center" vertical="center"/>
    </xf>
    <xf numFmtId="0" fontId="102" fillId="2" borderId="12" xfId="0" applyFont="1" applyFill="1" applyBorder="1" applyAlignment="1">
      <alignment horizontal="center" vertical="center"/>
    </xf>
    <xf numFmtId="0" fontId="102" fillId="2" borderId="62" xfId="0" applyFont="1" applyFill="1" applyBorder="1" applyAlignment="1">
      <alignment horizontal="center" vertical="center"/>
    </xf>
    <xf numFmtId="0" fontId="102" fillId="2" borderId="0" xfId="0" applyFont="1" applyFill="1" applyBorder="1" applyAlignment="1">
      <alignment horizontal="right" vertical="center"/>
    </xf>
    <xf numFmtId="0" fontId="124" fillId="2" borderId="12" xfId="0" applyFont="1" applyFill="1" applyBorder="1" applyAlignment="1">
      <alignment horizontal="center" vertical="center"/>
    </xf>
    <xf numFmtId="0" fontId="162" fillId="2" borderId="0" xfId="0" applyFont="1" applyFill="1" applyBorder="1" applyAlignment="1">
      <alignment horizontal="right" vertical="center"/>
    </xf>
    <xf numFmtId="0" fontId="162" fillId="2" borderId="0" xfId="0" applyFont="1" applyFill="1" applyBorder="1" applyAlignment="1">
      <alignment vertical="center"/>
    </xf>
    <xf numFmtId="0" fontId="20" fillId="2" borderId="0" xfId="0" applyFont="1" applyFill="1" applyBorder="1" applyAlignment="1">
      <alignment horizontal="center" vertical="center"/>
    </xf>
    <xf numFmtId="0" fontId="20" fillId="2" borderId="0" xfId="0" applyFont="1" applyFill="1" applyBorder="1" applyAlignment="1">
      <alignment vertical="center"/>
    </xf>
    <xf numFmtId="0" fontId="34" fillId="2" borderId="9" xfId="0" applyFont="1" applyFill="1" applyBorder="1" applyAlignment="1">
      <alignment vertical="center"/>
    </xf>
    <xf numFmtId="0" fontId="102" fillId="2" borderId="9" xfId="0" applyFont="1" applyFill="1" applyBorder="1" applyAlignment="1">
      <alignment horizontal="left" vertical="center"/>
    </xf>
    <xf numFmtId="0" fontId="102" fillId="2" borderId="65" xfId="0" applyFont="1" applyFill="1" applyBorder="1" applyAlignment="1">
      <alignment horizontal="left" vertical="center"/>
    </xf>
    <xf numFmtId="0" fontId="34" fillId="2" borderId="12" xfId="0" applyFont="1" applyFill="1" applyBorder="1" applyAlignment="1">
      <alignment vertical="center"/>
    </xf>
    <xf numFmtId="0" fontId="101" fillId="2" borderId="0" xfId="0" applyFont="1" applyFill="1" applyBorder="1" applyAlignment="1">
      <alignment horizontal="left" vertical="center"/>
    </xf>
    <xf numFmtId="0" fontId="101" fillId="2" borderId="67" xfId="0" applyFont="1" applyFill="1" applyBorder="1" applyAlignment="1">
      <alignment horizontal="left" vertical="center"/>
    </xf>
    <xf numFmtId="0" fontId="118" fillId="2" borderId="68" xfId="0" applyFont="1" applyFill="1" applyBorder="1" applyAlignment="1">
      <alignment horizontal="left" vertical="center"/>
    </xf>
    <xf numFmtId="0" fontId="118" fillId="2" borderId="33" xfId="0" applyFont="1" applyFill="1" applyBorder="1" applyAlignment="1">
      <alignment vertical="center"/>
    </xf>
    <xf numFmtId="0" fontId="29" fillId="2" borderId="64" xfId="0" applyFont="1" applyFill="1" applyBorder="1" applyAlignment="1">
      <alignment horizontal="center" vertical="center"/>
    </xf>
    <xf numFmtId="0" fontId="29" fillId="2" borderId="9" xfId="0" applyFont="1" applyFill="1" applyBorder="1" applyAlignment="1">
      <alignment horizontal="center" vertical="center"/>
    </xf>
    <xf numFmtId="0" fontId="29" fillId="2" borderId="0" xfId="0" applyFont="1" applyFill="1" applyBorder="1" applyAlignment="1">
      <alignment horizontal="center" vertical="center"/>
    </xf>
    <xf numFmtId="0" fontId="29" fillId="2" borderId="10" xfId="0" applyFont="1" applyFill="1" applyBorder="1" applyAlignment="1">
      <alignment horizontal="center" vertical="center"/>
    </xf>
    <xf numFmtId="0" fontId="174" fillId="2" borderId="33" xfId="0" applyFont="1" applyFill="1" applyBorder="1" applyAlignment="1">
      <alignment vertical="center"/>
    </xf>
    <xf numFmtId="0" fontId="34" fillId="2" borderId="60" xfId="0" applyFont="1" applyFill="1" applyBorder="1" applyAlignment="1">
      <alignment horizontal="center" vertical="center"/>
    </xf>
    <xf numFmtId="0" fontId="34" fillId="2" borderId="12" xfId="0" applyFont="1" applyFill="1" applyBorder="1" applyAlignment="1">
      <alignment horizontal="center" vertical="center"/>
    </xf>
    <xf numFmtId="0" fontId="29" fillId="2" borderId="12" xfId="0" applyFont="1" applyFill="1" applyBorder="1" applyAlignment="1">
      <alignment horizontal="center" vertical="center"/>
    </xf>
    <xf numFmtId="0" fontId="29" fillId="2" borderId="13" xfId="0" applyFont="1" applyFill="1" applyBorder="1" applyAlignment="1">
      <alignment horizontal="center" vertical="center"/>
    </xf>
    <xf numFmtId="0" fontId="8" fillId="2" borderId="0" xfId="0" applyFont="1" applyFill="1" applyAlignment="1">
      <alignment horizontal="left" vertical="center"/>
    </xf>
    <xf numFmtId="0" fontId="29" fillId="2" borderId="0" xfId="0" applyFont="1" applyFill="1" applyBorder="1" applyAlignment="1">
      <alignment vertical="center"/>
    </xf>
    <xf numFmtId="0" fontId="2" fillId="2" borderId="0" xfId="0" applyFont="1" applyFill="1" applyBorder="1" applyAlignment="1">
      <alignment horizontal="left" vertical="center" wrapText="1"/>
    </xf>
    <xf numFmtId="0" fontId="7" fillId="2" borderId="0" xfId="0" applyFont="1" applyFill="1" applyBorder="1" applyAlignment="1">
      <alignment horizontal="left" vertical="center" wrapText="1"/>
    </xf>
    <xf numFmtId="0" fontId="7" fillId="2" borderId="67" xfId="0" applyFont="1" applyFill="1" applyBorder="1" applyAlignment="1">
      <alignment horizontal="left" vertical="center" wrapText="1"/>
    </xf>
    <xf numFmtId="0" fontId="29" fillId="2" borderId="12" xfId="0" applyFont="1" applyFill="1" applyBorder="1" applyAlignment="1">
      <alignment vertical="center"/>
    </xf>
    <xf numFmtId="0" fontId="118" fillId="2" borderId="69" xfId="0" applyFont="1" applyFill="1" applyBorder="1" applyAlignment="1">
      <alignment vertical="center"/>
    </xf>
    <xf numFmtId="0" fontId="174" fillId="2" borderId="62" xfId="0" applyFont="1" applyFill="1" applyBorder="1" applyAlignment="1">
      <alignment vertical="center"/>
    </xf>
    <xf numFmtId="0" fontId="105" fillId="2" borderId="3" xfId="0" applyFont="1" applyFill="1" applyBorder="1" applyAlignment="1">
      <alignment horizontal="center" vertical="center"/>
    </xf>
    <xf numFmtId="0" fontId="155" fillId="2" borderId="3" xfId="0" applyFont="1" applyFill="1" applyBorder="1" applyAlignment="1">
      <alignment horizontal="center" vertical="center"/>
    </xf>
    <xf numFmtId="0" fontId="34" fillId="2" borderId="70" xfId="0" applyFont="1" applyFill="1" applyBorder="1" applyAlignment="1">
      <alignment vertical="center"/>
    </xf>
    <xf numFmtId="0" fontId="34" fillId="2" borderId="36" xfId="0" applyFont="1" applyFill="1" applyBorder="1" applyAlignment="1">
      <alignment vertical="center"/>
    </xf>
    <xf numFmtId="0" fontId="29" fillId="2" borderId="36" xfId="0" applyFont="1" applyFill="1" applyBorder="1" applyAlignment="1">
      <alignment vertical="center"/>
    </xf>
    <xf numFmtId="0" fontId="0" fillId="2" borderId="54" xfId="0" applyFill="1" applyBorder="1">
      <alignment vertical="center"/>
    </xf>
    <xf numFmtId="0" fontId="0" fillId="2" borderId="55" xfId="0" applyFill="1" applyBorder="1">
      <alignment vertical="center"/>
    </xf>
    <xf numFmtId="0" fontId="0" fillId="2" borderId="59" xfId="0" applyFill="1" applyBorder="1">
      <alignment vertical="center"/>
    </xf>
    <xf numFmtId="0" fontId="0" fillId="2" borderId="63" xfId="0" applyFont="1" applyFill="1" applyBorder="1">
      <alignment vertical="center"/>
    </xf>
    <xf numFmtId="0" fontId="0" fillId="2" borderId="0" xfId="0" applyFill="1" applyBorder="1">
      <alignment vertical="center"/>
    </xf>
    <xf numFmtId="0" fontId="175" fillId="2" borderId="0" xfId="0" applyFont="1" applyFill="1" applyBorder="1" applyAlignment="1">
      <alignment horizontal="center" vertical="center"/>
    </xf>
    <xf numFmtId="0" fontId="0" fillId="2" borderId="33" xfId="0" applyFill="1" applyBorder="1">
      <alignment vertical="center"/>
    </xf>
    <xf numFmtId="0" fontId="0" fillId="2" borderId="63" xfId="0" applyFill="1" applyBorder="1">
      <alignment vertical="center"/>
    </xf>
    <xf numFmtId="0" fontId="0" fillId="2" borderId="70" xfId="0" applyFill="1" applyBorder="1">
      <alignment vertical="center"/>
    </xf>
    <xf numFmtId="0" fontId="0" fillId="2" borderId="36" xfId="0" applyFill="1" applyBorder="1">
      <alignment vertical="center"/>
    </xf>
    <xf numFmtId="0" fontId="0" fillId="2" borderId="37" xfId="0" applyFill="1" applyBorder="1">
      <alignment vertical="center"/>
    </xf>
    <xf numFmtId="0" fontId="176" fillId="2" borderId="0" xfId="0" applyFont="1" applyFill="1">
      <alignment vertical="center"/>
    </xf>
    <xf numFmtId="0" fontId="176" fillId="2" borderId="54" xfId="0" applyFont="1" applyFill="1" applyBorder="1">
      <alignment vertical="center"/>
    </xf>
    <xf numFmtId="0" fontId="176" fillId="2" borderId="55" xfId="0" applyFont="1" applyFill="1" applyBorder="1">
      <alignment vertical="center"/>
    </xf>
    <xf numFmtId="0" fontId="176" fillId="2" borderId="59" xfId="0" applyFont="1" applyFill="1" applyBorder="1">
      <alignment vertical="center"/>
    </xf>
    <xf numFmtId="0" fontId="176" fillId="2" borderId="63" xfId="0" applyFont="1" applyFill="1" applyBorder="1">
      <alignment vertical="center"/>
    </xf>
    <xf numFmtId="0" fontId="176" fillId="2" borderId="0" xfId="0" applyFont="1" applyFill="1" applyBorder="1">
      <alignment vertical="center"/>
    </xf>
    <xf numFmtId="0" fontId="176" fillId="2" borderId="33" xfId="0" applyFont="1" applyFill="1" applyBorder="1">
      <alignment vertical="center"/>
    </xf>
    <xf numFmtId="0" fontId="177" fillId="2" borderId="7" xfId="0" applyFont="1" applyFill="1" applyBorder="1" applyAlignment="1">
      <alignment vertical="center"/>
    </xf>
    <xf numFmtId="0" fontId="177" fillId="2" borderId="2" xfId="0" applyFont="1" applyFill="1" applyBorder="1">
      <alignment vertical="center"/>
    </xf>
    <xf numFmtId="0" fontId="178" fillId="2" borderId="6" xfId="0" applyFont="1" applyFill="1" applyBorder="1" applyAlignment="1">
      <alignment vertical="center"/>
    </xf>
    <xf numFmtId="0" fontId="179" fillId="2" borderId="6" xfId="0" applyFont="1" applyFill="1" applyBorder="1" applyAlignment="1">
      <alignment horizontal="center" vertical="center"/>
    </xf>
    <xf numFmtId="0" fontId="180" fillId="2" borderId="6" xfId="0" applyFont="1" applyFill="1" applyBorder="1" applyAlignment="1">
      <alignment horizontal="center" vertical="center"/>
    </xf>
    <xf numFmtId="0" fontId="178" fillId="2" borderId="3" xfId="0" applyFont="1" applyFill="1" applyBorder="1" applyAlignment="1">
      <alignment vertical="center"/>
    </xf>
    <xf numFmtId="0" fontId="177" fillId="2" borderId="1" xfId="0" applyFont="1" applyFill="1" applyBorder="1">
      <alignment vertical="center"/>
    </xf>
    <xf numFmtId="0" fontId="178" fillId="2" borderId="2" xfId="0" applyFont="1" applyFill="1" applyBorder="1" applyAlignment="1">
      <alignment horizontal="center" vertical="center"/>
    </xf>
    <xf numFmtId="0" fontId="178" fillId="2" borderId="6" xfId="0" applyFont="1" applyFill="1" applyBorder="1" applyAlignment="1">
      <alignment horizontal="center" vertical="center"/>
    </xf>
    <xf numFmtId="0" fontId="178" fillId="2" borderId="3" xfId="0" applyFont="1" applyFill="1" applyBorder="1" applyAlignment="1">
      <alignment horizontal="center" vertical="center"/>
    </xf>
    <xf numFmtId="0" fontId="177" fillId="2" borderId="7" xfId="0" applyFont="1" applyFill="1" applyBorder="1" applyAlignment="1">
      <alignment horizontal="left" vertical="center"/>
    </xf>
    <xf numFmtId="0" fontId="177" fillId="2" borderId="1" xfId="0" applyFont="1" applyFill="1" applyBorder="1" applyAlignment="1">
      <alignment horizontal="center" vertical="center"/>
    </xf>
    <xf numFmtId="0" fontId="177" fillId="2" borderId="2" xfId="0" applyFont="1" applyFill="1" applyBorder="1" applyAlignment="1">
      <alignment horizontal="center" vertical="center"/>
    </xf>
    <xf numFmtId="0" fontId="177" fillId="2" borderId="3" xfId="0" applyFont="1" applyFill="1" applyBorder="1" applyAlignment="1">
      <alignment horizontal="center" vertical="center"/>
    </xf>
    <xf numFmtId="0" fontId="177" fillId="2" borderId="38" xfId="0" applyFont="1" applyFill="1" applyBorder="1" applyAlignment="1">
      <alignment horizontal="left" vertical="center"/>
    </xf>
    <xf numFmtId="0" fontId="177" fillId="2" borderId="5" xfId="0" applyFont="1" applyFill="1" applyBorder="1" applyAlignment="1">
      <alignment horizontal="left" vertical="center"/>
    </xf>
    <xf numFmtId="0" fontId="181" fillId="2" borderId="1" xfId="0" applyFont="1" applyFill="1" applyBorder="1" applyAlignment="1">
      <alignment horizontal="center" vertical="center"/>
    </xf>
    <xf numFmtId="0" fontId="181" fillId="2" borderId="2" xfId="0" applyFont="1" applyFill="1" applyBorder="1" applyAlignment="1">
      <alignment horizontal="center" vertical="center"/>
    </xf>
    <xf numFmtId="0" fontId="181" fillId="2" borderId="3" xfId="0" applyFont="1" applyFill="1" applyBorder="1" applyAlignment="1">
      <alignment horizontal="center" vertical="center"/>
    </xf>
    <xf numFmtId="0" fontId="177" fillId="2" borderId="7" xfId="0" applyFont="1" applyFill="1" applyBorder="1" applyAlignment="1">
      <alignment horizontal="center" vertical="center"/>
    </xf>
    <xf numFmtId="0" fontId="177" fillId="2" borderId="8" xfId="0" applyFont="1" applyFill="1" applyBorder="1" applyAlignment="1">
      <alignment horizontal="center" vertical="center"/>
    </xf>
    <xf numFmtId="0" fontId="177" fillId="2" borderId="10" xfId="0" applyFont="1" applyFill="1" applyBorder="1" applyAlignment="1">
      <alignment horizontal="center" vertical="center"/>
    </xf>
    <xf numFmtId="0" fontId="177" fillId="2" borderId="11" xfId="0" applyFont="1" applyFill="1" applyBorder="1" applyAlignment="1">
      <alignment horizontal="left" vertical="center"/>
    </xf>
    <xf numFmtId="0" fontId="182" fillId="2" borderId="72" xfId="0" applyFont="1" applyFill="1" applyBorder="1" applyAlignment="1">
      <alignment horizontal="center" vertical="center"/>
    </xf>
    <xf numFmtId="0" fontId="177" fillId="2" borderId="12" xfId="0" applyFont="1" applyFill="1" applyBorder="1" applyAlignment="1">
      <alignment horizontal="left" vertical="center"/>
    </xf>
    <xf numFmtId="0" fontId="177" fillId="2" borderId="2" xfId="0" applyFont="1" applyFill="1" applyBorder="1" applyAlignment="1">
      <alignment horizontal="right" vertical="center"/>
    </xf>
    <xf numFmtId="0" fontId="177" fillId="2" borderId="12" xfId="0" applyFont="1" applyFill="1" applyBorder="1" applyAlignment="1">
      <alignment horizontal="right" vertical="center"/>
    </xf>
    <xf numFmtId="0" fontId="181" fillId="2" borderId="12" xfId="0" applyFont="1" applyFill="1" applyBorder="1" applyAlignment="1">
      <alignment horizontal="center" vertical="center"/>
    </xf>
    <xf numFmtId="0" fontId="177" fillId="2" borderId="6" xfId="0" applyFont="1" applyFill="1" applyBorder="1" applyAlignment="1">
      <alignment horizontal="left" vertical="center"/>
    </xf>
    <xf numFmtId="0" fontId="177" fillId="2" borderId="13" xfId="0" applyFont="1" applyFill="1" applyBorder="1" applyAlignment="1">
      <alignment horizontal="left" vertical="center"/>
    </xf>
    <xf numFmtId="14" fontId="183" fillId="2" borderId="1" xfId="0" applyNumberFormat="1" applyFont="1" applyFill="1" applyBorder="1" applyAlignment="1">
      <alignment horizontal="center" vertical="center"/>
    </xf>
    <xf numFmtId="0" fontId="178" fillId="2" borderId="1" xfId="0" applyFont="1" applyFill="1" applyBorder="1" applyAlignment="1">
      <alignment horizontal="center" vertical="center"/>
    </xf>
    <xf numFmtId="0" fontId="177" fillId="2" borderId="6" xfId="0" applyFont="1" applyFill="1" applyBorder="1" applyAlignment="1">
      <alignment horizontal="center" vertical="center"/>
    </xf>
    <xf numFmtId="0" fontId="177" fillId="2" borderId="2" xfId="0" applyFont="1" applyFill="1" applyBorder="1" applyAlignment="1">
      <alignment horizontal="left" vertical="center"/>
    </xf>
    <xf numFmtId="0" fontId="177" fillId="2" borderId="3" xfId="0" applyFont="1" applyFill="1" applyBorder="1" applyAlignment="1">
      <alignment horizontal="left" vertical="center"/>
    </xf>
    <xf numFmtId="0" fontId="178" fillId="2" borderId="1" xfId="0" applyFont="1" applyFill="1" applyBorder="1">
      <alignment vertical="center"/>
    </xf>
    <xf numFmtId="0" fontId="177" fillId="2" borderId="6" xfId="0" applyFont="1" applyFill="1" applyBorder="1">
      <alignment vertical="center"/>
    </xf>
    <xf numFmtId="0" fontId="178" fillId="2" borderId="6" xfId="0" applyFont="1" applyFill="1" applyBorder="1">
      <alignment vertical="center"/>
    </xf>
    <xf numFmtId="0" fontId="178" fillId="2" borderId="3" xfId="0" applyFont="1" applyFill="1" applyBorder="1">
      <alignment vertical="center"/>
    </xf>
    <xf numFmtId="0" fontId="184" fillId="2" borderId="8" xfId="0" applyFont="1" applyFill="1" applyBorder="1" applyAlignment="1">
      <alignment horizontal="left" vertical="center"/>
    </xf>
    <xf numFmtId="0" fontId="184" fillId="2" borderId="9" xfId="0" applyFont="1" applyFill="1" applyBorder="1" applyAlignment="1">
      <alignment horizontal="left" vertical="center"/>
    </xf>
    <xf numFmtId="0" fontId="184" fillId="2" borderId="10" xfId="0" applyFont="1" applyFill="1" applyBorder="1" applyAlignment="1">
      <alignment horizontal="left" vertical="center"/>
    </xf>
    <xf numFmtId="0" fontId="184" fillId="2" borderId="32" xfId="0" applyFont="1" applyFill="1" applyBorder="1" applyAlignment="1">
      <alignment horizontal="left" vertical="center"/>
    </xf>
    <xf numFmtId="0" fontId="184" fillId="2" borderId="0" xfId="0" applyFont="1" applyFill="1" applyBorder="1" applyAlignment="1">
      <alignment horizontal="left" vertical="center"/>
    </xf>
    <xf numFmtId="0" fontId="184" fillId="2" borderId="39" xfId="0" applyFont="1" applyFill="1" applyBorder="1" applyAlignment="1">
      <alignment horizontal="left" vertical="center"/>
    </xf>
    <xf numFmtId="0" fontId="61" fillId="2" borderId="32" xfId="0" applyFont="1" applyFill="1" applyBorder="1" applyAlignment="1">
      <alignment horizontal="left" vertical="center"/>
    </xf>
    <xf numFmtId="0" fontId="61" fillId="2" borderId="0" xfId="0" applyFont="1" applyFill="1" applyBorder="1" applyAlignment="1">
      <alignment horizontal="left" vertical="center"/>
    </xf>
    <xf numFmtId="0" fontId="61" fillId="2" borderId="39" xfId="0" applyFont="1" applyFill="1" applyBorder="1" applyAlignment="1">
      <alignment horizontal="left" vertical="center"/>
    </xf>
    <xf numFmtId="0" fontId="184" fillId="2" borderId="11" xfId="0" applyFont="1" applyFill="1" applyBorder="1" applyAlignment="1">
      <alignment horizontal="left" vertical="center"/>
    </xf>
    <xf numFmtId="0" fontId="184" fillId="2" borderId="12" xfId="0" applyFont="1" applyFill="1" applyBorder="1" applyAlignment="1">
      <alignment horizontal="left" vertical="center"/>
    </xf>
    <xf numFmtId="0" fontId="61" fillId="2" borderId="11" xfId="0" applyFont="1" applyFill="1" applyBorder="1" applyAlignment="1">
      <alignment horizontal="left" vertical="center"/>
    </xf>
    <xf numFmtId="0" fontId="61" fillId="2" borderId="12" xfId="0" applyFont="1" applyFill="1" applyBorder="1" applyAlignment="1">
      <alignment horizontal="left" vertical="center"/>
    </xf>
    <xf numFmtId="0" fontId="61" fillId="2" borderId="13" xfId="0" applyFont="1" applyFill="1" applyBorder="1" applyAlignment="1">
      <alignment horizontal="left" vertical="center"/>
    </xf>
    <xf numFmtId="0" fontId="176" fillId="2" borderId="70" xfId="0" applyFont="1" applyFill="1" applyBorder="1">
      <alignment vertical="center"/>
    </xf>
    <xf numFmtId="0" fontId="176" fillId="2" borderId="36" xfId="0" applyFont="1" applyFill="1" applyBorder="1">
      <alignment vertical="center"/>
    </xf>
    <xf numFmtId="0" fontId="176" fillId="2" borderId="37" xfId="0" applyFont="1" applyFill="1" applyBorder="1">
      <alignment vertical="center"/>
    </xf>
    <xf numFmtId="0" fontId="178" fillId="2" borderId="2" xfId="0" applyFont="1" applyFill="1" applyBorder="1" applyAlignment="1">
      <alignment vertical="center"/>
    </xf>
    <xf numFmtId="0" fontId="185" fillId="2" borderId="6" xfId="0" applyFont="1" applyFill="1" applyBorder="1" applyAlignment="1">
      <alignment horizontal="center" vertical="center"/>
    </xf>
    <xf numFmtId="0" fontId="177" fillId="2" borderId="1" xfId="0" applyFont="1" applyFill="1" applyBorder="1" applyAlignment="1">
      <alignment horizontal="left" vertical="center"/>
    </xf>
    <xf numFmtId="0" fontId="178" fillId="2" borderId="2" xfId="0" applyFont="1" applyFill="1" applyBorder="1" applyAlignment="1">
      <alignment horizontal="right" vertical="center"/>
    </xf>
    <xf numFmtId="0" fontId="0" fillId="0" borderId="6" xfId="0" applyBorder="1">
      <alignment vertical="center"/>
    </xf>
    <xf numFmtId="0" fontId="181" fillId="2" borderId="6" xfId="0" applyFont="1" applyFill="1" applyBorder="1" applyAlignment="1">
      <alignment horizontal="center" vertical="center"/>
    </xf>
    <xf numFmtId="178" fontId="186" fillId="2" borderId="6" xfId="0" applyNumberFormat="1" applyFont="1" applyFill="1" applyBorder="1" applyAlignment="1">
      <alignment horizontal="left" vertical="center"/>
    </xf>
    <xf numFmtId="0" fontId="187" fillId="0" borderId="6" xfId="0" applyFont="1" applyBorder="1">
      <alignment vertical="center"/>
    </xf>
    <xf numFmtId="0" fontId="187" fillId="0" borderId="3" xfId="0" applyFont="1" applyBorder="1">
      <alignment vertical="center"/>
    </xf>
    <xf numFmtId="0" fontId="177" fillId="2" borderId="6" xfId="0" applyFont="1" applyFill="1" applyBorder="1" applyAlignment="1">
      <alignment horizontal="right" vertical="center"/>
    </xf>
    <xf numFmtId="0" fontId="177" fillId="2" borderId="6" xfId="0" applyFont="1" applyFill="1" applyBorder="1" applyAlignment="1">
      <alignment vertical="center"/>
    </xf>
    <xf numFmtId="0" fontId="184" fillId="2" borderId="13" xfId="0" applyFont="1" applyFill="1" applyBorder="1" applyAlignment="1">
      <alignment horizontal="left" vertical="center"/>
    </xf>
    <xf numFmtId="0" fontId="175" fillId="2" borderId="0" xfId="0" applyFont="1" applyFill="1">
      <alignment vertical="center"/>
    </xf>
    <xf numFmtId="0" fontId="175" fillId="2" borderId="54" xfId="0" applyFont="1" applyFill="1" applyBorder="1">
      <alignment vertical="center"/>
    </xf>
    <xf numFmtId="0" fontId="175" fillId="2" borderId="55" xfId="0" applyFont="1" applyFill="1" applyBorder="1">
      <alignment vertical="center"/>
    </xf>
    <xf numFmtId="0" fontId="175" fillId="2" borderId="59" xfId="0" applyFont="1" applyFill="1" applyBorder="1">
      <alignment vertical="center"/>
    </xf>
    <xf numFmtId="0" fontId="175" fillId="2" borderId="63" xfId="0" applyFont="1" applyFill="1" applyBorder="1">
      <alignment vertical="center"/>
    </xf>
    <xf numFmtId="0" fontId="175" fillId="2" borderId="0" xfId="0" applyFont="1" applyFill="1" applyBorder="1">
      <alignment vertical="center"/>
    </xf>
    <xf numFmtId="0" fontId="175" fillId="2" borderId="33" xfId="0" applyFont="1" applyFill="1" applyBorder="1">
      <alignment vertical="center"/>
    </xf>
    <xf numFmtId="0" fontId="177" fillId="2" borderId="0" xfId="0" applyFont="1" applyFill="1" applyBorder="1" applyAlignment="1">
      <alignment horizontal="right" vertical="center"/>
    </xf>
    <xf numFmtId="0" fontId="178" fillId="2" borderId="0" xfId="0" applyFont="1" applyFill="1" applyBorder="1" applyAlignment="1">
      <alignment horizontal="left" vertical="center"/>
    </xf>
    <xf numFmtId="0" fontId="175" fillId="2" borderId="0" xfId="0" applyFont="1" applyFill="1" applyBorder="1" applyAlignment="1">
      <alignment horizontal="right" vertical="center"/>
    </xf>
    <xf numFmtId="0" fontId="178" fillId="2" borderId="12" xfId="0" applyFont="1" applyFill="1" applyBorder="1" applyAlignment="1">
      <alignment horizontal="center" vertical="center"/>
    </xf>
    <xf numFmtId="14" fontId="178" fillId="2" borderId="12" xfId="0" applyNumberFormat="1" applyFont="1" applyFill="1" applyBorder="1" applyAlignment="1">
      <alignment horizontal="center" vertical="center"/>
    </xf>
    <xf numFmtId="0" fontId="175" fillId="2" borderId="70" xfId="0" applyFont="1" applyFill="1" applyBorder="1">
      <alignment vertical="center"/>
    </xf>
    <xf numFmtId="0" fontId="175" fillId="2" borderId="36" xfId="0" applyFont="1" applyFill="1" applyBorder="1">
      <alignment vertical="center"/>
    </xf>
    <xf numFmtId="0" fontId="175" fillId="2" borderId="37" xfId="0" applyFont="1" applyFill="1" applyBorder="1">
      <alignment vertical="center"/>
    </xf>
    <xf numFmtId="0" fontId="102" fillId="2" borderId="0" xfId="0" applyFont="1" applyFill="1" applyAlignment="1" quotePrefix="1">
      <alignment horizontal="center" vertical="center" wrapText="1"/>
    </xf>
    <xf numFmtId="49" fontId="121" fillId="3" borderId="45" xfId="0" applyNumberFormat="1" applyFont="1" applyFill="1" applyBorder="1" applyAlignment="1" quotePrefix="1">
      <alignment horizontal="center" vertical="center" wrapText="1"/>
    </xf>
    <xf numFmtId="0" fontId="0" fillId="0" borderId="0" xfId="0" quotePrefix="1">
      <alignment vertical="center"/>
    </xf>
    <xf numFmtId="49" fontId="121" fillId="3" borderId="43" xfId="0" applyNumberFormat="1" applyFont="1" applyFill="1" applyBorder="1" applyAlignment="1" quotePrefix="1">
      <alignment horizontal="center" vertical="center" wrapText="1"/>
    </xf>
    <xf numFmtId="0" fontId="38" fillId="0" borderId="0" xfId="0" applyFont="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3" xfId="50"/>
  </cellStyles>
  <dxfs count="3">
    <dxf>
      <font>
        <b val="0"/>
        <i val="0"/>
        <color theme="0"/>
      </font>
    </dxf>
    <dxf>
      <font>
        <color theme="0"/>
      </font>
    </dxf>
    <dxf>
      <font>
        <b val="1"/>
        <i val="0"/>
        <color rgb="FFFF0000"/>
      </font>
    </dxf>
  </dxfs>
  <tableStyles count="0" defaultTableStyle="TableStyleMedium9"/>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checked="Checked" noThreeD="1" val="0"/>
</file>

<file path=xl/ctrlProps/ctrlProp2.xml><?xml version="1.0" encoding="utf-8"?>
<formControlPr xmlns="http://schemas.microsoft.com/office/spreadsheetml/2009/9/main" objectType="CheckBox" checked="Checked" noThreeD="1" val="0"/>
</file>

<file path=xl/ctrlProps/ctrlProp3.xml><?xml version="1.0" encoding="utf-8"?>
<formControlPr xmlns="http://schemas.microsoft.com/office/spreadsheetml/2009/9/main" objectType="CheckBox" checked="Checked"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checked="Checked" noThreeD="1" val="0"/>
</file>

<file path=xl/ctrlProps/ctrlProp6.xml><?xml version="1.0" encoding="utf-8"?>
<formControlPr xmlns="http://schemas.microsoft.com/office/spreadsheetml/2009/9/main" objectType="CheckBox" checked="Checked"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checked="Checked" noThreeD="1" val="0"/>
</file>

<file path=xl/ctrlProps/ctrlProp10.xml><?xml version="1.0" encoding="utf-8"?>
<formControlPr xmlns="http://schemas.microsoft.com/office/spreadsheetml/2009/9/main" objectType="CheckBox" checked="Checked" noThreeD="1" val="0"/>
</file>

<file path=xl/ctrlProps/ctrlProp11.xml><?xml version="1.0" encoding="utf-8"?>
<formControlPr xmlns="http://schemas.microsoft.com/office/spreadsheetml/2009/9/main" objectType="CheckBox" checked="Checked" noThreeD="1" val="0"/>
</file>

<file path=xl/ctrlProps/ctrlProp12.xml><?xml version="1.0" encoding="utf-8"?>
<formControlPr xmlns="http://schemas.microsoft.com/office/spreadsheetml/2009/9/main" objectType="CheckBox" checked="Checked" noThreeD="1" val="0"/>
</file>

<file path=xl/ctrlProps/ctrlProp13.xml><?xml version="1.0" encoding="utf-8"?>
<formControlPr xmlns="http://schemas.microsoft.com/office/spreadsheetml/2009/9/main" objectType="CheckBox" checked="Checked" noThreeD="1" val="0"/>
</file>

<file path=xl/ctrlProps/ctrlProp14.xml><?xml version="1.0" encoding="utf-8"?>
<formControlPr xmlns="http://schemas.microsoft.com/office/spreadsheetml/2009/9/main" objectType="CheckBox" checked="Checked"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checked="Checked"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checked="Checked" noThreeD="1" val="0"/>
</file>

<file path=xl/ctrlProps/ctrlProp21.xml><?xml version="1.0" encoding="utf-8"?>
<formControlPr xmlns="http://schemas.microsoft.com/office/spreadsheetml/2009/9/main" objectType="CheckBox" checked="Checked" noThreeD="1" val="0"/>
</file>

<file path=xl/ctrlProps/ctrlProp22.xml><?xml version="1.0" encoding="utf-8"?>
<formControlPr xmlns="http://schemas.microsoft.com/office/spreadsheetml/2009/9/main" objectType="CheckBox" noThreeD="1" val="0"/>
</file>

<file path=xl/ctrlProps/ctrlProp23.xml><?xml version="1.0" encoding="utf-8"?>
<formControlPr xmlns="http://schemas.microsoft.com/office/spreadsheetml/2009/9/main" objectType="CheckBox" checked="Checked" noThreeD="1" val="0"/>
</file>

<file path=xl/ctrlProps/ctrlProp24.xml><?xml version="1.0" encoding="utf-8"?>
<formControlPr xmlns="http://schemas.microsoft.com/office/spreadsheetml/2009/9/main" objectType="CheckBox" noThreeD="1" val="0"/>
</file>

<file path=xl/ctrlProps/ctrlProp25.xml><?xml version="1.0" encoding="utf-8"?>
<formControlPr xmlns="http://schemas.microsoft.com/office/spreadsheetml/2009/9/main" objectType="CheckBox" noThreeD="1" val="0"/>
</file>

<file path=xl/ctrlProps/ctrlProp26.xml><?xml version="1.0" encoding="utf-8"?>
<formControlPr xmlns="http://schemas.microsoft.com/office/spreadsheetml/2009/9/main" objectType="CheckBox" checked="Checked" noThreeD="1" val="0"/>
</file>

<file path=xl/ctrlProps/ctrlProp27.xml><?xml version="1.0" encoding="utf-8"?>
<formControlPr xmlns="http://schemas.microsoft.com/office/spreadsheetml/2009/9/main" objectType="CheckBox" noThreeD="1" val="0"/>
</file>

<file path=xl/ctrlProps/ctrlProp28.xml><?xml version="1.0" encoding="utf-8"?>
<formControlPr xmlns="http://schemas.microsoft.com/office/spreadsheetml/2009/9/main" objectType="CheckBox" checked="Checked" noThreeD="1" val="0"/>
</file>

<file path=xl/ctrlProps/ctrlProp29.xml><?xml version="1.0" encoding="utf-8"?>
<formControlPr xmlns="http://schemas.microsoft.com/office/spreadsheetml/2009/9/main" objectType="CheckBox" noThreeD="1" val="0"/>
</file>

<file path=xl/ctrlProps/ctrlProp30.xml><?xml version="1.0" encoding="utf-8"?>
<formControlPr xmlns="http://schemas.microsoft.com/office/spreadsheetml/2009/9/main" objectType="CheckBox" checked="Checked" noThreeD="1" val="0"/>
</file>

<file path=xl/ctrlProps/ctrlProp31.xml><?xml version="1.0" encoding="utf-8"?>
<formControlPr xmlns="http://schemas.microsoft.com/office/spreadsheetml/2009/9/main" objectType="CheckBox" noThreeD="1" val="0"/>
</file>

<file path=xl/ctrlProps/ctrlProp32.xml><?xml version="1.0" encoding="utf-8"?>
<formControlPr xmlns="http://schemas.microsoft.com/office/spreadsheetml/2009/9/main" objectType="CheckBox" noThreeD="1" val="0"/>
</file>

<file path=xl/ctrlProps/ctrlProp33.xml><?xml version="1.0" encoding="utf-8"?>
<formControlPr xmlns="http://schemas.microsoft.com/office/spreadsheetml/2009/9/main" objectType="CheckBox" noThreeD="1" val="0"/>
</file>

<file path=xl/ctrlProps/ctrlProp34.xml><?xml version="1.0" encoding="utf-8"?>
<formControlPr xmlns="http://schemas.microsoft.com/office/spreadsheetml/2009/9/main" objectType="CheckBox" noThreeD="1" val="0"/>
</file>

<file path=xl/ctrlProps/ctrlProp35.xml><?xml version="1.0" encoding="utf-8"?>
<formControlPr xmlns="http://schemas.microsoft.com/office/spreadsheetml/2009/9/main" objectType="CheckBox" noThreeD="1" val="0"/>
</file>

<file path=xl/ctrlProps/ctrlProp36.xml><?xml version="1.0" encoding="utf-8"?>
<formControlPr xmlns="http://schemas.microsoft.com/office/spreadsheetml/2009/9/main" objectType="CheckBox" noThreeD="1" val="0"/>
</file>

<file path=xl/ctrlProps/ctrlProp37.xml><?xml version="1.0" encoding="utf-8"?>
<formControlPr xmlns="http://schemas.microsoft.com/office/spreadsheetml/2009/9/main" objectType="CheckBox" noThreeD="1" val="0"/>
</file>

<file path=xl/ctrlProps/ctrlProp38.xml><?xml version="1.0" encoding="utf-8"?>
<formControlPr xmlns="http://schemas.microsoft.com/office/spreadsheetml/2009/9/main" objectType="CheckBox" noThreeD="1" val="0"/>
</file>

<file path=xl/ctrlProps/ctrlProp39.xml><?xml version="1.0" encoding="utf-8"?>
<formControlPr xmlns="http://schemas.microsoft.com/office/spreadsheetml/2009/9/main" objectType="CheckBox" noThreeD="1" val="0"/>
</file>

<file path=xl/ctrlProps/ctrlProp40.xml><?xml version="1.0" encoding="utf-8"?>
<formControlPr xmlns="http://schemas.microsoft.com/office/spreadsheetml/2009/9/main" objectType="CheckBox" noThreeD="1" val="0"/>
</file>

<file path=xl/ctrlProps/ctrlProp41.xml><?xml version="1.0" encoding="utf-8"?>
<formControlPr xmlns="http://schemas.microsoft.com/office/spreadsheetml/2009/9/main" objectType="CheckBox" noThreeD="1" val="0"/>
</file>

<file path=xl/ctrlProps/ctrlProp42.xml><?xml version="1.0" encoding="utf-8"?>
<formControlPr xmlns="http://schemas.microsoft.com/office/spreadsheetml/2009/9/main" objectType="CheckBox" noThreeD="1" val="0"/>
</file>

<file path=xl/ctrlProps/ctrlProp43.xml><?xml version="1.0" encoding="utf-8"?>
<formControlPr xmlns="http://schemas.microsoft.com/office/spreadsheetml/2009/9/main" objectType="CheckBox" checked="Checked" noThreeD="1" val="0"/>
</file>

<file path=xl/ctrlProps/ctrlProp44.xml><?xml version="1.0" encoding="utf-8"?>
<formControlPr xmlns="http://schemas.microsoft.com/office/spreadsheetml/2009/9/main" objectType="CheckBox" checked="Checked" noThreeD="1" val="0"/>
</file>

<file path=xl/ctrlProps/ctrlProp45.xml><?xml version="1.0" encoding="utf-8"?>
<formControlPr xmlns="http://schemas.microsoft.com/office/spreadsheetml/2009/9/main" objectType="CheckBox" noThreeD="1" val="0"/>
</file>

<file path=xl/ctrlProps/ctrlProp46.xml><?xml version="1.0" encoding="utf-8"?>
<formControlPr xmlns="http://schemas.microsoft.com/office/spreadsheetml/2009/9/main" objectType="CheckBox" checked="Checked" noThreeD="1" val="0"/>
</file>

<file path=xl/ctrlProps/ctrlProp47.xml><?xml version="1.0" encoding="utf-8"?>
<formControlPr xmlns="http://schemas.microsoft.com/office/spreadsheetml/2009/9/main" objectType="CheckBox" noThreeD="1" val="0"/>
</file>

<file path=xl/ctrlProps/ctrlProp48.xml><?xml version="1.0" encoding="utf-8"?>
<formControlPr xmlns="http://schemas.microsoft.com/office/spreadsheetml/2009/9/main" objectType="CheckBox" checked="Checked" noThreeD="1" val="0"/>
</file>

<file path=xl/ctrlProps/ctrlProp49.xml><?xml version="1.0" encoding="utf-8"?>
<formControlPr xmlns="http://schemas.microsoft.com/office/spreadsheetml/2009/9/main" objectType="CheckBox" noThreeD="1" val="0"/>
</file>

<file path=xl/ctrlProps/ctrlProp50.xml><?xml version="1.0" encoding="utf-8"?>
<formControlPr xmlns="http://schemas.microsoft.com/office/spreadsheetml/2009/9/main" objectType="CheckBox" noThreeD="1" val="0"/>
</file>

<file path=xl/ctrlProps/ctrlProp51.xml><?xml version="1.0" encoding="utf-8"?>
<formControlPr xmlns="http://schemas.microsoft.com/office/spreadsheetml/2009/9/main" objectType="CheckBox" noThreeD="1" val="0"/>
</file>

<file path=xl/ctrlProps/ctrlProp52.xml><?xml version="1.0" encoding="utf-8"?>
<formControlPr xmlns="http://schemas.microsoft.com/office/spreadsheetml/2009/9/main" objectType="CheckBox" noThreeD="1" val="0"/>
</file>

<file path=xl/ctrlProps/ctrlProp53.xml><?xml version="1.0" encoding="utf-8"?>
<formControlPr xmlns="http://schemas.microsoft.com/office/spreadsheetml/2009/9/main" objectType="CheckBox" checked="Checked" noThreeD="1" val="0"/>
</file>

<file path=xl/ctrlProps/ctrlProp54.xml><?xml version="1.0" encoding="utf-8"?>
<formControlPr xmlns="http://schemas.microsoft.com/office/spreadsheetml/2009/9/main" objectType="CheckBox" noThreeD="1" val="0"/>
</file>

<file path=xl/ctrlProps/ctrlProp55.xml><?xml version="1.0" encoding="utf-8"?>
<formControlPr xmlns="http://schemas.microsoft.com/office/spreadsheetml/2009/9/main" objectType="CheckBox" checked="Checked" noThreeD="1" val="0"/>
</file>

<file path=xl/ctrlProps/ctrlProp56.xml><?xml version="1.0" encoding="utf-8"?>
<formControlPr xmlns="http://schemas.microsoft.com/office/spreadsheetml/2009/9/main" objectType="CheckBox" noThreeD="1" val="0"/>
</file>

<file path=xl/ctrlProps/ctrlProp57.xml><?xml version="1.0" encoding="utf-8"?>
<formControlPr xmlns="http://schemas.microsoft.com/office/spreadsheetml/2009/9/main" objectType="CheckBox" checked="Checked" noThreeD="1" val="0"/>
</file>

<file path=xl/ctrlProps/ctrlProp58.xml><?xml version="1.0" encoding="utf-8"?>
<formControlPr xmlns="http://schemas.microsoft.com/office/spreadsheetml/2009/9/main" objectType="CheckBox" noThreeD="1" val="0"/>
</file>

<file path=xl/ctrlProps/ctrlProp59.xml><?xml version="1.0" encoding="utf-8"?>
<formControlPr xmlns="http://schemas.microsoft.com/office/spreadsheetml/2009/9/main" objectType="CheckBox" noThreeD="1" val="0"/>
</file>

<file path=xl/ctrlProps/ctrlProp60.xml><?xml version="1.0" encoding="utf-8"?>
<formControlPr xmlns="http://schemas.microsoft.com/office/spreadsheetml/2009/9/main" objectType="CheckBox" checked="Checked" noThreeD="1" val="0"/>
</file>

<file path=xl/ctrlProps/ctrlProp61.xml><?xml version="1.0" encoding="utf-8"?>
<formControlPr xmlns="http://schemas.microsoft.com/office/spreadsheetml/2009/9/main" objectType="CheckBox" noThreeD="1" val="0"/>
</file>

<file path=xl/ctrlProps/ctrlProp62.xml><?xml version="1.0" encoding="utf-8"?>
<formControlPr xmlns="http://schemas.microsoft.com/office/spreadsheetml/2009/9/main" objectType="CheckBox" noThreeD="1" val="0"/>
</file>

<file path=xl/ctrlProps/ctrlProp63.xml><?xml version="1.0" encoding="utf-8"?>
<formControlPr xmlns="http://schemas.microsoft.com/office/spreadsheetml/2009/9/main" objectType="CheckBox" noThreeD="1" val="0"/>
</file>

<file path=xl/ctrlProps/ctrlProp64.xml><?xml version="1.0" encoding="utf-8"?>
<formControlPr xmlns="http://schemas.microsoft.com/office/spreadsheetml/2009/9/main" objectType="CheckBox" noThreeD="1" val="0"/>
</file>

<file path=xl/ctrlProps/ctrlProp65.xml><?xml version="1.0" encoding="utf-8"?>
<formControlPr xmlns="http://schemas.microsoft.com/office/spreadsheetml/2009/9/main" objectType="CheckBox" checked="Checked" noThreeD="1" val="0"/>
</file>

<file path=xl/ctrlProps/ctrlProp66.xml><?xml version="1.0" encoding="utf-8"?>
<formControlPr xmlns="http://schemas.microsoft.com/office/spreadsheetml/2009/9/main" objectType="CheckBox" noThreeD="1" val="0"/>
</file>

<file path=xl/ctrlProps/ctrlProp67.xml><?xml version="1.0" encoding="utf-8"?>
<formControlPr xmlns="http://schemas.microsoft.com/office/spreadsheetml/2009/9/main" objectType="CheckBox" noThreeD="1" val="0"/>
</file>

<file path=xl/ctrlProps/ctrlProp68.xml><?xml version="1.0" encoding="utf-8"?>
<formControlPr xmlns="http://schemas.microsoft.com/office/spreadsheetml/2009/9/main" objectType="CheckBox" checked="Checked" noThreeD="1" val="0"/>
</file>

<file path=xl/ctrlProps/ctrlProp69.xml><?xml version="1.0" encoding="utf-8"?>
<formControlPr xmlns="http://schemas.microsoft.com/office/spreadsheetml/2009/9/main" objectType="CheckBox" noThreeD="1" val="0"/>
</file>

<file path=xl/ctrlProps/ctrlProp70.xml><?xml version="1.0" encoding="utf-8"?>
<formControlPr xmlns="http://schemas.microsoft.com/office/spreadsheetml/2009/9/main" objectType="CheckBox" noThreeD="1" val="0"/>
</file>

<file path=xl/ctrlProps/ctrlProp71.xml><?xml version="1.0" encoding="utf-8"?>
<formControlPr xmlns="http://schemas.microsoft.com/office/spreadsheetml/2009/9/main" objectType="CheckBox" noThreeD="1" val="0"/>
</file>

<file path=xl/ctrlProps/ctrlProp72.xml><?xml version="1.0" encoding="utf-8"?>
<formControlPr xmlns="http://schemas.microsoft.com/office/spreadsheetml/2009/9/main" objectType="CheckBox" noThreeD="1" val="0"/>
</file>

<file path=xl/ctrlProps/ctrlProp73.xml><?xml version="1.0" encoding="utf-8"?>
<formControlPr xmlns="http://schemas.microsoft.com/office/spreadsheetml/2009/9/main" objectType="CheckBox" noThreeD="1" val="0"/>
</file>

<file path=xl/ctrlProps/ctrlProp74.xml><?xml version="1.0" encoding="utf-8"?>
<formControlPr xmlns="http://schemas.microsoft.com/office/spreadsheetml/2009/9/main" objectType="CheckBox" noThreeD="1" val="0"/>
</file>

<file path=xl/ctrlProps/ctrlProp75.xml><?xml version="1.0" encoding="utf-8"?>
<formControlPr xmlns="http://schemas.microsoft.com/office/spreadsheetml/2009/9/main" objectType="CheckBox" noThreeD="1" val="0"/>
</file>

<file path=xl/ctrlProps/ctrlProp76.xml><?xml version="1.0" encoding="utf-8"?>
<formControlPr xmlns="http://schemas.microsoft.com/office/spreadsheetml/2009/9/main" objectType="CheckBox" noThreeD="1" val="0"/>
</file>

<file path=xl/ctrlProps/ctrlProp77.xml><?xml version="1.0" encoding="utf-8"?>
<formControlPr xmlns="http://schemas.microsoft.com/office/spreadsheetml/2009/9/main" objectType="CheckBox" noThreeD="1" val="0"/>
</file>

<file path=xl/ctrlProps/ctrlProp78.xml><?xml version="1.0" encoding="utf-8"?>
<formControlPr xmlns="http://schemas.microsoft.com/office/spreadsheetml/2009/9/main" objectType="CheckBox" noThreeD="1" val="0"/>
</file>

<file path=xl/ctrlProps/ctrlProp79.xml><?xml version="1.0" encoding="utf-8"?>
<formControlPr xmlns="http://schemas.microsoft.com/office/spreadsheetml/2009/9/main" objectType="CheckBox" noThreeD="1" val="0"/>
</file>

<file path=xl/ctrlProps/ctrlProp80.xml><?xml version="1.0" encoding="utf-8"?>
<formControlPr xmlns="http://schemas.microsoft.com/office/spreadsheetml/2009/9/main" objectType="CheckBox" noThreeD="1" val="0"/>
</file>

<file path=xl/ctrlProps/ctrlProp81.xml><?xml version="1.0" encoding="utf-8"?>
<formControlPr xmlns="http://schemas.microsoft.com/office/spreadsheetml/2009/9/main" objectType="CheckBox" noThreeD="1" val="0"/>
</file>

<file path=xl/ctrlProps/ctrlProp82.xml><?xml version="1.0" encoding="utf-8"?>
<formControlPr xmlns="http://schemas.microsoft.com/office/spreadsheetml/2009/9/main" objectType="CheckBox" noThreeD="1" val="0"/>
</file>

<file path=xl/ctrlProps/ctrlProp83.xml><?xml version="1.0" encoding="utf-8"?>
<formControlPr xmlns="http://schemas.microsoft.com/office/spreadsheetml/2009/9/main" objectType="CheckBox" checked="Checked" noThreeD="1" val="0"/>
</file>

<file path=xl/ctrlProps/ctrlProp84.xml><?xml version="1.0" encoding="utf-8"?>
<formControlPr xmlns="http://schemas.microsoft.com/office/spreadsheetml/2009/9/main" objectType="CheckBox" noThreeD="1" val="0"/>
</file>

<file path=xl/ctrlProps/ctrlProp85.xml><?xml version="1.0" encoding="utf-8"?>
<formControlPr xmlns="http://schemas.microsoft.com/office/spreadsheetml/2009/9/main" objectType="CheckBox" checked="Checked" noThreeD="1" val="0"/>
</file>

<file path=xl/ctrlProps/ctrlProp86.xml><?xml version="1.0" encoding="utf-8"?>
<formControlPr xmlns="http://schemas.microsoft.com/office/spreadsheetml/2009/9/main" objectType="CheckBox" noThreeD="1" val="0"/>
</file>

<file path=xl/ctrlProps/ctrlProp87.xml><?xml version="1.0" encoding="utf-8"?>
<formControlPr xmlns="http://schemas.microsoft.com/office/spreadsheetml/2009/9/main" objectType="CheckBox" checked="Checked" noThreeD="1" val="0"/>
</file>

<file path=xl/ctrlProps/ctrlProp88.xml><?xml version="1.0" encoding="utf-8"?>
<formControlPr xmlns="http://schemas.microsoft.com/office/spreadsheetml/2009/9/main" objectType="CheckBox" noThreeD="1" val="0"/>
</file>

<file path=xl/ctrlProps/ctrlProp89.xml><?xml version="1.0" encoding="utf-8"?>
<formControlPr xmlns="http://schemas.microsoft.com/office/spreadsheetml/2009/9/main" objectType="CheckBox" noThreeD="1" val="0"/>
</file>

<file path=xl/ctrlProps/ctrlProp90.xml><?xml version="1.0" encoding="utf-8"?>
<formControlPr xmlns="http://schemas.microsoft.com/office/spreadsheetml/2009/9/main" objectType="CheckBox" noThreeD="1" val="0"/>
</file>

<file path=xl/ctrlProps/ctrlProp91.xml><?xml version="1.0" encoding="utf-8"?>
<formControlPr xmlns="http://schemas.microsoft.com/office/spreadsheetml/2009/9/main" objectType="CheckBox" noThreeD="1" val="0"/>
</file>

<file path=xl/ctrlProps/ctrlProp92.xml><?xml version="1.0" encoding="utf-8"?>
<formControlPr xmlns="http://schemas.microsoft.com/office/spreadsheetml/2009/9/main" objectType="CheckBox" checked="Checked" noThreeD="1" val="0"/>
</file>

<file path=xl/ctrlProps/ctrlProp93.xml><?xml version="1.0" encoding="utf-8"?>
<formControlPr xmlns="http://schemas.microsoft.com/office/spreadsheetml/2009/9/main" objectType="CheckBox" noThreeD="1" val="0"/>
</file>

<file path=xl/ctrlProps/ctrlProp94.xml><?xml version="1.0" encoding="utf-8"?>
<formControlPr xmlns="http://schemas.microsoft.com/office/spreadsheetml/2009/9/main" objectType="CheckBox" checked="Checked" noThreeD="1" val="0"/>
</file>

<file path=xl/ctrlProps/ctrlProp95.xml><?xml version="1.0" encoding="utf-8"?>
<formControlPr xmlns="http://schemas.microsoft.com/office/spreadsheetml/2009/9/main" objectType="CheckBox" noThreeD="1" val="0"/>
</file>

<file path=xl/ctrlProps/ctrlProp96.xml><?xml version="1.0" encoding="utf-8"?>
<formControlPr xmlns="http://schemas.microsoft.com/office/spreadsheetml/2009/9/main" objectType="CheckBox" checked="Checked" noThreeD="1" val="0"/>
</file>

<file path=xl/ctrlProps/ctrlProp97.xml><?xml version="1.0" encoding="utf-8"?>
<formControlPr xmlns="http://schemas.microsoft.com/office/spreadsheetml/2009/9/main" objectType="CheckBox" noThreeD="1" val="0"/>
</file>

<file path=xl/ctrlProps/ctrlProp98.xml><?xml version="1.0" encoding="utf-8"?>
<formControlPr xmlns="http://schemas.microsoft.com/office/spreadsheetml/2009/9/main" objectType="CheckBox" noThreeD="1" val="0"/>
</file>

<file path=xl/ctrlProps/ctrlProp99.xml><?xml version="1.0" encoding="utf-8"?>
<formControlPr xmlns="http://schemas.microsoft.com/office/spreadsheetml/2009/9/main" objectType="CheckBox" checked="Checked" noThreeD="1" val="0"/>
</file>

<file path=xl/ctrlProps/ctrlProp100.xml><?xml version="1.0" encoding="utf-8"?>
<formControlPr xmlns="http://schemas.microsoft.com/office/spreadsheetml/2009/9/main" objectType="CheckBox" noThreeD="1" val="0"/>
</file>

<file path=xl/ctrlProps/ctrlProp101.xml><?xml version="1.0" encoding="utf-8"?>
<formControlPr xmlns="http://schemas.microsoft.com/office/spreadsheetml/2009/9/main" objectType="CheckBox" noThreeD="1" val="0"/>
</file>

<file path=xl/ctrlProps/ctrlProp102.xml><?xml version="1.0" encoding="utf-8"?>
<formControlPr xmlns="http://schemas.microsoft.com/office/spreadsheetml/2009/9/main" objectType="CheckBox" noThreeD="1" val="0"/>
</file>

<file path=xl/ctrlProps/ctrlProp103.xml><?xml version="1.0" encoding="utf-8"?>
<formControlPr xmlns="http://schemas.microsoft.com/office/spreadsheetml/2009/9/main" objectType="CheckBox" noThreeD="1" val="0"/>
</file>

<file path=xl/ctrlProps/ctrlProp104.xml><?xml version="1.0" encoding="utf-8"?>
<formControlPr xmlns="http://schemas.microsoft.com/office/spreadsheetml/2009/9/main" objectType="CheckBox" checked="Checked" noThreeD="1" val="0"/>
</file>

<file path=xl/ctrlProps/ctrlProp105.xml><?xml version="1.0" encoding="utf-8"?>
<formControlPr xmlns="http://schemas.microsoft.com/office/spreadsheetml/2009/9/main" objectType="CheckBox" noThreeD="1" val="0"/>
</file>

<file path=xl/ctrlProps/ctrlProp106.xml><?xml version="1.0" encoding="utf-8"?>
<formControlPr xmlns="http://schemas.microsoft.com/office/spreadsheetml/2009/9/main" objectType="CheckBox" noThreeD="1" val="0"/>
</file>

<file path=xl/ctrlProps/ctrlProp107.xml><?xml version="1.0" encoding="utf-8"?>
<formControlPr xmlns="http://schemas.microsoft.com/office/spreadsheetml/2009/9/main" objectType="CheckBox" checked="Checked" noThreeD="1" val="0"/>
</file>

<file path=xl/ctrlProps/ctrlProp108.xml><?xml version="1.0" encoding="utf-8"?>
<formControlPr xmlns="http://schemas.microsoft.com/office/spreadsheetml/2009/9/main" objectType="CheckBox" noThreeD="1" val="0"/>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180975</xdr:colOff>
          <xdr:row>17</xdr:row>
          <xdr:rowOff>133350</xdr:rowOff>
        </xdr:from>
        <xdr:to>
          <xdr:col>1</xdr:col>
          <xdr:colOff>485775</xdr:colOff>
          <xdr:row>17</xdr:row>
          <xdr:rowOff>342900</xdr:rowOff>
        </xdr:to>
        <xdr:sp>
          <xdr:nvSpPr>
            <xdr:cNvPr id="15361" name="Check Box 1" hidden="1">
              <a:extLst>
                <a:ext uri="{63B3BB69-23CF-44E3-9099-C40C66FF867C}">
                  <a14:compatExt spid="_x0000_s15361"/>
                </a:ext>
              </a:extLst>
            </xdr:cNvPr>
            <xdr:cNvSpPr/>
          </xdr:nvSpPr>
          <xdr:spPr>
            <a:xfrm>
              <a:off x="295275" y="66675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18</xdr:row>
          <xdr:rowOff>123825</xdr:rowOff>
        </xdr:from>
        <xdr:to>
          <xdr:col>1</xdr:col>
          <xdr:colOff>485775</xdr:colOff>
          <xdr:row>18</xdr:row>
          <xdr:rowOff>333375</xdr:rowOff>
        </xdr:to>
        <xdr:sp>
          <xdr:nvSpPr>
            <xdr:cNvPr id="15362" name="Check Box 2" hidden="1">
              <a:extLst>
                <a:ext uri="{63B3BB69-23CF-44E3-9099-C40C66FF867C}">
                  <a14:compatExt spid="_x0000_s15362"/>
                </a:ext>
              </a:extLst>
            </xdr:cNvPr>
            <xdr:cNvSpPr/>
          </xdr:nvSpPr>
          <xdr:spPr>
            <a:xfrm>
              <a:off x="295275" y="709612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19</xdr:row>
          <xdr:rowOff>123825</xdr:rowOff>
        </xdr:from>
        <xdr:to>
          <xdr:col>1</xdr:col>
          <xdr:colOff>485775</xdr:colOff>
          <xdr:row>19</xdr:row>
          <xdr:rowOff>333375</xdr:rowOff>
        </xdr:to>
        <xdr:sp>
          <xdr:nvSpPr>
            <xdr:cNvPr id="15363" name="Check Box 3" hidden="1">
              <a:extLst>
                <a:ext uri="{63B3BB69-23CF-44E3-9099-C40C66FF867C}">
                  <a14:compatExt spid="_x0000_s15363"/>
                </a:ext>
              </a:extLst>
            </xdr:cNvPr>
            <xdr:cNvSpPr/>
          </xdr:nvSpPr>
          <xdr:spPr>
            <a:xfrm>
              <a:off x="295275" y="75342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20</xdr:row>
          <xdr:rowOff>123825</xdr:rowOff>
        </xdr:from>
        <xdr:to>
          <xdr:col>1</xdr:col>
          <xdr:colOff>485775</xdr:colOff>
          <xdr:row>20</xdr:row>
          <xdr:rowOff>333375</xdr:rowOff>
        </xdr:to>
        <xdr:sp>
          <xdr:nvSpPr>
            <xdr:cNvPr id="15364" name="Check Box 4" hidden="1">
              <a:extLst>
                <a:ext uri="{63B3BB69-23CF-44E3-9099-C40C66FF867C}">
                  <a14:compatExt spid="_x0000_s15364"/>
                </a:ext>
              </a:extLst>
            </xdr:cNvPr>
            <xdr:cNvSpPr/>
          </xdr:nvSpPr>
          <xdr:spPr>
            <a:xfrm>
              <a:off x="295275" y="797242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21</xdr:row>
          <xdr:rowOff>114300</xdr:rowOff>
        </xdr:from>
        <xdr:to>
          <xdr:col>1</xdr:col>
          <xdr:colOff>485775</xdr:colOff>
          <xdr:row>21</xdr:row>
          <xdr:rowOff>323850</xdr:rowOff>
        </xdr:to>
        <xdr:sp>
          <xdr:nvSpPr>
            <xdr:cNvPr id="15365" name="Check Box 5" hidden="1">
              <a:extLst>
                <a:ext uri="{63B3BB69-23CF-44E3-9099-C40C66FF867C}">
                  <a14:compatExt spid="_x0000_s15365"/>
                </a:ext>
              </a:extLst>
            </xdr:cNvPr>
            <xdr:cNvSpPr/>
          </xdr:nvSpPr>
          <xdr:spPr>
            <a:xfrm>
              <a:off x="295275" y="84010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17</xdr:row>
          <xdr:rowOff>133350</xdr:rowOff>
        </xdr:from>
        <xdr:to>
          <xdr:col>6</xdr:col>
          <xdr:colOff>19050</xdr:colOff>
          <xdr:row>17</xdr:row>
          <xdr:rowOff>342900</xdr:rowOff>
        </xdr:to>
        <xdr:sp>
          <xdr:nvSpPr>
            <xdr:cNvPr id="15366" name="Check Box 6" hidden="1">
              <a:extLst>
                <a:ext uri="{63B3BB69-23CF-44E3-9099-C40C66FF867C}">
                  <a14:compatExt spid="_x0000_s15366"/>
                </a:ext>
              </a:extLst>
            </xdr:cNvPr>
            <xdr:cNvSpPr/>
          </xdr:nvSpPr>
          <xdr:spPr>
            <a:xfrm>
              <a:off x="3562350" y="66675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18</xdr:row>
          <xdr:rowOff>123825</xdr:rowOff>
        </xdr:from>
        <xdr:to>
          <xdr:col>6</xdr:col>
          <xdr:colOff>19050</xdr:colOff>
          <xdr:row>18</xdr:row>
          <xdr:rowOff>333375</xdr:rowOff>
        </xdr:to>
        <xdr:sp>
          <xdr:nvSpPr>
            <xdr:cNvPr id="15367" name="Check Box 7" hidden="1">
              <a:extLst>
                <a:ext uri="{63B3BB69-23CF-44E3-9099-C40C66FF867C}">
                  <a14:compatExt spid="_x0000_s15367"/>
                </a:ext>
              </a:extLst>
            </xdr:cNvPr>
            <xdr:cNvSpPr/>
          </xdr:nvSpPr>
          <xdr:spPr>
            <a:xfrm>
              <a:off x="3562350" y="709612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19</xdr:row>
          <xdr:rowOff>123825</xdr:rowOff>
        </xdr:from>
        <xdr:to>
          <xdr:col>6</xdr:col>
          <xdr:colOff>19050</xdr:colOff>
          <xdr:row>19</xdr:row>
          <xdr:rowOff>333375</xdr:rowOff>
        </xdr:to>
        <xdr:sp>
          <xdr:nvSpPr>
            <xdr:cNvPr id="15368" name="Check Box 8" hidden="1">
              <a:extLst>
                <a:ext uri="{63B3BB69-23CF-44E3-9099-C40C66FF867C}">
                  <a14:compatExt spid="_x0000_s15368"/>
                </a:ext>
              </a:extLst>
            </xdr:cNvPr>
            <xdr:cNvSpPr/>
          </xdr:nvSpPr>
          <xdr:spPr>
            <a:xfrm>
              <a:off x="3562350" y="75342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180975</xdr:colOff>
          <xdr:row>16</xdr:row>
          <xdr:rowOff>133350</xdr:rowOff>
        </xdr:from>
        <xdr:to>
          <xdr:col>1</xdr:col>
          <xdr:colOff>485775</xdr:colOff>
          <xdr:row>16</xdr:row>
          <xdr:rowOff>342900</xdr:rowOff>
        </xdr:to>
        <xdr:sp>
          <xdr:nvSpPr>
            <xdr:cNvPr id="3077" name="Check Box 5" hidden="1">
              <a:extLst>
                <a:ext uri="{63B3BB69-23CF-44E3-9099-C40C66FF867C}">
                  <a14:compatExt spid="_x0000_s3077"/>
                </a:ext>
              </a:extLst>
            </xdr:cNvPr>
            <xdr:cNvSpPr/>
          </xdr:nvSpPr>
          <xdr:spPr>
            <a:xfrm>
              <a:off x="295275" y="62293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17</xdr:row>
          <xdr:rowOff>123825</xdr:rowOff>
        </xdr:from>
        <xdr:to>
          <xdr:col>1</xdr:col>
          <xdr:colOff>485775</xdr:colOff>
          <xdr:row>17</xdr:row>
          <xdr:rowOff>333375</xdr:rowOff>
        </xdr:to>
        <xdr:sp>
          <xdr:nvSpPr>
            <xdr:cNvPr id="3078" name="Check Box 6" hidden="1">
              <a:extLst>
                <a:ext uri="{63B3BB69-23CF-44E3-9099-C40C66FF867C}">
                  <a14:compatExt spid="_x0000_s3078"/>
                </a:ext>
              </a:extLst>
            </xdr:cNvPr>
            <xdr:cNvSpPr/>
          </xdr:nvSpPr>
          <xdr:spPr>
            <a:xfrm>
              <a:off x="295275" y="66579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18</xdr:row>
          <xdr:rowOff>123825</xdr:rowOff>
        </xdr:from>
        <xdr:to>
          <xdr:col>1</xdr:col>
          <xdr:colOff>485775</xdr:colOff>
          <xdr:row>18</xdr:row>
          <xdr:rowOff>333375</xdr:rowOff>
        </xdr:to>
        <xdr:sp>
          <xdr:nvSpPr>
            <xdr:cNvPr id="3079" name="Check Box 7" hidden="1">
              <a:extLst>
                <a:ext uri="{63B3BB69-23CF-44E3-9099-C40C66FF867C}">
                  <a14:compatExt spid="_x0000_s3079"/>
                </a:ext>
              </a:extLst>
            </xdr:cNvPr>
            <xdr:cNvSpPr/>
          </xdr:nvSpPr>
          <xdr:spPr>
            <a:xfrm>
              <a:off x="295275" y="709612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19</xdr:row>
          <xdr:rowOff>123825</xdr:rowOff>
        </xdr:from>
        <xdr:to>
          <xdr:col>1</xdr:col>
          <xdr:colOff>485775</xdr:colOff>
          <xdr:row>19</xdr:row>
          <xdr:rowOff>333375</xdr:rowOff>
        </xdr:to>
        <xdr:sp>
          <xdr:nvSpPr>
            <xdr:cNvPr id="3080" name="Check Box 8" hidden="1">
              <a:extLst>
                <a:ext uri="{63B3BB69-23CF-44E3-9099-C40C66FF867C}">
                  <a14:compatExt spid="_x0000_s3080"/>
                </a:ext>
              </a:extLst>
            </xdr:cNvPr>
            <xdr:cNvSpPr/>
          </xdr:nvSpPr>
          <xdr:spPr>
            <a:xfrm>
              <a:off x="295275" y="75342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20</xdr:row>
          <xdr:rowOff>114300</xdr:rowOff>
        </xdr:from>
        <xdr:to>
          <xdr:col>1</xdr:col>
          <xdr:colOff>485775</xdr:colOff>
          <xdr:row>20</xdr:row>
          <xdr:rowOff>323850</xdr:rowOff>
        </xdr:to>
        <xdr:sp>
          <xdr:nvSpPr>
            <xdr:cNvPr id="3081" name="Check Box 9" hidden="1">
              <a:extLst>
                <a:ext uri="{63B3BB69-23CF-44E3-9099-C40C66FF867C}">
                  <a14:compatExt spid="_x0000_s3081"/>
                </a:ext>
              </a:extLst>
            </xdr:cNvPr>
            <xdr:cNvSpPr/>
          </xdr:nvSpPr>
          <xdr:spPr>
            <a:xfrm>
              <a:off x="295275" y="79629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16</xdr:row>
          <xdr:rowOff>133350</xdr:rowOff>
        </xdr:from>
        <xdr:to>
          <xdr:col>6</xdr:col>
          <xdr:colOff>19050</xdr:colOff>
          <xdr:row>16</xdr:row>
          <xdr:rowOff>342900</xdr:rowOff>
        </xdr:to>
        <xdr:sp>
          <xdr:nvSpPr>
            <xdr:cNvPr id="3083" name="Check Box 11" hidden="1">
              <a:extLst>
                <a:ext uri="{63B3BB69-23CF-44E3-9099-C40C66FF867C}">
                  <a14:compatExt spid="_x0000_s3083"/>
                </a:ext>
              </a:extLst>
            </xdr:cNvPr>
            <xdr:cNvSpPr/>
          </xdr:nvSpPr>
          <xdr:spPr>
            <a:xfrm>
              <a:off x="3562350" y="62293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17</xdr:row>
          <xdr:rowOff>123825</xdr:rowOff>
        </xdr:from>
        <xdr:to>
          <xdr:col>6</xdr:col>
          <xdr:colOff>19050</xdr:colOff>
          <xdr:row>17</xdr:row>
          <xdr:rowOff>333375</xdr:rowOff>
        </xdr:to>
        <xdr:sp>
          <xdr:nvSpPr>
            <xdr:cNvPr id="3084" name="Check Box 12" hidden="1">
              <a:extLst>
                <a:ext uri="{63B3BB69-23CF-44E3-9099-C40C66FF867C}">
                  <a14:compatExt spid="_x0000_s3084"/>
                </a:ext>
              </a:extLst>
            </xdr:cNvPr>
            <xdr:cNvSpPr/>
          </xdr:nvSpPr>
          <xdr:spPr>
            <a:xfrm>
              <a:off x="3562350" y="66579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18</xdr:row>
          <xdr:rowOff>123825</xdr:rowOff>
        </xdr:from>
        <xdr:to>
          <xdr:col>6</xdr:col>
          <xdr:colOff>19050</xdr:colOff>
          <xdr:row>18</xdr:row>
          <xdr:rowOff>333375</xdr:rowOff>
        </xdr:to>
        <xdr:sp>
          <xdr:nvSpPr>
            <xdr:cNvPr id="3085" name="Check Box 13" hidden="1">
              <a:extLst>
                <a:ext uri="{63B3BB69-23CF-44E3-9099-C40C66FF867C}">
                  <a14:compatExt spid="_x0000_s3085"/>
                </a:ext>
              </a:extLst>
            </xdr:cNvPr>
            <xdr:cNvSpPr/>
          </xdr:nvSpPr>
          <xdr:spPr>
            <a:xfrm>
              <a:off x="3562350" y="709612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4</xdr:col>
          <xdr:colOff>228600</xdr:colOff>
          <xdr:row>2</xdr:row>
          <xdr:rowOff>9525</xdr:rowOff>
        </xdr:from>
        <xdr:to>
          <xdr:col>4</xdr:col>
          <xdr:colOff>533400</xdr:colOff>
          <xdr:row>4</xdr:row>
          <xdr:rowOff>9525</xdr:rowOff>
        </xdr:to>
        <xdr:sp>
          <xdr:nvSpPr>
            <xdr:cNvPr id="26625" name="Check Box 1" hidden="1">
              <a:extLst>
                <a:ext uri="{63B3BB69-23CF-44E3-9099-C40C66FF867C}">
                  <a14:compatExt spid="_x0000_s26625"/>
                </a:ext>
              </a:extLst>
            </xdr:cNvPr>
            <xdr:cNvSpPr/>
          </xdr:nvSpPr>
          <xdr:spPr>
            <a:xfrm>
              <a:off x="3505200" y="495300"/>
              <a:ext cx="304800" cy="3238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xdr:row>
          <xdr:rowOff>9525</xdr:rowOff>
        </xdr:from>
        <xdr:to>
          <xdr:col>5</xdr:col>
          <xdr:colOff>304800</xdr:colOff>
          <xdr:row>4</xdr:row>
          <xdr:rowOff>9525</xdr:rowOff>
        </xdr:to>
        <xdr:sp>
          <xdr:nvSpPr>
            <xdr:cNvPr id="26626" name="Check Box 2" hidden="1">
              <a:extLst>
                <a:ext uri="{63B3BB69-23CF-44E3-9099-C40C66FF867C}">
                  <a14:compatExt spid="_x0000_s26626"/>
                </a:ext>
              </a:extLst>
            </xdr:cNvPr>
            <xdr:cNvSpPr/>
          </xdr:nvSpPr>
          <xdr:spPr>
            <a:xfrm>
              <a:off x="4429125" y="495300"/>
              <a:ext cx="304800" cy="3238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4</xdr:col>
          <xdr:colOff>228600</xdr:colOff>
          <xdr:row>2</xdr:row>
          <xdr:rowOff>9525</xdr:rowOff>
        </xdr:from>
        <xdr:to>
          <xdr:col>4</xdr:col>
          <xdr:colOff>533400</xdr:colOff>
          <xdr:row>4</xdr:row>
          <xdr:rowOff>9525</xdr:rowOff>
        </xdr:to>
        <xdr:sp>
          <xdr:nvSpPr>
            <xdr:cNvPr id="25608" name="Check Box 8" hidden="1">
              <a:extLst>
                <a:ext uri="{63B3BB69-23CF-44E3-9099-C40C66FF867C}">
                  <a14:compatExt spid="_x0000_s25608"/>
                </a:ext>
              </a:extLst>
            </xdr:cNvPr>
            <xdr:cNvSpPr/>
          </xdr:nvSpPr>
          <xdr:spPr>
            <a:xfrm>
              <a:off x="3505200" y="495300"/>
              <a:ext cx="304800" cy="3238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xdr:row>
          <xdr:rowOff>9525</xdr:rowOff>
        </xdr:from>
        <xdr:to>
          <xdr:col>5</xdr:col>
          <xdr:colOff>304800</xdr:colOff>
          <xdr:row>4</xdr:row>
          <xdr:rowOff>9525</xdr:rowOff>
        </xdr:to>
        <xdr:sp>
          <xdr:nvSpPr>
            <xdr:cNvPr id="25609" name="Check Box 9" hidden="1">
              <a:extLst>
                <a:ext uri="{63B3BB69-23CF-44E3-9099-C40C66FF867C}">
                  <a14:compatExt spid="_x0000_s25609"/>
                </a:ext>
              </a:extLst>
            </xdr:cNvPr>
            <xdr:cNvSpPr/>
          </xdr:nvSpPr>
          <xdr:spPr>
            <a:xfrm>
              <a:off x="4429125" y="495300"/>
              <a:ext cx="304800" cy="3238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6</xdr:col>
          <xdr:colOff>171450</xdr:colOff>
          <xdr:row>1</xdr:row>
          <xdr:rowOff>171450</xdr:rowOff>
        </xdr:from>
        <xdr:to>
          <xdr:col>6</xdr:col>
          <xdr:colOff>895350</xdr:colOff>
          <xdr:row>3</xdr:row>
          <xdr:rowOff>28575</xdr:rowOff>
        </xdr:to>
        <xdr:sp>
          <xdr:nvSpPr>
            <xdr:cNvPr id="20481" name="Check Box 1" hidden="1">
              <a:extLst>
                <a:ext uri="{63B3BB69-23CF-44E3-9099-C40C66FF867C}">
                  <a14:compatExt spid="_x0000_s20481"/>
                </a:ext>
              </a:extLst>
            </xdr:cNvPr>
            <xdr:cNvSpPr/>
          </xdr:nvSpPr>
          <xdr:spPr>
            <a:xfrm>
              <a:off x="7296150" y="409575"/>
              <a:ext cx="723900" cy="190500"/>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Arrival</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xdr:row>
          <xdr:rowOff>171450</xdr:rowOff>
        </xdr:from>
        <xdr:to>
          <xdr:col>7</xdr:col>
          <xdr:colOff>923925</xdr:colOff>
          <xdr:row>3</xdr:row>
          <xdr:rowOff>28575</xdr:rowOff>
        </xdr:to>
        <xdr:sp>
          <xdr:nvSpPr>
            <xdr:cNvPr id="20482" name="Check Box 2" hidden="1">
              <a:extLst>
                <a:ext uri="{63B3BB69-23CF-44E3-9099-C40C66FF867C}">
                  <a14:compatExt spid="_x0000_s20482"/>
                </a:ext>
              </a:extLst>
            </xdr:cNvPr>
            <xdr:cNvSpPr/>
          </xdr:nvSpPr>
          <xdr:spPr>
            <a:xfrm>
              <a:off x="8134350" y="409575"/>
              <a:ext cx="866775" cy="190500"/>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Departure</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171450</xdr:colOff>
          <xdr:row>1</xdr:row>
          <xdr:rowOff>171450</xdr:rowOff>
        </xdr:from>
        <xdr:to>
          <xdr:col>6</xdr:col>
          <xdr:colOff>895350</xdr:colOff>
          <xdr:row>3</xdr:row>
          <xdr:rowOff>28575</xdr:rowOff>
        </xdr:to>
        <xdr:sp>
          <xdr:nvSpPr>
            <xdr:cNvPr id="20483" name="Check Box 3" hidden="1">
              <a:extLst>
                <a:ext uri="{63B3BB69-23CF-44E3-9099-C40C66FF867C}">
                  <a14:compatExt spid="_x0000_s20483"/>
                </a:ext>
              </a:extLst>
            </xdr:cNvPr>
            <xdr:cNvSpPr/>
          </xdr:nvSpPr>
          <xdr:spPr>
            <a:xfrm>
              <a:off x="7296150" y="409575"/>
              <a:ext cx="723900" cy="190500"/>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Arrival</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xdr:row>
          <xdr:rowOff>171450</xdr:rowOff>
        </xdr:from>
        <xdr:to>
          <xdr:col>7</xdr:col>
          <xdr:colOff>923925</xdr:colOff>
          <xdr:row>3</xdr:row>
          <xdr:rowOff>28575</xdr:rowOff>
        </xdr:to>
        <xdr:sp>
          <xdr:nvSpPr>
            <xdr:cNvPr id="20484" name="Check Box 4" hidden="1">
              <a:extLst>
                <a:ext uri="{63B3BB69-23CF-44E3-9099-C40C66FF867C}">
                  <a14:compatExt spid="_x0000_s20484"/>
                </a:ext>
              </a:extLst>
            </xdr:cNvPr>
            <xdr:cNvSpPr/>
          </xdr:nvSpPr>
          <xdr:spPr>
            <a:xfrm>
              <a:off x="8134350" y="409575"/>
              <a:ext cx="866775" cy="190500"/>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Departure</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xdr:wsDr>
</file>

<file path=xl/drawings/drawing6.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6</xdr:col>
          <xdr:colOff>171450</xdr:colOff>
          <xdr:row>1</xdr:row>
          <xdr:rowOff>171450</xdr:rowOff>
        </xdr:from>
        <xdr:to>
          <xdr:col>6</xdr:col>
          <xdr:colOff>895350</xdr:colOff>
          <xdr:row>3</xdr:row>
          <xdr:rowOff>28575</xdr:rowOff>
        </xdr:to>
        <xdr:sp>
          <xdr:nvSpPr>
            <xdr:cNvPr id="21505" name="Check Box 1" hidden="1">
              <a:extLst>
                <a:ext uri="{63B3BB69-23CF-44E3-9099-C40C66FF867C}">
                  <a14:compatExt spid="_x0000_s21505"/>
                </a:ext>
              </a:extLst>
            </xdr:cNvPr>
            <xdr:cNvSpPr/>
          </xdr:nvSpPr>
          <xdr:spPr>
            <a:xfrm>
              <a:off x="7019925" y="409575"/>
              <a:ext cx="723900" cy="190500"/>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Arrival</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xdr:row>
          <xdr:rowOff>171450</xdr:rowOff>
        </xdr:from>
        <xdr:to>
          <xdr:col>7</xdr:col>
          <xdr:colOff>923925</xdr:colOff>
          <xdr:row>3</xdr:row>
          <xdr:rowOff>28575</xdr:rowOff>
        </xdr:to>
        <xdr:sp>
          <xdr:nvSpPr>
            <xdr:cNvPr id="21506" name="Check Box 2" hidden="1">
              <a:extLst>
                <a:ext uri="{63B3BB69-23CF-44E3-9099-C40C66FF867C}">
                  <a14:compatExt spid="_x0000_s21506"/>
                </a:ext>
              </a:extLst>
            </xdr:cNvPr>
            <xdr:cNvSpPr/>
          </xdr:nvSpPr>
          <xdr:spPr>
            <a:xfrm>
              <a:off x="7858125" y="409575"/>
              <a:ext cx="866775" cy="190500"/>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Departure</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171450</xdr:colOff>
          <xdr:row>1</xdr:row>
          <xdr:rowOff>171450</xdr:rowOff>
        </xdr:from>
        <xdr:to>
          <xdr:col>6</xdr:col>
          <xdr:colOff>895350</xdr:colOff>
          <xdr:row>3</xdr:row>
          <xdr:rowOff>28575</xdr:rowOff>
        </xdr:to>
        <xdr:sp>
          <xdr:nvSpPr>
            <xdr:cNvPr id="21507" name="Check Box 3" hidden="1">
              <a:extLst>
                <a:ext uri="{63B3BB69-23CF-44E3-9099-C40C66FF867C}">
                  <a14:compatExt spid="_x0000_s21507"/>
                </a:ext>
              </a:extLst>
            </xdr:cNvPr>
            <xdr:cNvSpPr/>
          </xdr:nvSpPr>
          <xdr:spPr>
            <a:xfrm>
              <a:off x="7019925" y="409575"/>
              <a:ext cx="723900" cy="190500"/>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Arrival</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xdr:row>
          <xdr:rowOff>171450</xdr:rowOff>
        </xdr:from>
        <xdr:to>
          <xdr:col>7</xdr:col>
          <xdr:colOff>923925</xdr:colOff>
          <xdr:row>3</xdr:row>
          <xdr:rowOff>28575</xdr:rowOff>
        </xdr:to>
        <xdr:sp>
          <xdr:nvSpPr>
            <xdr:cNvPr id="21508" name="Check Box 4" hidden="1">
              <a:extLst>
                <a:ext uri="{63B3BB69-23CF-44E3-9099-C40C66FF867C}">
                  <a14:compatExt spid="_x0000_s21508"/>
                </a:ext>
              </a:extLst>
            </xdr:cNvPr>
            <xdr:cNvSpPr/>
          </xdr:nvSpPr>
          <xdr:spPr>
            <a:xfrm>
              <a:off x="7858125" y="409575"/>
              <a:ext cx="866775" cy="190500"/>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Departure</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114300</xdr:colOff>
      <xdr:row>0</xdr:row>
      <xdr:rowOff>57150</xdr:rowOff>
    </xdr:from>
    <xdr:to>
      <xdr:col>3</xdr:col>
      <xdr:colOff>361950</xdr:colOff>
      <xdr:row>5</xdr:row>
      <xdr:rowOff>32329</xdr:rowOff>
    </xdr:to>
    <xdr:pic>
      <xdr:nvPicPr>
        <xdr:cNvPr id="3" name="图片 2" descr="关徽"/>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4300" y="57150"/>
          <a:ext cx="742950" cy="688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7</xdr:col>
          <xdr:colOff>238125</xdr:colOff>
          <xdr:row>12</xdr:row>
          <xdr:rowOff>161925</xdr:rowOff>
        </xdr:from>
        <xdr:to>
          <xdr:col>8</xdr:col>
          <xdr:colOff>57150</xdr:colOff>
          <xdr:row>14</xdr:row>
          <xdr:rowOff>28575</xdr:rowOff>
        </xdr:to>
        <xdr:sp>
          <xdr:nvSpPr>
            <xdr:cNvPr id="37889" name="Check Box 1" hidden="1">
              <a:extLst>
                <a:ext uri="{63B3BB69-23CF-44E3-9099-C40C66FF867C}">
                  <a14:compatExt spid="_x0000_s37889"/>
                </a:ext>
              </a:extLst>
            </xdr:cNvPr>
            <xdr:cNvSpPr/>
          </xdr:nvSpPr>
          <xdr:spPr>
            <a:xfrm>
              <a:off x="5114925" y="244792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238125</xdr:colOff>
          <xdr:row>13</xdr:row>
          <xdr:rowOff>152400</xdr:rowOff>
        </xdr:from>
        <xdr:to>
          <xdr:col>8</xdr:col>
          <xdr:colOff>57150</xdr:colOff>
          <xdr:row>15</xdr:row>
          <xdr:rowOff>19050</xdr:rowOff>
        </xdr:to>
        <xdr:sp>
          <xdr:nvSpPr>
            <xdr:cNvPr id="37890" name="Check Box 2" hidden="1">
              <a:extLst>
                <a:ext uri="{63B3BB69-23CF-44E3-9099-C40C66FF867C}">
                  <a14:compatExt spid="_x0000_s37890"/>
                </a:ext>
              </a:extLst>
            </xdr:cNvPr>
            <xdr:cNvSpPr/>
          </xdr:nvSpPr>
          <xdr:spPr>
            <a:xfrm>
              <a:off x="5114925" y="26098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twoCellAnchor>
    <xdr:from>
      <xdr:col>0</xdr:col>
      <xdr:colOff>466725</xdr:colOff>
      <xdr:row>0</xdr:row>
      <xdr:rowOff>154305</xdr:rowOff>
    </xdr:from>
    <xdr:to>
      <xdr:col>1</xdr:col>
      <xdr:colOff>495300</xdr:colOff>
      <xdr:row>4</xdr:row>
      <xdr:rowOff>68580</xdr:rowOff>
    </xdr:to>
    <xdr:pic>
      <xdr:nvPicPr>
        <xdr:cNvPr id="2" name="图片 1" descr="关徽"/>
        <xdr:cNvPicPr>
          <a:picLocks noChangeAspect="1"/>
        </xdr:cNvPicPr>
      </xdr:nvPicPr>
      <xdr:blipFill>
        <a:blip r:embed="rId1"/>
        <a:stretch>
          <a:fillRect/>
        </a:stretch>
      </xdr:blipFill>
      <xdr:spPr>
        <a:xfrm>
          <a:off x="466725" y="154305"/>
          <a:ext cx="790575" cy="79057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8</xdr:col>
          <xdr:colOff>266700</xdr:colOff>
          <xdr:row>7</xdr:row>
          <xdr:rowOff>276225</xdr:rowOff>
        </xdr:from>
        <xdr:to>
          <xdr:col>11</xdr:col>
          <xdr:colOff>47625</xdr:colOff>
          <xdr:row>9</xdr:row>
          <xdr:rowOff>9525</xdr:rowOff>
        </xdr:to>
        <xdr:sp>
          <xdr:nvSpPr>
            <xdr:cNvPr id="48129" name="Check Box 1" hidden="1">
              <a:extLst>
                <a:ext uri="{63B3BB69-23CF-44E3-9099-C40C66FF867C}">
                  <a14:compatExt spid="_x0000_s48129"/>
                </a:ext>
              </a:extLst>
            </xdr:cNvPr>
            <xdr:cNvSpPr/>
          </xdr:nvSpPr>
          <xdr:spPr>
            <a:xfrm>
              <a:off x="2514600" y="246697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7</xdr:row>
          <xdr:rowOff>276225</xdr:rowOff>
        </xdr:from>
        <xdr:to>
          <xdr:col>14</xdr:col>
          <xdr:colOff>0</xdr:colOff>
          <xdr:row>9</xdr:row>
          <xdr:rowOff>9525</xdr:rowOff>
        </xdr:to>
        <xdr:sp>
          <xdr:nvSpPr>
            <xdr:cNvPr id="48130" name="Check Box 2" hidden="1">
              <a:extLst>
                <a:ext uri="{63B3BB69-23CF-44E3-9099-C40C66FF867C}">
                  <a14:compatExt spid="_x0000_s48130"/>
                </a:ext>
              </a:extLst>
            </xdr:cNvPr>
            <xdr:cNvSpPr/>
          </xdr:nvSpPr>
          <xdr:spPr>
            <a:xfrm>
              <a:off x="3086100" y="246697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7</xdr:row>
          <xdr:rowOff>285750</xdr:rowOff>
        </xdr:from>
        <xdr:to>
          <xdr:col>25</xdr:col>
          <xdr:colOff>76200</xdr:colOff>
          <xdr:row>9</xdr:row>
          <xdr:rowOff>19050</xdr:rowOff>
        </xdr:to>
        <xdr:sp>
          <xdr:nvSpPr>
            <xdr:cNvPr id="48131" name="Check Box 3" hidden="1">
              <a:extLst>
                <a:ext uri="{63B3BB69-23CF-44E3-9099-C40C66FF867C}">
                  <a14:compatExt spid="_x0000_s48131"/>
                </a:ext>
              </a:extLst>
            </xdr:cNvPr>
            <xdr:cNvSpPr/>
          </xdr:nvSpPr>
          <xdr:spPr>
            <a:xfrm>
              <a:off x="6000750" y="24765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xdr:colOff>
          <xdr:row>7</xdr:row>
          <xdr:rowOff>285750</xdr:rowOff>
        </xdr:from>
        <xdr:to>
          <xdr:col>29</xdr:col>
          <xdr:colOff>19050</xdr:colOff>
          <xdr:row>9</xdr:row>
          <xdr:rowOff>19050</xdr:rowOff>
        </xdr:to>
        <xdr:sp>
          <xdr:nvSpPr>
            <xdr:cNvPr id="48132" name="Check Box 4" hidden="1">
              <a:extLst>
                <a:ext uri="{63B3BB69-23CF-44E3-9099-C40C66FF867C}">
                  <a14:compatExt spid="_x0000_s48132"/>
                </a:ext>
              </a:extLst>
            </xdr:cNvPr>
            <xdr:cNvSpPr/>
          </xdr:nvSpPr>
          <xdr:spPr>
            <a:xfrm>
              <a:off x="6696075" y="24765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9</xdr:row>
          <xdr:rowOff>295275</xdr:rowOff>
        </xdr:from>
        <xdr:to>
          <xdr:col>11</xdr:col>
          <xdr:colOff>66675</xdr:colOff>
          <xdr:row>11</xdr:row>
          <xdr:rowOff>28575</xdr:rowOff>
        </xdr:to>
        <xdr:sp>
          <xdr:nvSpPr>
            <xdr:cNvPr id="48133" name="Check Box 5" hidden="1">
              <a:extLst>
                <a:ext uri="{63B3BB69-23CF-44E3-9099-C40C66FF867C}">
                  <a14:compatExt spid="_x0000_s48133"/>
                </a:ext>
              </a:extLst>
            </xdr:cNvPr>
            <xdr:cNvSpPr/>
          </xdr:nvSpPr>
          <xdr:spPr>
            <a:xfrm>
              <a:off x="2533650" y="30956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9</xdr:row>
          <xdr:rowOff>295275</xdr:rowOff>
        </xdr:from>
        <xdr:to>
          <xdr:col>14</xdr:col>
          <xdr:colOff>333375</xdr:colOff>
          <xdr:row>11</xdr:row>
          <xdr:rowOff>28575</xdr:rowOff>
        </xdr:to>
        <xdr:sp>
          <xdr:nvSpPr>
            <xdr:cNvPr id="48134" name="Check Box 6" hidden="1">
              <a:extLst>
                <a:ext uri="{63B3BB69-23CF-44E3-9099-C40C66FF867C}">
                  <a14:compatExt spid="_x0000_s48134"/>
                </a:ext>
              </a:extLst>
            </xdr:cNvPr>
            <xdr:cNvSpPr/>
          </xdr:nvSpPr>
          <xdr:spPr>
            <a:xfrm>
              <a:off x="3419475" y="30956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28575</xdr:colOff>
          <xdr:row>9</xdr:row>
          <xdr:rowOff>295275</xdr:rowOff>
        </xdr:from>
        <xdr:to>
          <xdr:col>20</xdr:col>
          <xdr:colOff>333375</xdr:colOff>
          <xdr:row>11</xdr:row>
          <xdr:rowOff>28575</xdr:rowOff>
        </xdr:to>
        <xdr:sp>
          <xdr:nvSpPr>
            <xdr:cNvPr id="48135" name="Check Box 7" hidden="1">
              <a:extLst>
                <a:ext uri="{63B3BB69-23CF-44E3-9099-C40C66FF867C}">
                  <a14:compatExt spid="_x0000_s48135"/>
                </a:ext>
              </a:extLst>
            </xdr:cNvPr>
            <xdr:cNvSpPr/>
          </xdr:nvSpPr>
          <xdr:spPr>
            <a:xfrm>
              <a:off x="5095875" y="30956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133350</xdr:colOff>
          <xdr:row>9</xdr:row>
          <xdr:rowOff>295275</xdr:rowOff>
        </xdr:from>
        <xdr:to>
          <xdr:col>29</xdr:col>
          <xdr:colOff>142875</xdr:colOff>
          <xdr:row>11</xdr:row>
          <xdr:rowOff>28575</xdr:rowOff>
        </xdr:to>
        <xdr:sp>
          <xdr:nvSpPr>
            <xdr:cNvPr id="48136" name="Check Box 8" hidden="1">
              <a:extLst>
                <a:ext uri="{63B3BB69-23CF-44E3-9099-C40C66FF867C}">
                  <a14:compatExt spid="_x0000_s48136"/>
                </a:ext>
              </a:extLst>
            </xdr:cNvPr>
            <xdr:cNvSpPr/>
          </xdr:nvSpPr>
          <xdr:spPr>
            <a:xfrm>
              <a:off x="6819900" y="30956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133350</xdr:colOff>
          <xdr:row>10</xdr:row>
          <xdr:rowOff>295275</xdr:rowOff>
        </xdr:from>
        <xdr:to>
          <xdr:col>29</xdr:col>
          <xdr:colOff>142875</xdr:colOff>
          <xdr:row>12</xdr:row>
          <xdr:rowOff>28575</xdr:rowOff>
        </xdr:to>
        <xdr:sp>
          <xdr:nvSpPr>
            <xdr:cNvPr id="48137" name="Check Box 9" hidden="1">
              <a:extLst>
                <a:ext uri="{63B3BB69-23CF-44E3-9099-C40C66FF867C}">
                  <a14:compatExt spid="_x0000_s48137"/>
                </a:ext>
              </a:extLst>
            </xdr:cNvPr>
            <xdr:cNvSpPr/>
          </xdr:nvSpPr>
          <xdr:spPr>
            <a:xfrm>
              <a:off x="6819900" y="34004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10</xdr:row>
          <xdr:rowOff>295275</xdr:rowOff>
        </xdr:from>
        <xdr:to>
          <xdr:col>20</xdr:col>
          <xdr:colOff>342900</xdr:colOff>
          <xdr:row>12</xdr:row>
          <xdr:rowOff>28575</xdr:rowOff>
        </xdr:to>
        <xdr:sp>
          <xdr:nvSpPr>
            <xdr:cNvPr id="48138" name="Check Box 10" hidden="1">
              <a:extLst>
                <a:ext uri="{63B3BB69-23CF-44E3-9099-C40C66FF867C}">
                  <a14:compatExt spid="_x0000_s48138"/>
                </a:ext>
              </a:extLst>
            </xdr:cNvPr>
            <xdr:cNvSpPr/>
          </xdr:nvSpPr>
          <xdr:spPr>
            <a:xfrm>
              <a:off x="5105400" y="34004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10</xdr:row>
          <xdr:rowOff>295275</xdr:rowOff>
        </xdr:from>
        <xdr:to>
          <xdr:col>14</xdr:col>
          <xdr:colOff>333375</xdr:colOff>
          <xdr:row>12</xdr:row>
          <xdr:rowOff>28575</xdr:rowOff>
        </xdr:to>
        <xdr:sp>
          <xdr:nvSpPr>
            <xdr:cNvPr id="48139" name="Check Box 11" hidden="1">
              <a:extLst>
                <a:ext uri="{63B3BB69-23CF-44E3-9099-C40C66FF867C}">
                  <a14:compatExt spid="_x0000_s48139"/>
                </a:ext>
              </a:extLst>
            </xdr:cNvPr>
            <xdr:cNvSpPr/>
          </xdr:nvSpPr>
          <xdr:spPr>
            <a:xfrm>
              <a:off x="3419475" y="34004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10</xdr:row>
          <xdr:rowOff>295275</xdr:rowOff>
        </xdr:from>
        <xdr:to>
          <xdr:col>11</xdr:col>
          <xdr:colOff>66675</xdr:colOff>
          <xdr:row>12</xdr:row>
          <xdr:rowOff>28575</xdr:rowOff>
        </xdr:to>
        <xdr:sp>
          <xdr:nvSpPr>
            <xdr:cNvPr id="48140" name="Check Box 12" hidden="1">
              <a:extLst>
                <a:ext uri="{63B3BB69-23CF-44E3-9099-C40C66FF867C}">
                  <a14:compatExt spid="_x0000_s48140"/>
                </a:ext>
              </a:extLst>
            </xdr:cNvPr>
            <xdr:cNvSpPr/>
          </xdr:nvSpPr>
          <xdr:spPr>
            <a:xfrm>
              <a:off x="2533650" y="34004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15</xdr:row>
          <xdr:rowOff>295275</xdr:rowOff>
        </xdr:from>
        <xdr:to>
          <xdr:col>12</xdr:col>
          <xdr:colOff>85725</xdr:colOff>
          <xdr:row>17</xdr:row>
          <xdr:rowOff>28575</xdr:rowOff>
        </xdr:to>
        <xdr:sp>
          <xdr:nvSpPr>
            <xdr:cNvPr id="48141" name="Check Box 13" hidden="1">
              <a:extLst>
                <a:ext uri="{63B3BB69-23CF-44E3-9099-C40C66FF867C}">
                  <a14:compatExt spid="_x0000_s48141"/>
                </a:ext>
              </a:extLst>
            </xdr:cNvPr>
            <xdr:cNvSpPr/>
          </xdr:nvSpPr>
          <xdr:spPr>
            <a:xfrm>
              <a:off x="2790825" y="49244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238125</xdr:colOff>
          <xdr:row>16</xdr:row>
          <xdr:rowOff>285750</xdr:rowOff>
        </xdr:from>
        <xdr:to>
          <xdr:col>29</xdr:col>
          <xdr:colOff>247650</xdr:colOff>
          <xdr:row>18</xdr:row>
          <xdr:rowOff>19050</xdr:rowOff>
        </xdr:to>
        <xdr:sp>
          <xdr:nvSpPr>
            <xdr:cNvPr id="48142" name="Check Box 14" hidden="1">
              <a:extLst>
                <a:ext uri="{63B3BB69-23CF-44E3-9099-C40C66FF867C}">
                  <a14:compatExt spid="_x0000_s48142"/>
                </a:ext>
              </a:extLst>
            </xdr:cNvPr>
            <xdr:cNvSpPr/>
          </xdr:nvSpPr>
          <xdr:spPr>
            <a:xfrm>
              <a:off x="6924675" y="52197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238125</xdr:colOff>
          <xdr:row>17</xdr:row>
          <xdr:rowOff>285750</xdr:rowOff>
        </xdr:from>
        <xdr:to>
          <xdr:col>29</xdr:col>
          <xdr:colOff>247650</xdr:colOff>
          <xdr:row>19</xdr:row>
          <xdr:rowOff>19050</xdr:rowOff>
        </xdr:to>
        <xdr:sp>
          <xdr:nvSpPr>
            <xdr:cNvPr id="48143" name="Check Box 15" hidden="1">
              <a:extLst>
                <a:ext uri="{63B3BB69-23CF-44E3-9099-C40C66FF867C}">
                  <a14:compatExt spid="_x0000_s48143"/>
                </a:ext>
              </a:extLst>
            </xdr:cNvPr>
            <xdr:cNvSpPr/>
          </xdr:nvSpPr>
          <xdr:spPr>
            <a:xfrm>
              <a:off x="6924675" y="55245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238125</xdr:colOff>
          <xdr:row>18</xdr:row>
          <xdr:rowOff>285750</xdr:rowOff>
        </xdr:from>
        <xdr:to>
          <xdr:col>29</xdr:col>
          <xdr:colOff>247650</xdr:colOff>
          <xdr:row>20</xdr:row>
          <xdr:rowOff>19050</xdr:rowOff>
        </xdr:to>
        <xdr:sp>
          <xdr:nvSpPr>
            <xdr:cNvPr id="48144" name="Check Box 16" hidden="1">
              <a:extLst>
                <a:ext uri="{63B3BB69-23CF-44E3-9099-C40C66FF867C}">
                  <a14:compatExt spid="_x0000_s48144"/>
                </a:ext>
              </a:extLst>
            </xdr:cNvPr>
            <xdr:cNvSpPr/>
          </xdr:nvSpPr>
          <xdr:spPr>
            <a:xfrm>
              <a:off x="6924675" y="58293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238125</xdr:colOff>
          <xdr:row>19</xdr:row>
          <xdr:rowOff>285750</xdr:rowOff>
        </xdr:from>
        <xdr:to>
          <xdr:col>29</xdr:col>
          <xdr:colOff>247650</xdr:colOff>
          <xdr:row>21</xdr:row>
          <xdr:rowOff>19050</xdr:rowOff>
        </xdr:to>
        <xdr:sp>
          <xdr:nvSpPr>
            <xdr:cNvPr id="48145" name="Check Box 17" hidden="1">
              <a:extLst>
                <a:ext uri="{63B3BB69-23CF-44E3-9099-C40C66FF867C}">
                  <a14:compatExt spid="_x0000_s48145"/>
                </a:ext>
              </a:extLst>
            </xdr:cNvPr>
            <xdr:cNvSpPr/>
          </xdr:nvSpPr>
          <xdr:spPr>
            <a:xfrm>
              <a:off x="6924675" y="61341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238125</xdr:colOff>
          <xdr:row>20</xdr:row>
          <xdr:rowOff>285750</xdr:rowOff>
        </xdr:from>
        <xdr:to>
          <xdr:col>29</xdr:col>
          <xdr:colOff>247650</xdr:colOff>
          <xdr:row>22</xdr:row>
          <xdr:rowOff>19050</xdr:rowOff>
        </xdr:to>
        <xdr:sp>
          <xdr:nvSpPr>
            <xdr:cNvPr id="48146" name="Check Box 18" hidden="1">
              <a:extLst>
                <a:ext uri="{63B3BB69-23CF-44E3-9099-C40C66FF867C}">
                  <a14:compatExt spid="_x0000_s48146"/>
                </a:ext>
              </a:extLst>
            </xdr:cNvPr>
            <xdr:cNvSpPr/>
          </xdr:nvSpPr>
          <xdr:spPr>
            <a:xfrm>
              <a:off x="6924675" y="64389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381000</xdr:colOff>
          <xdr:row>16</xdr:row>
          <xdr:rowOff>285750</xdr:rowOff>
        </xdr:from>
        <xdr:to>
          <xdr:col>17</xdr:col>
          <xdr:colOff>9525</xdr:colOff>
          <xdr:row>18</xdr:row>
          <xdr:rowOff>19050</xdr:rowOff>
        </xdr:to>
        <xdr:sp>
          <xdr:nvSpPr>
            <xdr:cNvPr id="48147" name="Check Box 19" hidden="1">
              <a:extLst>
                <a:ext uri="{63B3BB69-23CF-44E3-9099-C40C66FF867C}">
                  <a14:compatExt spid="_x0000_s48147"/>
                </a:ext>
              </a:extLst>
            </xdr:cNvPr>
            <xdr:cNvSpPr/>
          </xdr:nvSpPr>
          <xdr:spPr>
            <a:xfrm>
              <a:off x="4152900" y="52197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352425</xdr:colOff>
          <xdr:row>15</xdr:row>
          <xdr:rowOff>295275</xdr:rowOff>
        </xdr:from>
        <xdr:to>
          <xdr:col>16</xdr:col>
          <xdr:colOff>123825</xdr:colOff>
          <xdr:row>17</xdr:row>
          <xdr:rowOff>28575</xdr:rowOff>
        </xdr:to>
        <xdr:sp>
          <xdr:nvSpPr>
            <xdr:cNvPr id="48152" name="Check Box 24" hidden="1">
              <a:extLst>
                <a:ext uri="{63B3BB69-23CF-44E3-9099-C40C66FF867C}">
                  <a14:compatExt spid="_x0000_s48152"/>
                </a:ext>
              </a:extLst>
            </xdr:cNvPr>
            <xdr:cNvSpPr/>
          </xdr:nvSpPr>
          <xdr:spPr>
            <a:xfrm>
              <a:off x="4124325" y="49244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9525</xdr:colOff>
          <xdr:row>15</xdr:row>
          <xdr:rowOff>295275</xdr:rowOff>
        </xdr:from>
        <xdr:to>
          <xdr:col>21</xdr:col>
          <xdr:colOff>314325</xdr:colOff>
          <xdr:row>17</xdr:row>
          <xdr:rowOff>28575</xdr:rowOff>
        </xdr:to>
        <xdr:sp>
          <xdr:nvSpPr>
            <xdr:cNvPr id="48153" name="Check Box 25" hidden="1">
              <a:extLst>
                <a:ext uri="{63B3BB69-23CF-44E3-9099-C40C66FF867C}">
                  <a14:compatExt spid="_x0000_s48153"/>
                </a:ext>
              </a:extLst>
            </xdr:cNvPr>
            <xdr:cNvSpPr/>
          </xdr:nvSpPr>
          <xdr:spPr>
            <a:xfrm>
              <a:off x="5467350" y="49244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133350</xdr:colOff>
          <xdr:row>15</xdr:row>
          <xdr:rowOff>295275</xdr:rowOff>
        </xdr:from>
        <xdr:to>
          <xdr:col>29</xdr:col>
          <xdr:colOff>142875</xdr:colOff>
          <xdr:row>17</xdr:row>
          <xdr:rowOff>28575</xdr:rowOff>
        </xdr:to>
        <xdr:sp>
          <xdr:nvSpPr>
            <xdr:cNvPr id="48154" name="Check Box 26" hidden="1">
              <a:extLst>
                <a:ext uri="{63B3BB69-23CF-44E3-9099-C40C66FF867C}">
                  <a14:compatExt spid="_x0000_s48154"/>
                </a:ext>
              </a:extLst>
            </xdr:cNvPr>
            <xdr:cNvSpPr/>
          </xdr:nvSpPr>
          <xdr:spPr>
            <a:xfrm>
              <a:off x="6819900" y="4924425"/>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13</xdr:row>
          <xdr:rowOff>285750</xdr:rowOff>
        </xdr:from>
        <xdr:to>
          <xdr:col>11</xdr:col>
          <xdr:colOff>66675</xdr:colOff>
          <xdr:row>15</xdr:row>
          <xdr:rowOff>19050</xdr:rowOff>
        </xdr:to>
        <xdr:sp>
          <xdr:nvSpPr>
            <xdr:cNvPr id="48155" name="Check Box 27" hidden="1">
              <a:extLst>
                <a:ext uri="{63B3BB69-23CF-44E3-9099-C40C66FF867C}">
                  <a14:compatExt spid="_x0000_s48155"/>
                </a:ext>
              </a:extLst>
            </xdr:cNvPr>
            <xdr:cNvSpPr/>
          </xdr:nvSpPr>
          <xdr:spPr>
            <a:xfrm>
              <a:off x="2533650" y="43053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13</xdr:row>
          <xdr:rowOff>285750</xdr:rowOff>
        </xdr:from>
        <xdr:to>
          <xdr:col>13</xdr:col>
          <xdr:colOff>38100</xdr:colOff>
          <xdr:row>15</xdr:row>
          <xdr:rowOff>19050</xdr:rowOff>
        </xdr:to>
        <xdr:sp>
          <xdr:nvSpPr>
            <xdr:cNvPr id="48156" name="Check Box 28" hidden="1">
              <a:extLst>
                <a:ext uri="{63B3BB69-23CF-44E3-9099-C40C66FF867C}">
                  <a14:compatExt spid="_x0000_s48156"/>
                </a:ext>
              </a:extLst>
            </xdr:cNvPr>
            <xdr:cNvSpPr/>
          </xdr:nvSpPr>
          <xdr:spPr>
            <a:xfrm>
              <a:off x="3057525" y="43053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381000</xdr:colOff>
          <xdr:row>17</xdr:row>
          <xdr:rowOff>285750</xdr:rowOff>
        </xdr:from>
        <xdr:to>
          <xdr:col>17</xdr:col>
          <xdr:colOff>9525</xdr:colOff>
          <xdr:row>19</xdr:row>
          <xdr:rowOff>19050</xdr:rowOff>
        </xdr:to>
        <xdr:sp>
          <xdr:nvSpPr>
            <xdr:cNvPr id="48157" name="Check Box 29" hidden="1">
              <a:extLst>
                <a:ext uri="{63B3BB69-23CF-44E3-9099-C40C66FF867C}">
                  <a14:compatExt spid="_x0000_s48157"/>
                </a:ext>
              </a:extLst>
            </xdr:cNvPr>
            <xdr:cNvSpPr/>
          </xdr:nvSpPr>
          <xdr:spPr>
            <a:xfrm>
              <a:off x="4152900" y="55245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381000</xdr:colOff>
          <xdr:row>18</xdr:row>
          <xdr:rowOff>285750</xdr:rowOff>
        </xdr:from>
        <xdr:to>
          <xdr:col>17</xdr:col>
          <xdr:colOff>9525</xdr:colOff>
          <xdr:row>20</xdr:row>
          <xdr:rowOff>19050</xdr:rowOff>
        </xdr:to>
        <xdr:sp>
          <xdr:nvSpPr>
            <xdr:cNvPr id="48158" name="Check Box 30" hidden="1">
              <a:extLst>
                <a:ext uri="{63B3BB69-23CF-44E3-9099-C40C66FF867C}">
                  <a14:compatExt spid="_x0000_s48158"/>
                </a:ext>
              </a:extLst>
            </xdr:cNvPr>
            <xdr:cNvSpPr/>
          </xdr:nvSpPr>
          <xdr:spPr>
            <a:xfrm>
              <a:off x="4152900" y="58293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381000</xdr:colOff>
          <xdr:row>19</xdr:row>
          <xdr:rowOff>285750</xdr:rowOff>
        </xdr:from>
        <xdr:to>
          <xdr:col>17</xdr:col>
          <xdr:colOff>9525</xdr:colOff>
          <xdr:row>21</xdr:row>
          <xdr:rowOff>19050</xdr:rowOff>
        </xdr:to>
        <xdr:sp>
          <xdr:nvSpPr>
            <xdr:cNvPr id="48159" name="Check Box 31" hidden="1">
              <a:extLst>
                <a:ext uri="{63B3BB69-23CF-44E3-9099-C40C66FF867C}">
                  <a14:compatExt spid="_x0000_s48159"/>
                </a:ext>
              </a:extLst>
            </xdr:cNvPr>
            <xdr:cNvSpPr/>
          </xdr:nvSpPr>
          <xdr:spPr>
            <a:xfrm>
              <a:off x="4152900" y="61341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381000</xdr:colOff>
          <xdr:row>20</xdr:row>
          <xdr:rowOff>285750</xdr:rowOff>
        </xdr:from>
        <xdr:to>
          <xdr:col>17</xdr:col>
          <xdr:colOff>9525</xdr:colOff>
          <xdr:row>22</xdr:row>
          <xdr:rowOff>19050</xdr:rowOff>
        </xdr:to>
        <xdr:sp>
          <xdr:nvSpPr>
            <xdr:cNvPr id="48160" name="Check Box 32" hidden="1">
              <a:extLst>
                <a:ext uri="{63B3BB69-23CF-44E3-9099-C40C66FF867C}">
                  <a14:compatExt spid="_x0000_s48160"/>
                </a:ext>
              </a:extLst>
            </xdr:cNvPr>
            <xdr:cNvSpPr/>
          </xdr:nvSpPr>
          <xdr:spPr>
            <a:xfrm>
              <a:off x="4152900" y="64389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13</xdr:row>
          <xdr:rowOff>285750</xdr:rowOff>
        </xdr:from>
        <xdr:to>
          <xdr:col>25</xdr:col>
          <xdr:colOff>76200</xdr:colOff>
          <xdr:row>15</xdr:row>
          <xdr:rowOff>19050</xdr:rowOff>
        </xdr:to>
        <xdr:sp>
          <xdr:nvSpPr>
            <xdr:cNvPr id="48161" name="Check Box 33" hidden="1">
              <a:extLst>
                <a:ext uri="{63B3BB69-23CF-44E3-9099-C40C66FF867C}">
                  <a14:compatExt spid="_x0000_s48161"/>
                </a:ext>
              </a:extLst>
            </xdr:cNvPr>
            <xdr:cNvSpPr/>
          </xdr:nvSpPr>
          <xdr:spPr>
            <a:xfrm>
              <a:off x="6000750" y="43053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13</xdr:row>
          <xdr:rowOff>285750</xdr:rowOff>
        </xdr:from>
        <xdr:to>
          <xdr:col>29</xdr:col>
          <xdr:colOff>9525</xdr:colOff>
          <xdr:row>15</xdr:row>
          <xdr:rowOff>19050</xdr:rowOff>
        </xdr:to>
        <xdr:sp>
          <xdr:nvSpPr>
            <xdr:cNvPr id="48162" name="Check Box 34" hidden="1">
              <a:extLst>
                <a:ext uri="{63B3BB69-23CF-44E3-9099-C40C66FF867C}">
                  <a14:compatExt spid="_x0000_s48162"/>
                </a:ext>
              </a:extLst>
            </xdr:cNvPr>
            <xdr:cNvSpPr/>
          </xdr:nvSpPr>
          <xdr:spPr>
            <a:xfrm>
              <a:off x="6686550" y="43053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21</xdr:row>
          <xdr:rowOff>285750</xdr:rowOff>
        </xdr:from>
        <xdr:to>
          <xdr:col>11</xdr:col>
          <xdr:colOff>85725</xdr:colOff>
          <xdr:row>23</xdr:row>
          <xdr:rowOff>19050</xdr:rowOff>
        </xdr:to>
        <xdr:sp>
          <xdr:nvSpPr>
            <xdr:cNvPr id="48163" name="Check Box 35" hidden="1">
              <a:extLst>
                <a:ext uri="{63B3BB69-23CF-44E3-9099-C40C66FF867C}">
                  <a14:compatExt spid="_x0000_s48163"/>
                </a:ext>
              </a:extLst>
            </xdr:cNvPr>
            <xdr:cNvSpPr/>
          </xdr:nvSpPr>
          <xdr:spPr>
            <a:xfrm>
              <a:off x="2552700" y="67437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57150</xdr:colOff>
          <xdr:row>21</xdr:row>
          <xdr:rowOff>285750</xdr:rowOff>
        </xdr:from>
        <xdr:to>
          <xdr:col>14</xdr:col>
          <xdr:colOff>361950</xdr:colOff>
          <xdr:row>23</xdr:row>
          <xdr:rowOff>19050</xdr:rowOff>
        </xdr:to>
        <xdr:sp>
          <xdr:nvSpPr>
            <xdr:cNvPr id="48164" name="Check Box 36" hidden="1">
              <a:extLst>
                <a:ext uri="{63B3BB69-23CF-44E3-9099-C40C66FF867C}">
                  <a14:compatExt spid="_x0000_s48164"/>
                </a:ext>
              </a:extLst>
            </xdr:cNvPr>
            <xdr:cNvSpPr/>
          </xdr:nvSpPr>
          <xdr:spPr>
            <a:xfrm>
              <a:off x="3448050" y="67437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22</xdr:row>
          <xdr:rowOff>285750</xdr:rowOff>
        </xdr:from>
        <xdr:to>
          <xdr:col>11</xdr:col>
          <xdr:colOff>85725</xdr:colOff>
          <xdr:row>24</xdr:row>
          <xdr:rowOff>19050</xdr:rowOff>
        </xdr:to>
        <xdr:sp>
          <xdr:nvSpPr>
            <xdr:cNvPr id="48165" name="Check Box 37" hidden="1">
              <a:extLst>
                <a:ext uri="{63B3BB69-23CF-44E3-9099-C40C66FF867C}">
                  <a14:compatExt spid="_x0000_s48165"/>
                </a:ext>
              </a:extLst>
            </xdr:cNvPr>
            <xdr:cNvSpPr/>
          </xdr:nvSpPr>
          <xdr:spPr>
            <a:xfrm>
              <a:off x="2552700" y="70485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57150</xdr:colOff>
          <xdr:row>22</xdr:row>
          <xdr:rowOff>285750</xdr:rowOff>
        </xdr:from>
        <xdr:to>
          <xdr:col>14</xdr:col>
          <xdr:colOff>361950</xdr:colOff>
          <xdr:row>24</xdr:row>
          <xdr:rowOff>19050</xdr:rowOff>
        </xdr:to>
        <xdr:sp>
          <xdr:nvSpPr>
            <xdr:cNvPr id="48166" name="Check Box 38" hidden="1">
              <a:extLst>
                <a:ext uri="{63B3BB69-23CF-44E3-9099-C40C66FF867C}">
                  <a14:compatExt spid="_x0000_s48166"/>
                </a:ext>
              </a:extLst>
            </xdr:cNvPr>
            <xdr:cNvSpPr/>
          </xdr:nvSpPr>
          <xdr:spPr>
            <a:xfrm>
              <a:off x="3448050" y="70485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23</xdr:row>
          <xdr:rowOff>285750</xdr:rowOff>
        </xdr:from>
        <xdr:to>
          <xdr:col>11</xdr:col>
          <xdr:colOff>85725</xdr:colOff>
          <xdr:row>25</xdr:row>
          <xdr:rowOff>19050</xdr:rowOff>
        </xdr:to>
        <xdr:sp>
          <xdr:nvSpPr>
            <xdr:cNvPr id="48167" name="Check Box 39" hidden="1">
              <a:extLst>
                <a:ext uri="{63B3BB69-23CF-44E3-9099-C40C66FF867C}">
                  <a14:compatExt spid="_x0000_s48167"/>
                </a:ext>
              </a:extLst>
            </xdr:cNvPr>
            <xdr:cNvSpPr/>
          </xdr:nvSpPr>
          <xdr:spPr>
            <a:xfrm>
              <a:off x="2552700" y="73533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57150</xdr:colOff>
          <xdr:row>23</xdr:row>
          <xdr:rowOff>285750</xdr:rowOff>
        </xdr:from>
        <xdr:to>
          <xdr:col>14</xdr:col>
          <xdr:colOff>361950</xdr:colOff>
          <xdr:row>25</xdr:row>
          <xdr:rowOff>19050</xdr:rowOff>
        </xdr:to>
        <xdr:sp>
          <xdr:nvSpPr>
            <xdr:cNvPr id="48168" name="Check Box 40" hidden="1">
              <a:extLst>
                <a:ext uri="{63B3BB69-23CF-44E3-9099-C40C66FF867C}">
                  <a14:compatExt spid="_x0000_s48168"/>
                </a:ext>
              </a:extLst>
            </xdr:cNvPr>
            <xdr:cNvSpPr/>
          </xdr:nvSpPr>
          <xdr:spPr>
            <a:xfrm>
              <a:off x="3448050" y="73533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333375</xdr:colOff>
          <xdr:row>2</xdr:row>
          <xdr:rowOff>285750</xdr:rowOff>
        </xdr:from>
        <xdr:to>
          <xdr:col>24</xdr:col>
          <xdr:colOff>76200</xdr:colOff>
          <xdr:row>4</xdr:row>
          <xdr:rowOff>19050</xdr:rowOff>
        </xdr:to>
        <xdr:sp>
          <xdr:nvSpPr>
            <xdr:cNvPr id="48169" name="Check Box 41" hidden="1">
              <a:extLst>
                <a:ext uri="{63B3BB69-23CF-44E3-9099-C40C66FF867C}">
                  <a14:compatExt spid="_x0000_s48169"/>
                </a:ext>
              </a:extLst>
            </xdr:cNvPr>
            <xdr:cNvSpPr/>
          </xdr:nvSpPr>
          <xdr:spPr>
            <a:xfrm>
              <a:off x="5791200" y="9525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2</xdr:row>
          <xdr:rowOff>285750</xdr:rowOff>
        </xdr:from>
        <xdr:to>
          <xdr:col>28</xdr:col>
          <xdr:colOff>19050</xdr:colOff>
          <xdr:row>4</xdr:row>
          <xdr:rowOff>19050</xdr:rowOff>
        </xdr:to>
        <xdr:sp>
          <xdr:nvSpPr>
            <xdr:cNvPr id="48170" name="Check Box 42" hidden="1">
              <a:extLst>
                <a:ext uri="{63B3BB69-23CF-44E3-9099-C40C66FF867C}">
                  <a14:compatExt spid="_x0000_s48170"/>
                </a:ext>
              </a:extLst>
            </xdr:cNvPr>
            <xdr:cNvSpPr/>
          </xdr:nvSpPr>
          <xdr:spPr>
            <a:xfrm>
              <a:off x="6400800" y="9525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95250</xdr:colOff>
          <xdr:row>2</xdr:row>
          <xdr:rowOff>285750</xdr:rowOff>
        </xdr:from>
        <xdr:to>
          <xdr:col>30</xdr:col>
          <xdr:colOff>19050</xdr:colOff>
          <xdr:row>4</xdr:row>
          <xdr:rowOff>19050</xdr:rowOff>
        </xdr:to>
        <xdr:sp>
          <xdr:nvSpPr>
            <xdr:cNvPr id="48171" name="Check Box 43" hidden="1">
              <a:extLst>
                <a:ext uri="{63B3BB69-23CF-44E3-9099-C40C66FF867C}">
                  <a14:compatExt spid="_x0000_s48171"/>
                </a:ext>
              </a:extLst>
            </xdr:cNvPr>
            <xdr:cNvSpPr/>
          </xdr:nvSpPr>
          <xdr:spPr>
            <a:xfrm>
              <a:off x="7077075" y="95250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twoCellAnchor>
    <xdr:from>
      <xdr:col>1</xdr:col>
      <xdr:colOff>123825</xdr:colOff>
      <xdr:row>0</xdr:row>
      <xdr:rowOff>38100</xdr:rowOff>
    </xdr:from>
    <xdr:to>
      <xdr:col>2</xdr:col>
      <xdr:colOff>352425</xdr:colOff>
      <xdr:row>2</xdr:row>
      <xdr:rowOff>85725</xdr:rowOff>
    </xdr:to>
    <xdr:pic>
      <xdr:nvPicPr>
        <xdr:cNvPr id="41" name="图片 40" descr="关徽"/>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14325" y="38100"/>
          <a:ext cx="7524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9</xdr:col>
          <xdr:colOff>0</xdr:colOff>
          <xdr:row>8</xdr:row>
          <xdr:rowOff>38100</xdr:rowOff>
        </xdr:from>
        <xdr:to>
          <xdr:col>11</xdr:col>
          <xdr:colOff>66675</xdr:colOff>
          <xdr:row>8</xdr:row>
          <xdr:rowOff>247650</xdr:rowOff>
        </xdr:to>
        <xdr:sp>
          <xdr:nvSpPr>
            <xdr:cNvPr id="7172" name="Check Box 4" hidden="1">
              <a:extLst>
                <a:ext uri="{63B3BB69-23CF-44E3-9099-C40C66FF867C}">
                  <a14:compatExt spid="_x0000_s7172"/>
                </a:ext>
              </a:extLst>
            </xdr:cNvPr>
            <xdr:cNvSpPr/>
          </xdr:nvSpPr>
          <xdr:spPr>
            <a:xfrm>
              <a:off x="2533650" y="25336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8</xdr:row>
          <xdr:rowOff>38100</xdr:rowOff>
        </xdr:from>
        <xdr:to>
          <xdr:col>14</xdr:col>
          <xdr:colOff>19050</xdr:colOff>
          <xdr:row>8</xdr:row>
          <xdr:rowOff>247650</xdr:rowOff>
        </xdr:to>
        <xdr:sp>
          <xdr:nvSpPr>
            <xdr:cNvPr id="7173" name="Check Box 5" hidden="1">
              <a:extLst>
                <a:ext uri="{63B3BB69-23CF-44E3-9099-C40C66FF867C}">
                  <a14:compatExt spid="_x0000_s7173"/>
                </a:ext>
              </a:extLst>
            </xdr:cNvPr>
            <xdr:cNvSpPr/>
          </xdr:nvSpPr>
          <xdr:spPr>
            <a:xfrm>
              <a:off x="3105150" y="25336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8</xdr:row>
          <xdr:rowOff>47625</xdr:rowOff>
        </xdr:from>
        <xdr:to>
          <xdr:col>25</xdr:col>
          <xdr:colOff>95250</xdr:colOff>
          <xdr:row>8</xdr:row>
          <xdr:rowOff>257175</xdr:rowOff>
        </xdr:to>
        <xdr:sp>
          <xdr:nvSpPr>
            <xdr:cNvPr id="7174" name="Check Box 6" hidden="1">
              <a:extLst>
                <a:ext uri="{63B3BB69-23CF-44E3-9099-C40C66FF867C}">
                  <a14:compatExt spid="_x0000_s7174"/>
                </a:ext>
              </a:extLst>
            </xdr:cNvPr>
            <xdr:cNvSpPr/>
          </xdr:nvSpPr>
          <xdr:spPr>
            <a:xfrm>
              <a:off x="6019800" y="25431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28575</xdr:colOff>
          <xdr:row>8</xdr:row>
          <xdr:rowOff>47625</xdr:rowOff>
        </xdr:from>
        <xdr:to>
          <xdr:col>29</xdr:col>
          <xdr:colOff>38100</xdr:colOff>
          <xdr:row>8</xdr:row>
          <xdr:rowOff>257175</xdr:rowOff>
        </xdr:to>
        <xdr:sp>
          <xdr:nvSpPr>
            <xdr:cNvPr id="7175" name="Check Box 7" hidden="1">
              <a:extLst>
                <a:ext uri="{63B3BB69-23CF-44E3-9099-C40C66FF867C}">
                  <a14:compatExt spid="_x0000_s7175"/>
                </a:ext>
              </a:extLst>
            </xdr:cNvPr>
            <xdr:cNvSpPr/>
          </xdr:nvSpPr>
          <xdr:spPr>
            <a:xfrm>
              <a:off x="6715125" y="25431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10</xdr:row>
          <xdr:rowOff>57150</xdr:rowOff>
        </xdr:from>
        <xdr:to>
          <xdr:col>11</xdr:col>
          <xdr:colOff>85725</xdr:colOff>
          <xdr:row>10</xdr:row>
          <xdr:rowOff>266700</xdr:rowOff>
        </xdr:to>
        <xdr:sp>
          <xdr:nvSpPr>
            <xdr:cNvPr id="7176" name="Check Box 8" hidden="1">
              <a:extLst>
                <a:ext uri="{63B3BB69-23CF-44E3-9099-C40C66FF867C}">
                  <a14:compatExt spid="_x0000_s7176"/>
                </a:ext>
              </a:extLst>
            </xdr:cNvPr>
            <xdr:cNvSpPr/>
          </xdr:nvSpPr>
          <xdr:spPr>
            <a:xfrm>
              <a:off x="2552700" y="31623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47625</xdr:colOff>
          <xdr:row>10</xdr:row>
          <xdr:rowOff>57150</xdr:rowOff>
        </xdr:from>
        <xdr:to>
          <xdr:col>14</xdr:col>
          <xdr:colOff>352425</xdr:colOff>
          <xdr:row>10</xdr:row>
          <xdr:rowOff>266700</xdr:rowOff>
        </xdr:to>
        <xdr:sp>
          <xdr:nvSpPr>
            <xdr:cNvPr id="7178" name="Check Box 10" hidden="1">
              <a:extLst>
                <a:ext uri="{63B3BB69-23CF-44E3-9099-C40C66FF867C}">
                  <a14:compatExt spid="_x0000_s7178"/>
                </a:ext>
              </a:extLst>
            </xdr:cNvPr>
            <xdr:cNvSpPr/>
          </xdr:nvSpPr>
          <xdr:spPr>
            <a:xfrm>
              <a:off x="3438525" y="31623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47625</xdr:colOff>
          <xdr:row>10</xdr:row>
          <xdr:rowOff>57150</xdr:rowOff>
        </xdr:from>
        <xdr:to>
          <xdr:col>20</xdr:col>
          <xdr:colOff>352425</xdr:colOff>
          <xdr:row>10</xdr:row>
          <xdr:rowOff>266700</xdr:rowOff>
        </xdr:to>
        <xdr:sp>
          <xdr:nvSpPr>
            <xdr:cNvPr id="7179" name="Check Box 11" hidden="1">
              <a:extLst>
                <a:ext uri="{63B3BB69-23CF-44E3-9099-C40C66FF867C}">
                  <a14:compatExt spid="_x0000_s7179"/>
                </a:ext>
              </a:extLst>
            </xdr:cNvPr>
            <xdr:cNvSpPr/>
          </xdr:nvSpPr>
          <xdr:spPr>
            <a:xfrm>
              <a:off x="5114925" y="31623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152400</xdr:colOff>
          <xdr:row>10</xdr:row>
          <xdr:rowOff>57150</xdr:rowOff>
        </xdr:from>
        <xdr:to>
          <xdr:col>29</xdr:col>
          <xdr:colOff>161925</xdr:colOff>
          <xdr:row>10</xdr:row>
          <xdr:rowOff>266700</xdr:rowOff>
        </xdr:to>
        <xdr:sp>
          <xdr:nvSpPr>
            <xdr:cNvPr id="7180" name="Check Box 12" hidden="1">
              <a:extLst>
                <a:ext uri="{63B3BB69-23CF-44E3-9099-C40C66FF867C}">
                  <a14:compatExt spid="_x0000_s7180"/>
                </a:ext>
              </a:extLst>
            </xdr:cNvPr>
            <xdr:cNvSpPr/>
          </xdr:nvSpPr>
          <xdr:spPr>
            <a:xfrm>
              <a:off x="6838950" y="31623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152400</xdr:colOff>
          <xdr:row>11</xdr:row>
          <xdr:rowOff>57150</xdr:rowOff>
        </xdr:from>
        <xdr:to>
          <xdr:col>29</xdr:col>
          <xdr:colOff>161925</xdr:colOff>
          <xdr:row>11</xdr:row>
          <xdr:rowOff>266700</xdr:rowOff>
        </xdr:to>
        <xdr:sp>
          <xdr:nvSpPr>
            <xdr:cNvPr id="7181" name="Check Box 13" hidden="1">
              <a:extLst>
                <a:ext uri="{63B3BB69-23CF-44E3-9099-C40C66FF867C}">
                  <a14:compatExt spid="_x0000_s7181"/>
                </a:ext>
              </a:extLst>
            </xdr:cNvPr>
            <xdr:cNvSpPr/>
          </xdr:nvSpPr>
          <xdr:spPr>
            <a:xfrm>
              <a:off x="6838950" y="34671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11</xdr:row>
          <xdr:rowOff>57150</xdr:rowOff>
        </xdr:from>
        <xdr:to>
          <xdr:col>20</xdr:col>
          <xdr:colOff>361950</xdr:colOff>
          <xdr:row>11</xdr:row>
          <xdr:rowOff>266700</xdr:rowOff>
        </xdr:to>
        <xdr:sp>
          <xdr:nvSpPr>
            <xdr:cNvPr id="7182" name="Check Box 14" hidden="1">
              <a:extLst>
                <a:ext uri="{63B3BB69-23CF-44E3-9099-C40C66FF867C}">
                  <a14:compatExt spid="_x0000_s7182"/>
                </a:ext>
              </a:extLst>
            </xdr:cNvPr>
            <xdr:cNvSpPr/>
          </xdr:nvSpPr>
          <xdr:spPr>
            <a:xfrm>
              <a:off x="5124450" y="34671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47625</xdr:colOff>
          <xdr:row>11</xdr:row>
          <xdr:rowOff>57150</xdr:rowOff>
        </xdr:from>
        <xdr:to>
          <xdr:col>14</xdr:col>
          <xdr:colOff>352425</xdr:colOff>
          <xdr:row>11</xdr:row>
          <xdr:rowOff>266700</xdr:rowOff>
        </xdr:to>
        <xdr:sp>
          <xdr:nvSpPr>
            <xdr:cNvPr id="7183" name="Check Box 15" hidden="1">
              <a:extLst>
                <a:ext uri="{63B3BB69-23CF-44E3-9099-C40C66FF867C}">
                  <a14:compatExt spid="_x0000_s7183"/>
                </a:ext>
              </a:extLst>
            </xdr:cNvPr>
            <xdr:cNvSpPr/>
          </xdr:nvSpPr>
          <xdr:spPr>
            <a:xfrm>
              <a:off x="3438525" y="34671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11</xdr:row>
          <xdr:rowOff>57150</xdr:rowOff>
        </xdr:from>
        <xdr:to>
          <xdr:col>11</xdr:col>
          <xdr:colOff>85725</xdr:colOff>
          <xdr:row>11</xdr:row>
          <xdr:rowOff>266700</xdr:rowOff>
        </xdr:to>
        <xdr:sp>
          <xdr:nvSpPr>
            <xdr:cNvPr id="7184" name="Check Box 16" hidden="1">
              <a:extLst>
                <a:ext uri="{63B3BB69-23CF-44E3-9099-C40C66FF867C}">
                  <a14:compatExt spid="_x0000_s7184"/>
                </a:ext>
              </a:extLst>
            </xdr:cNvPr>
            <xdr:cNvSpPr/>
          </xdr:nvSpPr>
          <xdr:spPr>
            <a:xfrm>
              <a:off x="2552700" y="34671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16</xdr:row>
          <xdr:rowOff>57150</xdr:rowOff>
        </xdr:from>
        <xdr:to>
          <xdr:col>12</xdr:col>
          <xdr:colOff>104775</xdr:colOff>
          <xdr:row>16</xdr:row>
          <xdr:rowOff>266700</xdr:rowOff>
        </xdr:to>
        <xdr:sp>
          <xdr:nvSpPr>
            <xdr:cNvPr id="7185" name="Check Box 17" hidden="1">
              <a:extLst>
                <a:ext uri="{63B3BB69-23CF-44E3-9099-C40C66FF867C}">
                  <a14:compatExt spid="_x0000_s7185"/>
                </a:ext>
              </a:extLst>
            </xdr:cNvPr>
            <xdr:cNvSpPr/>
          </xdr:nvSpPr>
          <xdr:spPr>
            <a:xfrm>
              <a:off x="2809875" y="49911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17</xdr:row>
          <xdr:rowOff>76200</xdr:rowOff>
        </xdr:from>
        <xdr:to>
          <xdr:col>29</xdr:col>
          <xdr:colOff>304800</xdr:colOff>
          <xdr:row>17</xdr:row>
          <xdr:rowOff>285750</xdr:rowOff>
        </xdr:to>
        <xdr:sp>
          <xdr:nvSpPr>
            <xdr:cNvPr id="7198" name="Check Box 30" hidden="1">
              <a:extLst>
                <a:ext uri="{63B3BB69-23CF-44E3-9099-C40C66FF867C}">
                  <a14:compatExt spid="_x0000_s7198"/>
                </a:ext>
              </a:extLst>
            </xdr:cNvPr>
            <xdr:cNvSpPr/>
          </xdr:nvSpPr>
          <xdr:spPr>
            <a:xfrm>
              <a:off x="6981825" y="53149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18</xdr:row>
          <xdr:rowOff>76200</xdr:rowOff>
        </xdr:from>
        <xdr:to>
          <xdr:col>29</xdr:col>
          <xdr:colOff>304800</xdr:colOff>
          <xdr:row>18</xdr:row>
          <xdr:rowOff>285750</xdr:rowOff>
        </xdr:to>
        <xdr:sp>
          <xdr:nvSpPr>
            <xdr:cNvPr id="7203" name="Check Box 35" hidden="1">
              <a:extLst>
                <a:ext uri="{63B3BB69-23CF-44E3-9099-C40C66FF867C}">
                  <a14:compatExt spid="_x0000_s7203"/>
                </a:ext>
              </a:extLst>
            </xdr:cNvPr>
            <xdr:cNvSpPr/>
          </xdr:nvSpPr>
          <xdr:spPr>
            <a:xfrm>
              <a:off x="6981825" y="56197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19</xdr:row>
          <xdr:rowOff>76200</xdr:rowOff>
        </xdr:from>
        <xdr:to>
          <xdr:col>29</xdr:col>
          <xdr:colOff>304800</xdr:colOff>
          <xdr:row>19</xdr:row>
          <xdr:rowOff>285750</xdr:rowOff>
        </xdr:to>
        <xdr:sp>
          <xdr:nvSpPr>
            <xdr:cNvPr id="7204" name="Check Box 36" hidden="1">
              <a:extLst>
                <a:ext uri="{63B3BB69-23CF-44E3-9099-C40C66FF867C}">
                  <a14:compatExt spid="_x0000_s7204"/>
                </a:ext>
              </a:extLst>
            </xdr:cNvPr>
            <xdr:cNvSpPr/>
          </xdr:nvSpPr>
          <xdr:spPr>
            <a:xfrm>
              <a:off x="6981825" y="59245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20</xdr:row>
          <xdr:rowOff>76200</xdr:rowOff>
        </xdr:from>
        <xdr:to>
          <xdr:col>29</xdr:col>
          <xdr:colOff>304800</xdr:colOff>
          <xdr:row>20</xdr:row>
          <xdr:rowOff>285750</xdr:rowOff>
        </xdr:to>
        <xdr:sp>
          <xdr:nvSpPr>
            <xdr:cNvPr id="7205" name="Check Box 37" hidden="1">
              <a:extLst>
                <a:ext uri="{63B3BB69-23CF-44E3-9099-C40C66FF867C}">
                  <a14:compatExt spid="_x0000_s7205"/>
                </a:ext>
              </a:extLst>
            </xdr:cNvPr>
            <xdr:cNvSpPr/>
          </xdr:nvSpPr>
          <xdr:spPr>
            <a:xfrm>
              <a:off x="6981825" y="62293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21</xdr:row>
          <xdr:rowOff>76200</xdr:rowOff>
        </xdr:from>
        <xdr:to>
          <xdr:col>29</xdr:col>
          <xdr:colOff>304800</xdr:colOff>
          <xdr:row>21</xdr:row>
          <xdr:rowOff>285750</xdr:rowOff>
        </xdr:to>
        <xdr:sp>
          <xdr:nvSpPr>
            <xdr:cNvPr id="7206" name="Check Box 38" hidden="1">
              <a:extLst>
                <a:ext uri="{63B3BB69-23CF-44E3-9099-C40C66FF867C}">
                  <a14:compatExt spid="_x0000_s7206"/>
                </a:ext>
              </a:extLst>
            </xdr:cNvPr>
            <xdr:cNvSpPr/>
          </xdr:nvSpPr>
          <xdr:spPr>
            <a:xfrm>
              <a:off x="6981825" y="653415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371475</xdr:colOff>
          <xdr:row>17</xdr:row>
          <xdr:rowOff>57150</xdr:rowOff>
        </xdr:from>
        <xdr:to>
          <xdr:col>17</xdr:col>
          <xdr:colOff>0</xdr:colOff>
          <xdr:row>17</xdr:row>
          <xdr:rowOff>266700</xdr:rowOff>
        </xdr:to>
        <xdr:sp>
          <xdr:nvSpPr>
            <xdr:cNvPr id="7207" name="Check Box 39" hidden="1">
              <a:extLst>
                <a:ext uri="{63B3BB69-23CF-44E3-9099-C40C66FF867C}">
                  <a14:compatExt spid="_x0000_s7207"/>
                </a:ext>
              </a:extLst>
            </xdr:cNvPr>
            <xdr:cNvSpPr/>
          </xdr:nvSpPr>
          <xdr:spPr>
            <a:xfrm>
              <a:off x="4143375" y="52959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371475</xdr:colOff>
          <xdr:row>16</xdr:row>
          <xdr:rowOff>57150</xdr:rowOff>
        </xdr:from>
        <xdr:to>
          <xdr:col>17</xdr:col>
          <xdr:colOff>0</xdr:colOff>
          <xdr:row>16</xdr:row>
          <xdr:rowOff>266700</xdr:rowOff>
        </xdr:to>
        <xdr:sp>
          <xdr:nvSpPr>
            <xdr:cNvPr id="7214" name="Check Box 46" hidden="1">
              <a:extLst>
                <a:ext uri="{63B3BB69-23CF-44E3-9099-C40C66FF867C}">
                  <a14:compatExt spid="_x0000_s7214"/>
                </a:ext>
              </a:extLst>
            </xdr:cNvPr>
            <xdr:cNvSpPr/>
          </xdr:nvSpPr>
          <xdr:spPr>
            <a:xfrm>
              <a:off x="4143375" y="49911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16</xdr:row>
          <xdr:rowOff>57150</xdr:rowOff>
        </xdr:from>
        <xdr:to>
          <xdr:col>21</xdr:col>
          <xdr:colOff>333375</xdr:colOff>
          <xdr:row>16</xdr:row>
          <xdr:rowOff>266700</xdr:rowOff>
        </xdr:to>
        <xdr:sp>
          <xdr:nvSpPr>
            <xdr:cNvPr id="7215" name="Check Box 47" hidden="1">
              <a:extLst>
                <a:ext uri="{63B3BB69-23CF-44E3-9099-C40C66FF867C}">
                  <a14:compatExt spid="_x0000_s7215"/>
                </a:ext>
              </a:extLst>
            </xdr:cNvPr>
            <xdr:cNvSpPr/>
          </xdr:nvSpPr>
          <xdr:spPr>
            <a:xfrm>
              <a:off x="5486400" y="49911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152400</xdr:colOff>
          <xdr:row>16</xdr:row>
          <xdr:rowOff>57150</xdr:rowOff>
        </xdr:from>
        <xdr:to>
          <xdr:col>29</xdr:col>
          <xdr:colOff>161925</xdr:colOff>
          <xdr:row>16</xdr:row>
          <xdr:rowOff>266700</xdr:rowOff>
        </xdr:to>
        <xdr:sp>
          <xdr:nvSpPr>
            <xdr:cNvPr id="7216" name="Check Box 48" hidden="1">
              <a:extLst>
                <a:ext uri="{63B3BB69-23CF-44E3-9099-C40C66FF867C}">
                  <a14:compatExt spid="_x0000_s7216"/>
                </a:ext>
              </a:extLst>
            </xdr:cNvPr>
            <xdr:cNvSpPr/>
          </xdr:nvSpPr>
          <xdr:spPr>
            <a:xfrm>
              <a:off x="6838950" y="49911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14</xdr:row>
          <xdr:rowOff>47625</xdr:rowOff>
        </xdr:from>
        <xdr:to>
          <xdr:col>11</xdr:col>
          <xdr:colOff>85725</xdr:colOff>
          <xdr:row>14</xdr:row>
          <xdr:rowOff>257175</xdr:rowOff>
        </xdr:to>
        <xdr:sp>
          <xdr:nvSpPr>
            <xdr:cNvPr id="7217" name="Check Box 49" hidden="1">
              <a:extLst>
                <a:ext uri="{63B3BB69-23CF-44E3-9099-C40C66FF867C}">
                  <a14:compatExt spid="_x0000_s7217"/>
                </a:ext>
              </a:extLst>
            </xdr:cNvPr>
            <xdr:cNvSpPr/>
          </xdr:nvSpPr>
          <xdr:spPr>
            <a:xfrm>
              <a:off x="2552700" y="43719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14</xdr:row>
          <xdr:rowOff>47625</xdr:rowOff>
        </xdr:from>
        <xdr:to>
          <xdr:col>13</xdr:col>
          <xdr:colOff>57150</xdr:colOff>
          <xdr:row>14</xdr:row>
          <xdr:rowOff>257175</xdr:rowOff>
        </xdr:to>
        <xdr:sp>
          <xdr:nvSpPr>
            <xdr:cNvPr id="7218" name="Check Box 50" hidden="1">
              <a:extLst>
                <a:ext uri="{63B3BB69-23CF-44E3-9099-C40C66FF867C}">
                  <a14:compatExt spid="_x0000_s7218"/>
                </a:ext>
              </a:extLst>
            </xdr:cNvPr>
            <xdr:cNvSpPr/>
          </xdr:nvSpPr>
          <xdr:spPr>
            <a:xfrm>
              <a:off x="3076575" y="43719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371475</xdr:colOff>
          <xdr:row>18</xdr:row>
          <xdr:rowOff>57150</xdr:rowOff>
        </xdr:from>
        <xdr:to>
          <xdr:col>17</xdr:col>
          <xdr:colOff>0</xdr:colOff>
          <xdr:row>18</xdr:row>
          <xdr:rowOff>266700</xdr:rowOff>
        </xdr:to>
        <xdr:sp>
          <xdr:nvSpPr>
            <xdr:cNvPr id="7219" name="Check Box 51" hidden="1">
              <a:extLst>
                <a:ext uri="{63B3BB69-23CF-44E3-9099-C40C66FF867C}">
                  <a14:compatExt spid="_x0000_s7219"/>
                </a:ext>
              </a:extLst>
            </xdr:cNvPr>
            <xdr:cNvSpPr/>
          </xdr:nvSpPr>
          <xdr:spPr>
            <a:xfrm>
              <a:off x="4143375" y="56007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371475</xdr:colOff>
          <xdr:row>19</xdr:row>
          <xdr:rowOff>57150</xdr:rowOff>
        </xdr:from>
        <xdr:to>
          <xdr:col>17</xdr:col>
          <xdr:colOff>0</xdr:colOff>
          <xdr:row>19</xdr:row>
          <xdr:rowOff>266700</xdr:rowOff>
        </xdr:to>
        <xdr:sp>
          <xdr:nvSpPr>
            <xdr:cNvPr id="7220" name="Check Box 52" hidden="1">
              <a:extLst>
                <a:ext uri="{63B3BB69-23CF-44E3-9099-C40C66FF867C}">
                  <a14:compatExt spid="_x0000_s7220"/>
                </a:ext>
              </a:extLst>
            </xdr:cNvPr>
            <xdr:cNvSpPr/>
          </xdr:nvSpPr>
          <xdr:spPr>
            <a:xfrm>
              <a:off x="4143375" y="59055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371475</xdr:colOff>
          <xdr:row>20</xdr:row>
          <xdr:rowOff>57150</xdr:rowOff>
        </xdr:from>
        <xdr:to>
          <xdr:col>17</xdr:col>
          <xdr:colOff>0</xdr:colOff>
          <xdr:row>20</xdr:row>
          <xdr:rowOff>266700</xdr:rowOff>
        </xdr:to>
        <xdr:sp>
          <xdr:nvSpPr>
            <xdr:cNvPr id="7221" name="Check Box 53" hidden="1">
              <a:extLst>
                <a:ext uri="{63B3BB69-23CF-44E3-9099-C40C66FF867C}">
                  <a14:compatExt spid="_x0000_s7221"/>
                </a:ext>
              </a:extLst>
            </xdr:cNvPr>
            <xdr:cNvSpPr/>
          </xdr:nvSpPr>
          <xdr:spPr>
            <a:xfrm>
              <a:off x="4143375" y="62103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371475</xdr:colOff>
          <xdr:row>21</xdr:row>
          <xdr:rowOff>57150</xdr:rowOff>
        </xdr:from>
        <xdr:to>
          <xdr:col>17</xdr:col>
          <xdr:colOff>0</xdr:colOff>
          <xdr:row>21</xdr:row>
          <xdr:rowOff>266700</xdr:rowOff>
        </xdr:to>
        <xdr:sp>
          <xdr:nvSpPr>
            <xdr:cNvPr id="7222" name="Check Box 54" hidden="1">
              <a:extLst>
                <a:ext uri="{63B3BB69-23CF-44E3-9099-C40C66FF867C}">
                  <a14:compatExt spid="_x0000_s7222"/>
                </a:ext>
              </a:extLst>
            </xdr:cNvPr>
            <xdr:cNvSpPr/>
          </xdr:nvSpPr>
          <xdr:spPr>
            <a:xfrm>
              <a:off x="4143375" y="6515100"/>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14</xdr:row>
          <xdr:rowOff>47625</xdr:rowOff>
        </xdr:from>
        <xdr:to>
          <xdr:col>25</xdr:col>
          <xdr:colOff>95250</xdr:colOff>
          <xdr:row>14</xdr:row>
          <xdr:rowOff>257175</xdr:rowOff>
        </xdr:to>
        <xdr:sp>
          <xdr:nvSpPr>
            <xdr:cNvPr id="7223" name="Check Box 55" hidden="1">
              <a:extLst>
                <a:ext uri="{63B3BB69-23CF-44E3-9099-C40C66FF867C}">
                  <a14:compatExt spid="_x0000_s7223"/>
                </a:ext>
              </a:extLst>
            </xdr:cNvPr>
            <xdr:cNvSpPr/>
          </xdr:nvSpPr>
          <xdr:spPr>
            <a:xfrm>
              <a:off x="6019800" y="43719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19050</xdr:colOff>
          <xdr:row>14</xdr:row>
          <xdr:rowOff>47625</xdr:rowOff>
        </xdr:from>
        <xdr:to>
          <xdr:col>29</xdr:col>
          <xdr:colOff>28575</xdr:colOff>
          <xdr:row>14</xdr:row>
          <xdr:rowOff>257175</xdr:rowOff>
        </xdr:to>
        <xdr:sp>
          <xdr:nvSpPr>
            <xdr:cNvPr id="7224" name="Check Box 56" hidden="1">
              <a:extLst>
                <a:ext uri="{63B3BB69-23CF-44E3-9099-C40C66FF867C}">
                  <a14:compatExt spid="_x0000_s7224"/>
                </a:ext>
              </a:extLst>
            </xdr:cNvPr>
            <xdr:cNvSpPr/>
          </xdr:nvSpPr>
          <xdr:spPr>
            <a:xfrm>
              <a:off x="6705600" y="43719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22</xdr:row>
          <xdr:rowOff>47625</xdr:rowOff>
        </xdr:from>
        <xdr:to>
          <xdr:col>11</xdr:col>
          <xdr:colOff>104775</xdr:colOff>
          <xdr:row>22</xdr:row>
          <xdr:rowOff>257175</xdr:rowOff>
        </xdr:to>
        <xdr:sp>
          <xdr:nvSpPr>
            <xdr:cNvPr id="7225" name="Check Box 57" hidden="1">
              <a:extLst>
                <a:ext uri="{63B3BB69-23CF-44E3-9099-C40C66FF867C}">
                  <a14:compatExt spid="_x0000_s7225"/>
                </a:ext>
              </a:extLst>
            </xdr:cNvPr>
            <xdr:cNvSpPr/>
          </xdr:nvSpPr>
          <xdr:spPr>
            <a:xfrm>
              <a:off x="2571750" y="68103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22</xdr:row>
          <xdr:rowOff>47625</xdr:rowOff>
        </xdr:from>
        <xdr:to>
          <xdr:col>15</xdr:col>
          <xdr:colOff>0</xdr:colOff>
          <xdr:row>22</xdr:row>
          <xdr:rowOff>257175</xdr:rowOff>
        </xdr:to>
        <xdr:sp>
          <xdr:nvSpPr>
            <xdr:cNvPr id="7226" name="Check Box 58" hidden="1">
              <a:extLst>
                <a:ext uri="{63B3BB69-23CF-44E3-9099-C40C66FF867C}">
                  <a14:compatExt spid="_x0000_s7226"/>
                </a:ext>
              </a:extLst>
            </xdr:cNvPr>
            <xdr:cNvSpPr/>
          </xdr:nvSpPr>
          <xdr:spPr>
            <a:xfrm>
              <a:off x="3467100" y="68103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23</xdr:row>
          <xdr:rowOff>47625</xdr:rowOff>
        </xdr:from>
        <xdr:to>
          <xdr:col>11</xdr:col>
          <xdr:colOff>104775</xdr:colOff>
          <xdr:row>23</xdr:row>
          <xdr:rowOff>257175</xdr:rowOff>
        </xdr:to>
        <xdr:sp>
          <xdr:nvSpPr>
            <xdr:cNvPr id="7227" name="Check Box 59" hidden="1">
              <a:extLst>
                <a:ext uri="{63B3BB69-23CF-44E3-9099-C40C66FF867C}">
                  <a14:compatExt spid="_x0000_s7227"/>
                </a:ext>
              </a:extLst>
            </xdr:cNvPr>
            <xdr:cNvSpPr/>
          </xdr:nvSpPr>
          <xdr:spPr>
            <a:xfrm>
              <a:off x="2571750" y="71151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23</xdr:row>
          <xdr:rowOff>47625</xdr:rowOff>
        </xdr:from>
        <xdr:to>
          <xdr:col>15</xdr:col>
          <xdr:colOff>0</xdr:colOff>
          <xdr:row>23</xdr:row>
          <xdr:rowOff>257175</xdr:rowOff>
        </xdr:to>
        <xdr:sp>
          <xdr:nvSpPr>
            <xdr:cNvPr id="7228" name="Check Box 60" hidden="1">
              <a:extLst>
                <a:ext uri="{63B3BB69-23CF-44E3-9099-C40C66FF867C}">
                  <a14:compatExt spid="_x0000_s7228"/>
                </a:ext>
              </a:extLst>
            </xdr:cNvPr>
            <xdr:cNvSpPr/>
          </xdr:nvSpPr>
          <xdr:spPr>
            <a:xfrm>
              <a:off x="3467100" y="71151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24</xdr:row>
          <xdr:rowOff>47625</xdr:rowOff>
        </xdr:from>
        <xdr:to>
          <xdr:col>11</xdr:col>
          <xdr:colOff>104775</xdr:colOff>
          <xdr:row>24</xdr:row>
          <xdr:rowOff>257175</xdr:rowOff>
        </xdr:to>
        <xdr:sp>
          <xdr:nvSpPr>
            <xdr:cNvPr id="7229" name="Check Box 61" hidden="1">
              <a:extLst>
                <a:ext uri="{63B3BB69-23CF-44E3-9099-C40C66FF867C}">
                  <a14:compatExt spid="_x0000_s7229"/>
                </a:ext>
              </a:extLst>
            </xdr:cNvPr>
            <xdr:cNvSpPr/>
          </xdr:nvSpPr>
          <xdr:spPr>
            <a:xfrm>
              <a:off x="2571750" y="74199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24</xdr:row>
          <xdr:rowOff>47625</xdr:rowOff>
        </xdr:from>
        <xdr:to>
          <xdr:col>15</xdr:col>
          <xdr:colOff>0</xdr:colOff>
          <xdr:row>24</xdr:row>
          <xdr:rowOff>257175</xdr:rowOff>
        </xdr:to>
        <xdr:sp>
          <xdr:nvSpPr>
            <xdr:cNvPr id="7230" name="Check Box 62" hidden="1">
              <a:extLst>
                <a:ext uri="{63B3BB69-23CF-44E3-9099-C40C66FF867C}">
                  <a14:compatExt spid="_x0000_s7230"/>
                </a:ext>
              </a:extLst>
            </xdr:cNvPr>
            <xdr:cNvSpPr/>
          </xdr:nvSpPr>
          <xdr:spPr>
            <a:xfrm>
              <a:off x="3467100" y="74199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352425</xdr:colOff>
          <xdr:row>3</xdr:row>
          <xdr:rowOff>47625</xdr:rowOff>
        </xdr:from>
        <xdr:to>
          <xdr:col>24</xdr:col>
          <xdr:colOff>95250</xdr:colOff>
          <xdr:row>3</xdr:row>
          <xdr:rowOff>257175</xdr:rowOff>
        </xdr:to>
        <xdr:sp>
          <xdr:nvSpPr>
            <xdr:cNvPr id="7231" name="Check Box 63" hidden="1">
              <a:extLst>
                <a:ext uri="{63B3BB69-23CF-44E3-9099-C40C66FF867C}">
                  <a14:compatExt spid="_x0000_s7231"/>
                </a:ext>
              </a:extLst>
            </xdr:cNvPr>
            <xdr:cNvSpPr/>
          </xdr:nvSpPr>
          <xdr:spPr>
            <a:xfrm>
              <a:off x="5810250" y="10191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57150</xdr:colOff>
          <xdr:row>3</xdr:row>
          <xdr:rowOff>47625</xdr:rowOff>
        </xdr:from>
        <xdr:to>
          <xdr:col>28</xdr:col>
          <xdr:colOff>38100</xdr:colOff>
          <xdr:row>3</xdr:row>
          <xdr:rowOff>257175</xdr:rowOff>
        </xdr:to>
        <xdr:sp>
          <xdr:nvSpPr>
            <xdr:cNvPr id="7232" name="Check Box 64" hidden="1">
              <a:extLst>
                <a:ext uri="{63B3BB69-23CF-44E3-9099-C40C66FF867C}">
                  <a14:compatExt spid="_x0000_s7232"/>
                </a:ext>
              </a:extLst>
            </xdr:cNvPr>
            <xdr:cNvSpPr/>
          </xdr:nvSpPr>
          <xdr:spPr>
            <a:xfrm>
              <a:off x="6419850" y="10191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114300</xdr:colOff>
          <xdr:row>3</xdr:row>
          <xdr:rowOff>47625</xdr:rowOff>
        </xdr:from>
        <xdr:to>
          <xdr:col>30</xdr:col>
          <xdr:colOff>38100</xdr:colOff>
          <xdr:row>3</xdr:row>
          <xdr:rowOff>257175</xdr:rowOff>
        </xdr:to>
        <xdr:sp>
          <xdr:nvSpPr>
            <xdr:cNvPr id="7233" name="Check Box 65" hidden="1">
              <a:extLst>
                <a:ext uri="{63B3BB69-23CF-44E3-9099-C40C66FF867C}">
                  <a14:compatExt spid="_x0000_s7233"/>
                </a:ext>
              </a:extLst>
            </xdr:cNvPr>
            <xdr:cNvSpPr/>
          </xdr:nvSpPr>
          <xdr:spPr>
            <a:xfrm>
              <a:off x="7096125" y="1019175"/>
              <a:ext cx="304800" cy="2095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twoCellAnchor>
    <xdr:from>
      <xdr:col>1</xdr:col>
      <xdr:colOff>123825</xdr:colOff>
      <xdr:row>0</xdr:row>
      <xdr:rowOff>38100</xdr:rowOff>
    </xdr:from>
    <xdr:to>
      <xdr:col>3</xdr:col>
      <xdr:colOff>9525</xdr:colOff>
      <xdr:row>2</xdr:row>
      <xdr:rowOff>85725</xdr:rowOff>
    </xdr:to>
    <xdr:pic>
      <xdr:nvPicPr>
        <xdr:cNvPr id="41" name="图片 40" descr="关徽"/>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14325" y="381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5</xdr:col>
      <xdr:colOff>104775</xdr:colOff>
      <xdr:row>33</xdr:row>
      <xdr:rowOff>85725</xdr:rowOff>
    </xdr:from>
    <xdr:to>
      <xdr:col>5</xdr:col>
      <xdr:colOff>228600</xdr:colOff>
      <xdr:row>33</xdr:row>
      <xdr:rowOff>219075</xdr:rowOff>
    </xdr:to>
    <xdr:sp>
      <xdr:nvSpPr>
        <xdr:cNvPr id="41985" name="AutoShape 2"/>
        <xdr:cNvSpPr>
          <a:spLocks noChangeArrowheads="1"/>
        </xdr:cNvSpPr>
      </xdr:nvSpPr>
      <xdr:spPr>
        <a:xfrm>
          <a:off x="4800600" y="8705850"/>
          <a:ext cx="123825" cy="133350"/>
        </a:xfrm>
        <a:prstGeom prst="diamond">
          <a:avLst/>
        </a:prstGeom>
        <a:solidFill>
          <a:srgbClr val="000000"/>
        </a:solidFill>
        <a:ln w="9525">
          <a:solidFill>
            <a:srgbClr val="000000"/>
          </a:solidFill>
          <a:miter lim="800000"/>
        </a:ln>
      </xdr:spPr>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5</xdr:col>
      <xdr:colOff>104775</xdr:colOff>
      <xdr:row>33</xdr:row>
      <xdr:rowOff>85725</xdr:rowOff>
    </xdr:from>
    <xdr:to>
      <xdr:col>5</xdr:col>
      <xdr:colOff>228600</xdr:colOff>
      <xdr:row>33</xdr:row>
      <xdr:rowOff>219075</xdr:rowOff>
    </xdr:to>
    <xdr:sp>
      <xdr:nvSpPr>
        <xdr:cNvPr id="43009" name="AutoShape 2"/>
        <xdr:cNvSpPr>
          <a:spLocks noChangeArrowheads="1"/>
        </xdr:cNvSpPr>
      </xdr:nvSpPr>
      <xdr:spPr>
        <a:xfrm>
          <a:off x="5095875" y="8705850"/>
          <a:ext cx="123825" cy="133350"/>
        </a:xfrm>
        <a:prstGeom prst="diamond">
          <a:avLst/>
        </a:prstGeom>
        <a:solidFill>
          <a:srgbClr val="000000"/>
        </a:solidFill>
        <a:ln w="9525">
          <a:solidFill>
            <a:srgbClr val="000000"/>
          </a:solidFill>
          <a:miter lim="800000"/>
        </a:ln>
      </xdr:spPr>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57150</xdr:rowOff>
    </xdr:from>
    <xdr:to>
      <xdr:col>3</xdr:col>
      <xdr:colOff>285750</xdr:colOff>
      <xdr:row>3</xdr:row>
      <xdr:rowOff>0</xdr:rowOff>
    </xdr:to>
    <xdr:pic>
      <xdr:nvPicPr>
        <xdr:cNvPr id="44033" name="Picture 1"/>
        <xdr:cNvPicPr>
          <a:picLocks noChangeAspect="1" noChangeArrowheads="1"/>
        </xdr:cNvPicPr>
      </xdr:nvPicPr>
      <xdr:blipFill>
        <a:blip r:embed="rId1" cstate="print"/>
        <a:srcRect/>
        <a:stretch>
          <a:fillRect/>
        </a:stretch>
      </xdr:blipFill>
      <xdr:spPr>
        <a:xfrm>
          <a:off x="466725" y="57150"/>
          <a:ext cx="1000125" cy="80010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457200</xdr:colOff>
      <xdr:row>0</xdr:row>
      <xdr:rowOff>57150</xdr:rowOff>
    </xdr:from>
    <xdr:to>
      <xdr:col>3</xdr:col>
      <xdr:colOff>209550</xdr:colOff>
      <xdr:row>3</xdr:row>
      <xdr:rowOff>9525</xdr:rowOff>
    </xdr:to>
    <xdr:pic>
      <xdr:nvPicPr>
        <xdr:cNvPr id="45057" name="Picture 1"/>
        <xdr:cNvPicPr>
          <a:picLocks noChangeAspect="1" noChangeArrowheads="1"/>
        </xdr:cNvPicPr>
      </xdr:nvPicPr>
      <xdr:blipFill>
        <a:blip r:embed="rId1" cstate="print"/>
        <a:srcRect/>
        <a:stretch>
          <a:fillRect/>
        </a:stretch>
      </xdr:blipFill>
      <xdr:spPr>
        <a:xfrm>
          <a:off x="457200" y="57150"/>
          <a:ext cx="1000125" cy="809625"/>
        </a:xfrm>
        <a:prstGeom prst="rect">
          <a:avLst/>
        </a:prstGeom>
        <a:noFill/>
        <a:ln w="9525">
          <a:noFill/>
          <a:miter lim="800000"/>
          <a:headEnd/>
          <a:tailEnd/>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57150</xdr:rowOff>
    </xdr:from>
    <xdr:to>
      <xdr:col>3</xdr:col>
      <xdr:colOff>219075</xdr:colOff>
      <xdr:row>3</xdr:row>
      <xdr:rowOff>0</xdr:rowOff>
    </xdr:to>
    <xdr:pic>
      <xdr:nvPicPr>
        <xdr:cNvPr id="46081" name="Picture 1"/>
        <xdr:cNvPicPr>
          <a:picLocks noChangeAspect="1" noChangeArrowheads="1"/>
        </xdr:cNvPicPr>
      </xdr:nvPicPr>
      <xdr:blipFill>
        <a:blip r:embed="rId1" cstate="print"/>
        <a:srcRect/>
        <a:stretch>
          <a:fillRect/>
        </a:stretch>
      </xdr:blipFill>
      <xdr:spPr>
        <a:xfrm>
          <a:off x="466725" y="57150"/>
          <a:ext cx="1000125" cy="8001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A\Desktop\20200702&#24503;&#32724;&#24247;&#20035;&#36842;&#20811;\&#33337;&#21592;&#21517;&#2133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efreshError="1"/>
      <sheetData sheetId="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0" Type="http://schemas.openxmlformats.org/officeDocument/2006/relationships/ctrlProp" Target="../ctrlProps/ctrlProp8.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ctrlProp" Target="../ctrlProps/ctrlProp14.xml"/><Relationship Id="rId8" Type="http://schemas.openxmlformats.org/officeDocument/2006/relationships/ctrlProp" Target="../ctrlProps/ctrlProp13.xml"/><Relationship Id="rId7" Type="http://schemas.openxmlformats.org/officeDocument/2006/relationships/ctrlProp" Target="../ctrlProps/ctrlProp12.xml"/><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 Id="rId3" Type="http://schemas.openxmlformats.org/officeDocument/2006/relationships/vmlDrawing" Target="../drawings/vmlDrawing2.vml"/><Relationship Id="rId2" Type="http://schemas.openxmlformats.org/officeDocument/2006/relationships/drawing" Target="../drawings/drawing2.xml"/><Relationship Id="rId11" Type="http://schemas.openxmlformats.org/officeDocument/2006/relationships/ctrlProp" Target="../ctrlProps/ctrlProp16.xml"/><Relationship Id="rId10" Type="http://schemas.openxmlformats.org/officeDocument/2006/relationships/ctrlProp" Target="../ctrlProps/ctrlProp15.x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4" Type="http://schemas.openxmlformats.org/officeDocument/2006/relationships/ctrlProp" Target="../ctrlProps/ctrlProp18.xml"/><Relationship Id="rId3" Type="http://schemas.openxmlformats.org/officeDocument/2006/relationships/ctrlProp" Target="../ctrlProps/ctrlProp17.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4" Type="http://schemas.openxmlformats.org/officeDocument/2006/relationships/ctrlProp" Target="../ctrlProps/ctrlProp20.xml"/><Relationship Id="rId3" Type="http://schemas.openxmlformats.org/officeDocument/2006/relationships/ctrlProp" Target="../ctrlProps/ctrlProp19.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6" Type="http://schemas.openxmlformats.org/officeDocument/2006/relationships/ctrlProp" Target="../ctrlProps/ctrlProp24.xml"/><Relationship Id="rId5" Type="http://schemas.openxmlformats.org/officeDocument/2006/relationships/ctrlProp" Target="../ctrlProps/ctrlProp23.xml"/><Relationship Id="rId4" Type="http://schemas.openxmlformats.org/officeDocument/2006/relationships/ctrlProp" Target="../ctrlProps/ctrlProp22.xml"/><Relationship Id="rId3" Type="http://schemas.openxmlformats.org/officeDocument/2006/relationships/ctrlProp" Target="../ctrlProps/ctrlProp21.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6" Type="http://schemas.openxmlformats.org/officeDocument/2006/relationships/ctrlProp" Target="../ctrlProps/ctrlProp28.xml"/><Relationship Id="rId5" Type="http://schemas.openxmlformats.org/officeDocument/2006/relationships/ctrlProp" Target="../ctrlProps/ctrlProp27.xml"/><Relationship Id="rId4" Type="http://schemas.openxmlformats.org/officeDocument/2006/relationships/ctrlProp" Target="../ctrlProps/ctrlProp26.xml"/><Relationship Id="rId3" Type="http://schemas.openxmlformats.org/officeDocument/2006/relationships/ctrlProp" Target="../ctrlProps/ctrlProp25.xml"/><Relationship Id="rId2" Type="http://schemas.openxmlformats.org/officeDocument/2006/relationships/vmlDrawing" Target="../drawings/vmlDrawing8.v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4" Type="http://schemas.openxmlformats.org/officeDocument/2006/relationships/ctrlProp" Target="../ctrlProps/ctrlProp30.xml"/><Relationship Id="rId3" Type="http://schemas.openxmlformats.org/officeDocument/2006/relationships/ctrlProp" Target="../ctrlProps/ctrlProp29.xml"/><Relationship Id="rId2" Type="http://schemas.openxmlformats.org/officeDocument/2006/relationships/vmlDrawing" Target="../drawings/vmlDrawing10.vml"/><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9" Type="http://schemas.openxmlformats.org/officeDocument/2006/relationships/ctrlProp" Target="../ctrlProps/ctrlProp37.xml"/><Relationship Id="rId8" Type="http://schemas.openxmlformats.org/officeDocument/2006/relationships/ctrlProp" Target="../ctrlProps/ctrlProp36.xml"/><Relationship Id="rId7" Type="http://schemas.openxmlformats.org/officeDocument/2006/relationships/ctrlProp" Target="../ctrlProps/ctrlProp35.xml"/><Relationship Id="rId6" Type="http://schemas.openxmlformats.org/officeDocument/2006/relationships/ctrlProp" Target="../ctrlProps/ctrlProp34.xml"/><Relationship Id="rId5" Type="http://schemas.openxmlformats.org/officeDocument/2006/relationships/ctrlProp" Target="../ctrlProps/ctrlProp33.xml"/><Relationship Id="rId41" Type="http://schemas.openxmlformats.org/officeDocument/2006/relationships/ctrlProp" Target="../ctrlProps/ctrlProp69.xml"/><Relationship Id="rId40" Type="http://schemas.openxmlformats.org/officeDocument/2006/relationships/ctrlProp" Target="../ctrlProps/ctrlProp68.xml"/><Relationship Id="rId4" Type="http://schemas.openxmlformats.org/officeDocument/2006/relationships/ctrlProp" Target="../ctrlProps/ctrlProp32.xml"/><Relationship Id="rId39" Type="http://schemas.openxmlformats.org/officeDocument/2006/relationships/ctrlProp" Target="../ctrlProps/ctrlProp67.xml"/><Relationship Id="rId38" Type="http://schemas.openxmlformats.org/officeDocument/2006/relationships/ctrlProp" Target="../ctrlProps/ctrlProp66.xml"/><Relationship Id="rId37" Type="http://schemas.openxmlformats.org/officeDocument/2006/relationships/ctrlProp" Target="../ctrlProps/ctrlProp65.xml"/><Relationship Id="rId36" Type="http://schemas.openxmlformats.org/officeDocument/2006/relationships/ctrlProp" Target="../ctrlProps/ctrlProp64.xml"/><Relationship Id="rId35" Type="http://schemas.openxmlformats.org/officeDocument/2006/relationships/ctrlProp" Target="../ctrlProps/ctrlProp63.xml"/><Relationship Id="rId34" Type="http://schemas.openxmlformats.org/officeDocument/2006/relationships/ctrlProp" Target="../ctrlProps/ctrlProp62.xml"/><Relationship Id="rId33" Type="http://schemas.openxmlformats.org/officeDocument/2006/relationships/ctrlProp" Target="../ctrlProps/ctrlProp61.xml"/><Relationship Id="rId32" Type="http://schemas.openxmlformats.org/officeDocument/2006/relationships/ctrlProp" Target="../ctrlProps/ctrlProp60.xml"/><Relationship Id="rId31" Type="http://schemas.openxmlformats.org/officeDocument/2006/relationships/ctrlProp" Target="../ctrlProps/ctrlProp59.xml"/><Relationship Id="rId30" Type="http://schemas.openxmlformats.org/officeDocument/2006/relationships/ctrlProp" Target="../ctrlProps/ctrlProp58.xml"/><Relationship Id="rId3" Type="http://schemas.openxmlformats.org/officeDocument/2006/relationships/ctrlProp" Target="../ctrlProps/ctrlProp31.xml"/><Relationship Id="rId29" Type="http://schemas.openxmlformats.org/officeDocument/2006/relationships/ctrlProp" Target="../ctrlProps/ctrlProp57.xml"/><Relationship Id="rId28" Type="http://schemas.openxmlformats.org/officeDocument/2006/relationships/ctrlProp" Target="../ctrlProps/ctrlProp56.xml"/><Relationship Id="rId27" Type="http://schemas.openxmlformats.org/officeDocument/2006/relationships/ctrlProp" Target="../ctrlProps/ctrlProp55.xml"/><Relationship Id="rId26" Type="http://schemas.openxmlformats.org/officeDocument/2006/relationships/ctrlProp" Target="../ctrlProps/ctrlProp54.xml"/><Relationship Id="rId25" Type="http://schemas.openxmlformats.org/officeDocument/2006/relationships/ctrlProp" Target="../ctrlProps/ctrlProp53.xml"/><Relationship Id="rId24" Type="http://schemas.openxmlformats.org/officeDocument/2006/relationships/ctrlProp" Target="../ctrlProps/ctrlProp52.xml"/><Relationship Id="rId23" Type="http://schemas.openxmlformats.org/officeDocument/2006/relationships/ctrlProp" Target="../ctrlProps/ctrlProp51.xml"/><Relationship Id="rId22" Type="http://schemas.openxmlformats.org/officeDocument/2006/relationships/ctrlProp" Target="../ctrlProps/ctrlProp50.xml"/><Relationship Id="rId21" Type="http://schemas.openxmlformats.org/officeDocument/2006/relationships/ctrlProp" Target="../ctrlProps/ctrlProp49.xml"/><Relationship Id="rId20" Type="http://schemas.openxmlformats.org/officeDocument/2006/relationships/ctrlProp" Target="../ctrlProps/ctrlProp48.xml"/><Relationship Id="rId2" Type="http://schemas.openxmlformats.org/officeDocument/2006/relationships/vmlDrawing" Target="../drawings/vmlDrawing11.vml"/><Relationship Id="rId19" Type="http://schemas.openxmlformats.org/officeDocument/2006/relationships/ctrlProp" Target="../ctrlProps/ctrlProp47.xml"/><Relationship Id="rId18" Type="http://schemas.openxmlformats.org/officeDocument/2006/relationships/ctrlProp" Target="../ctrlProps/ctrlProp46.xml"/><Relationship Id="rId17" Type="http://schemas.openxmlformats.org/officeDocument/2006/relationships/ctrlProp" Target="../ctrlProps/ctrlProp45.xml"/><Relationship Id="rId16" Type="http://schemas.openxmlformats.org/officeDocument/2006/relationships/ctrlProp" Target="../ctrlProps/ctrlProp44.xml"/><Relationship Id="rId15" Type="http://schemas.openxmlformats.org/officeDocument/2006/relationships/ctrlProp" Target="../ctrlProps/ctrlProp43.xml"/><Relationship Id="rId14" Type="http://schemas.openxmlformats.org/officeDocument/2006/relationships/ctrlProp" Target="../ctrlProps/ctrlProp42.xml"/><Relationship Id="rId13" Type="http://schemas.openxmlformats.org/officeDocument/2006/relationships/ctrlProp" Target="../ctrlProps/ctrlProp41.xml"/><Relationship Id="rId12" Type="http://schemas.openxmlformats.org/officeDocument/2006/relationships/ctrlProp" Target="../ctrlProps/ctrlProp40.xml"/><Relationship Id="rId11" Type="http://schemas.openxmlformats.org/officeDocument/2006/relationships/ctrlProp" Target="../ctrlProps/ctrlProp39.xml"/><Relationship Id="rId10" Type="http://schemas.openxmlformats.org/officeDocument/2006/relationships/ctrlProp" Target="../ctrlProps/ctrlProp38.xml"/><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9" Type="http://schemas.openxmlformats.org/officeDocument/2006/relationships/ctrlProp" Target="../ctrlProps/ctrlProp76.xml"/><Relationship Id="rId8" Type="http://schemas.openxmlformats.org/officeDocument/2006/relationships/ctrlProp" Target="../ctrlProps/ctrlProp75.xml"/><Relationship Id="rId7" Type="http://schemas.openxmlformats.org/officeDocument/2006/relationships/ctrlProp" Target="../ctrlProps/ctrlProp74.xml"/><Relationship Id="rId6" Type="http://schemas.openxmlformats.org/officeDocument/2006/relationships/ctrlProp" Target="../ctrlProps/ctrlProp73.xml"/><Relationship Id="rId5" Type="http://schemas.openxmlformats.org/officeDocument/2006/relationships/ctrlProp" Target="../ctrlProps/ctrlProp72.xml"/><Relationship Id="rId41" Type="http://schemas.openxmlformats.org/officeDocument/2006/relationships/ctrlProp" Target="../ctrlProps/ctrlProp108.xml"/><Relationship Id="rId40" Type="http://schemas.openxmlformats.org/officeDocument/2006/relationships/ctrlProp" Target="../ctrlProps/ctrlProp107.xml"/><Relationship Id="rId4" Type="http://schemas.openxmlformats.org/officeDocument/2006/relationships/ctrlProp" Target="../ctrlProps/ctrlProp71.xml"/><Relationship Id="rId39" Type="http://schemas.openxmlformats.org/officeDocument/2006/relationships/ctrlProp" Target="../ctrlProps/ctrlProp106.xml"/><Relationship Id="rId38" Type="http://schemas.openxmlformats.org/officeDocument/2006/relationships/ctrlProp" Target="../ctrlProps/ctrlProp105.xml"/><Relationship Id="rId37" Type="http://schemas.openxmlformats.org/officeDocument/2006/relationships/ctrlProp" Target="../ctrlProps/ctrlProp104.xml"/><Relationship Id="rId36" Type="http://schemas.openxmlformats.org/officeDocument/2006/relationships/ctrlProp" Target="../ctrlProps/ctrlProp103.xml"/><Relationship Id="rId35" Type="http://schemas.openxmlformats.org/officeDocument/2006/relationships/ctrlProp" Target="../ctrlProps/ctrlProp102.xml"/><Relationship Id="rId34" Type="http://schemas.openxmlformats.org/officeDocument/2006/relationships/ctrlProp" Target="../ctrlProps/ctrlProp101.xml"/><Relationship Id="rId33" Type="http://schemas.openxmlformats.org/officeDocument/2006/relationships/ctrlProp" Target="../ctrlProps/ctrlProp100.xml"/><Relationship Id="rId32" Type="http://schemas.openxmlformats.org/officeDocument/2006/relationships/ctrlProp" Target="../ctrlProps/ctrlProp99.xml"/><Relationship Id="rId31" Type="http://schemas.openxmlformats.org/officeDocument/2006/relationships/ctrlProp" Target="../ctrlProps/ctrlProp98.xml"/><Relationship Id="rId30" Type="http://schemas.openxmlformats.org/officeDocument/2006/relationships/ctrlProp" Target="../ctrlProps/ctrlProp97.xml"/><Relationship Id="rId3" Type="http://schemas.openxmlformats.org/officeDocument/2006/relationships/ctrlProp" Target="../ctrlProps/ctrlProp70.xml"/><Relationship Id="rId29" Type="http://schemas.openxmlformats.org/officeDocument/2006/relationships/ctrlProp" Target="../ctrlProps/ctrlProp96.xml"/><Relationship Id="rId28" Type="http://schemas.openxmlformats.org/officeDocument/2006/relationships/ctrlProp" Target="../ctrlProps/ctrlProp95.xml"/><Relationship Id="rId27" Type="http://schemas.openxmlformats.org/officeDocument/2006/relationships/ctrlProp" Target="../ctrlProps/ctrlProp94.xml"/><Relationship Id="rId26" Type="http://schemas.openxmlformats.org/officeDocument/2006/relationships/ctrlProp" Target="../ctrlProps/ctrlProp93.xml"/><Relationship Id="rId25" Type="http://schemas.openxmlformats.org/officeDocument/2006/relationships/ctrlProp" Target="../ctrlProps/ctrlProp92.xml"/><Relationship Id="rId24" Type="http://schemas.openxmlformats.org/officeDocument/2006/relationships/ctrlProp" Target="../ctrlProps/ctrlProp91.xml"/><Relationship Id="rId23" Type="http://schemas.openxmlformats.org/officeDocument/2006/relationships/ctrlProp" Target="../ctrlProps/ctrlProp90.xml"/><Relationship Id="rId22" Type="http://schemas.openxmlformats.org/officeDocument/2006/relationships/ctrlProp" Target="../ctrlProps/ctrlProp89.xml"/><Relationship Id="rId21" Type="http://schemas.openxmlformats.org/officeDocument/2006/relationships/ctrlProp" Target="../ctrlProps/ctrlProp88.xml"/><Relationship Id="rId20" Type="http://schemas.openxmlformats.org/officeDocument/2006/relationships/ctrlProp" Target="../ctrlProps/ctrlProp87.xml"/><Relationship Id="rId2" Type="http://schemas.openxmlformats.org/officeDocument/2006/relationships/vmlDrawing" Target="../drawings/vmlDrawing12.vml"/><Relationship Id="rId19" Type="http://schemas.openxmlformats.org/officeDocument/2006/relationships/ctrlProp" Target="../ctrlProps/ctrlProp86.xml"/><Relationship Id="rId18" Type="http://schemas.openxmlformats.org/officeDocument/2006/relationships/ctrlProp" Target="../ctrlProps/ctrlProp85.xml"/><Relationship Id="rId17" Type="http://schemas.openxmlformats.org/officeDocument/2006/relationships/ctrlProp" Target="../ctrlProps/ctrlProp84.xml"/><Relationship Id="rId16" Type="http://schemas.openxmlformats.org/officeDocument/2006/relationships/ctrlProp" Target="../ctrlProps/ctrlProp83.xml"/><Relationship Id="rId15" Type="http://schemas.openxmlformats.org/officeDocument/2006/relationships/ctrlProp" Target="../ctrlProps/ctrlProp82.xml"/><Relationship Id="rId14" Type="http://schemas.openxmlformats.org/officeDocument/2006/relationships/ctrlProp" Target="../ctrlProps/ctrlProp81.xml"/><Relationship Id="rId13" Type="http://schemas.openxmlformats.org/officeDocument/2006/relationships/ctrlProp" Target="../ctrlProps/ctrlProp80.xml"/><Relationship Id="rId12" Type="http://schemas.openxmlformats.org/officeDocument/2006/relationships/ctrlProp" Target="../ctrlProps/ctrlProp79.xml"/><Relationship Id="rId11" Type="http://schemas.openxmlformats.org/officeDocument/2006/relationships/ctrlProp" Target="../ctrlProps/ctrlProp78.xml"/><Relationship Id="rId10" Type="http://schemas.openxmlformats.org/officeDocument/2006/relationships/ctrlProp" Target="../ctrlProps/ctrlProp77.xml"/><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2:I27"/>
  <sheetViews>
    <sheetView topLeftCell="A10" workbookViewId="0">
      <selection activeCell="N15" sqref="N15"/>
    </sheetView>
  </sheetViews>
  <sheetFormatPr defaultColWidth="9.875" defaultRowHeight="24" customHeight="1"/>
  <cols>
    <col min="1" max="16384" width="9.875" style="1227"/>
  </cols>
  <sheetData>
    <row r="2" ht="9" customHeight="1" spans="1:9">
      <c r="A2" s="1228"/>
      <c r="B2" s="1229"/>
      <c r="C2" s="1229"/>
      <c r="D2" s="1229"/>
      <c r="E2" s="1229"/>
      <c r="F2" s="1229"/>
      <c r="G2" s="1229"/>
      <c r="H2" s="1229"/>
      <c r="I2" s="1230"/>
    </row>
    <row r="3" customHeight="1" spans="1:9">
      <c r="A3" s="1231"/>
      <c r="B3" s="1232"/>
      <c r="C3" s="1232"/>
      <c r="D3" s="1232"/>
      <c r="E3" s="1146" t="s">
        <v>0</v>
      </c>
      <c r="F3" s="1232"/>
      <c r="G3" s="1232"/>
      <c r="H3" s="1232"/>
      <c r="I3" s="1233"/>
    </row>
    <row r="4" ht="9" customHeight="1" spans="1:9">
      <c r="A4" s="1231"/>
      <c r="B4" s="1232"/>
      <c r="C4" s="1232"/>
      <c r="D4" s="1232"/>
      <c r="E4" s="1232"/>
      <c r="F4" s="1232"/>
      <c r="G4" s="1232"/>
      <c r="H4" s="1232"/>
      <c r="I4" s="1233"/>
    </row>
    <row r="5" customHeight="1" spans="1:9">
      <c r="A5" s="1231"/>
      <c r="B5" s="1232"/>
      <c r="C5" s="1232"/>
      <c r="D5" s="1232"/>
      <c r="E5" s="1146" t="s">
        <v>1</v>
      </c>
      <c r="F5" s="1232"/>
      <c r="G5" s="1232"/>
      <c r="H5" s="1232"/>
      <c r="I5" s="1233"/>
    </row>
    <row r="6" customHeight="1" spans="1:9">
      <c r="A6" s="1231"/>
      <c r="B6" s="1232"/>
      <c r="C6" s="1232"/>
      <c r="D6" s="1232"/>
      <c r="E6" s="1232"/>
      <c r="F6" s="1232"/>
      <c r="G6" s="1232"/>
      <c r="H6" s="1232"/>
      <c r="I6" s="1233"/>
    </row>
    <row r="7" customHeight="1" spans="1:9">
      <c r="A7" s="1231"/>
      <c r="B7" s="1232"/>
      <c r="C7" s="1232"/>
      <c r="D7" s="1232"/>
      <c r="E7" s="1232"/>
      <c r="F7" s="1232"/>
      <c r="G7" s="1232"/>
      <c r="H7" s="1232"/>
      <c r="I7" s="1233"/>
    </row>
    <row r="8" customHeight="1" spans="1:9">
      <c r="A8" s="1231"/>
      <c r="B8" s="1232"/>
      <c r="C8" s="1232"/>
      <c r="E8" s="1234" t="s">
        <v>2</v>
      </c>
      <c r="F8" s="1235" t="str">
        <f>'Gen Inb'!I10</f>
        <v>IMO:1032452</v>
      </c>
      <c r="G8" s="1235"/>
      <c r="H8" s="1232"/>
      <c r="I8" s="1233"/>
    </row>
    <row r="9" customHeight="1" spans="1:9">
      <c r="A9" s="1231"/>
      <c r="B9" s="1232"/>
      <c r="C9" s="1232"/>
      <c r="D9" s="1232"/>
      <c r="E9" s="1232"/>
      <c r="F9" s="1232"/>
      <c r="G9" s="1232"/>
      <c r="H9" s="1232"/>
      <c r="I9" s="1233"/>
    </row>
    <row r="10" customHeight="1" spans="1:9">
      <c r="A10" s="1231"/>
      <c r="B10" s="1232"/>
      <c r="C10" s="1232"/>
      <c r="D10" s="1232"/>
      <c r="E10" s="1232"/>
      <c r="F10" s="1232"/>
      <c r="G10" s="1232"/>
      <c r="H10" s="1232"/>
      <c r="I10" s="1233"/>
    </row>
    <row r="11" customHeight="1" spans="1:9">
      <c r="A11" s="1231"/>
      <c r="B11" s="1232"/>
      <c r="C11" s="1232"/>
      <c r="D11" s="1232"/>
      <c r="E11" s="1232"/>
      <c r="F11" s="1232"/>
      <c r="G11" s="1232"/>
      <c r="H11" s="1232"/>
      <c r="I11" s="1233"/>
    </row>
    <row r="12" customHeight="1" spans="1:9">
      <c r="A12" s="1231"/>
      <c r="B12" s="1232"/>
      <c r="C12" s="1232"/>
      <c r="D12" s="1232"/>
      <c r="E12" s="1232"/>
      <c r="F12" s="1232"/>
      <c r="G12" s="1232"/>
      <c r="H12" s="1232"/>
      <c r="I12" s="1233"/>
    </row>
    <row r="13" customHeight="1" spans="1:9">
      <c r="A13" s="1231"/>
      <c r="B13" s="1232"/>
      <c r="C13" s="1232"/>
      <c r="D13" s="1232"/>
      <c r="E13" s="1232"/>
      <c r="F13" s="1232"/>
      <c r="G13" s="1232"/>
      <c r="H13" s="1232"/>
      <c r="I13" s="1233"/>
    </row>
    <row r="14" customHeight="1" spans="1:9">
      <c r="A14" s="1231"/>
      <c r="B14" s="1232"/>
      <c r="C14" s="1232"/>
      <c r="D14" s="1232"/>
      <c r="E14" s="1232"/>
      <c r="F14" s="1232"/>
      <c r="G14" s="1232"/>
      <c r="H14" s="1232"/>
      <c r="I14" s="1233"/>
    </row>
    <row r="15" customHeight="1" spans="1:9">
      <c r="A15" s="1231"/>
      <c r="B15" s="1232"/>
      <c r="C15" s="1232"/>
      <c r="D15" s="1232"/>
      <c r="E15" s="1232"/>
      <c r="F15" s="1232"/>
      <c r="G15" s="1232"/>
      <c r="H15" s="1232"/>
      <c r="I15" s="1233"/>
    </row>
    <row r="16" customHeight="1" spans="1:9">
      <c r="A16" s="1231"/>
      <c r="B16" s="1232"/>
      <c r="C16" s="1232"/>
      <c r="D16" s="1232"/>
      <c r="E16" s="1232"/>
      <c r="F16" s="1232"/>
      <c r="G16" s="1232"/>
      <c r="H16" s="1232"/>
      <c r="I16" s="1233"/>
    </row>
    <row r="17" customHeight="1" spans="1:9">
      <c r="A17" s="1231"/>
      <c r="B17" s="1232"/>
      <c r="C17" s="1232"/>
      <c r="D17" s="1232"/>
      <c r="E17" s="1232"/>
      <c r="F17" s="1232"/>
      <c r="G17" s="1232"/>
      <c r="H17" s="1232"/>
      <c r="I17" s="1233"/>
    </row>
    <row r="18" ht="34.5" customHeight="1" spans="1:9">
      <c r="A18" s="1231"/>
      <c r="B18" s="1232"/>
      <c r="D18" s="1236" t="s">
        <v>3</v>
      </c>
      <c r="E18" s="1237" t="str">
        <f>'Gen Inb'!I6</f>
        <v>马士基奋进</v>
      </c>
      <c r="F18" s="1237"/>
      <c r="G18" s="1237"/>
      <c r="H18" s="1232"/>
      <c r="I18" s="1233"/>
    </row>
    <row r="19" ht="34.5" customHeight="1" spans="1:9">
      <c r="A19" s="1231"/>
      <c r="B19" s="1232"/>
      <c r="D19" s="1236" t="s">
        <v>4</v>
      </c>
      <c r="E19" s="1237" t="str">
        <f>'Gen Inb'!I7</f>
        <v>ERASMUS EFFORT</v>
      </c>
      <c r="F19" s="1237"/>
      <c r="G19" s="1237"/>
      <c r="H19" s="1232"/>
      <c r="I19" s="1233"/>
    </row>
    <row r="20" ht="34.5" customHeight="1" spans="1:9">
      <c r="A20" s="1231"/>
      <c r="B20" s="1232"/>
      <c r="D20" s="1236" t="s">
        <v>5</v>
      </c>
      <c r="E20" s="1237" t="str">
        <f>'Gen Inb'!F8</f>
        <v>巴拿马</v>
      </c>
      <c r="F20" s="1237"/>
      <c r="G20" s="1237"/>
      <c r="H20" s="1232"/>
      <c r="I20" s="1233"/>
    </row>
    <row r="21" ht="34.5" customHeight="1" spans="1:9">
      <c r="A21" s="1231"/>
      <c r="B21" s="1232"/>
      <c r="D21" s="1236" t="s">
        <v>6</v>
      </c>
      <c r="E21" s="1237" t="str">
        <f>'IMO Gen Inb'!I21</f>
        <v>船公司：马士基（中国）航运有限公司青岛分公司</v>
      </c>
      <c r="F21" s="1237"/>
      <c r="G21" s="1237"/>
      <c r="H21" s="1232"/>
      <c r="I21" s="1233"/>
    </row>
    <row r="22" ht="34.5" customHeight="1" spans="1:9">
      <c r="A22" s="1231"/>
      <c r="B22" s="1232"/>
      <c r="D22" s="1236" t="s">
        <v>7</v>
      </c>
      <c r="E22" s="1238">
        <f>'Gen Inb'!X6</f>
        <v>46238</v>
      </c>
      <c r="F22" s="1237"/>
      <c r="G22" s="1237"/>
      <c r="H22" s="1232"/>
      <c r="I22" s="1233"/>
    </row>
    <row r="23" ht="34.5" customHeight="1" spans="1:9">
      <c r="A23" s="1231"/>
      <c r="B23" s="1232"/>
      <c r="D23" s="1236" t="s">
        <v>8</v>
      </c>
      <c r="E23" s="1238">
        <f>'Gen Outb'!X6</f>
        <v>44160</v>
      </c>
      <c r="F23" s="1237"/>
      <c r="G23" s="1237"/>
      <c r="H23" s="1232"/>
      <c r="I23" s="1233"/>
    </row>
    <row r="24" customHeight="1" spans="1:9">
      <c r="A24" s="1231"/>
      <c r="B24" s="1232"/>
      <c r="C24" s="1232"/>
      <c r="D24" s="1232"/>
      <c r="E24" s="1232"/>
      <c r="F24" s="1232"/>
      <c r="G24" s="1232"/>
      <c r="H24" s="1232"/>
      <c r="I24" s="1233"/>
    </row>
    <row r="25" customHeight="1" spans="1:9">
      <c r="A25" s="1231"/>
      <c r="B25" s="1232"/>
      <c r="C25" s="1232"/>
      <c r="D25" s="1232"/>
      <c r="E25" s="1232"/>
      <c r="F25" s="1232"/>
      <c r="G25" s="1232"/>
      <c r="H25" s="1232"/>
      <c r="I25" s="1233"/>
    </row>
    <row r="26" ht="33" customHeight="1" spans="1:9">
      <c r="A26" s="1231"/>
      <c r="B26" s="1232"/>
      <c r="C26" s="1232"/>
      <c r="D26" s="1232"/>
      <c r="E26" s="1232"/>
      <c r="F26" s="1232"/>
      <c r="G26" s="1232"/>
      <c r="H26" s="1232"/>
      <c r="I26" s="1233"/>
    </row>
    <row r="27" ht="39" customHeight="1" spans="1:9">
      <c r="A27" s="1239"/>
      <c r="B27" s="1240"/>
      <c r="C27" s="1240"/>
      <c r="D27" s="1240"/>
      <c r="E27" s="1240"/>
      <c r="F27" s="1240"/>
      <c r="G27" s="1240"/>
      <c r="H27" s="1240"/>
      <c r="I27" s="1241"/>
    </row>
  </sheetData>
  <mergeCells count="7">
    <mergeCell ref="F8:G8"/>
    <mergeCell ref="E18:G18"/>
    <mergeCell ref="E19:G19"/>
    <mergeCell ref="E20:G20"/>
    <mergeCell ref="E21:G21"/>
    <mergeCell ref="E22:G22"/>
    <mergeCell ref="E23:G23"/>
  </mergeCells>
  <printOptions horizontalCentered="1"/>
  <pageMargins left="0.707638888888889" right="0.707638888888889" top="0.747916666666667" bottom="0.747916666666667" header="0.313888888888889" footer="0.313888888888889"/>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2:J23"/>
  <sheetViews>
    <sheetView workbookViewId="0">
      <selection activeCell="E9" sqref="E9:F9"/>
    </sheetView>
  </sheetViews>
  <sheetFormatPr defaultColWidth="9.875" defaultRowHeight="24" customHeight="1"/>
  <cols>
    <col min="1" max="1" width="1.5" style="1152" customWidth="1"/>
    <col min="2" max="4" width="12.25" style="1152" customWidth="1"/>
    <col min="5" max="6" width="6.125" style="1152" customWidth="1"/>
    <col min="7" max="9" width="12.25" style="1152" customWidth="1"/>
    <col min="10" max="10" width="1.625" style="1152" customWidth="1"/>
    <col min="11" max="16384" width="9.875" style="1152"/>
  </cols>
  <sheetData>
    <row r="2" ht="9" customHeight="1" spans="1:10">
      <c r="A2" s="1153"/>
      <c r="B2" s="1154"/>
      <c r="C2" s="1154"/>
      <c r="D2" s="1154"/>
      <c r="E2" s="1154"/>
      <c r="F2" s="1154"/>
      <c r="G2" s="1154"/>
      <c r="H2" s="1154"/>
      <c r="I2" s="1154"/>
      <c r="J2" s="1155"/>
    </row>
    <row r="3" customHeight="1" spans="1:10">
      <c r="A3" s="1156"/>
      <c r="B3" s="1157"/>
      <c r="C3" s="1157"/>
      <c r="D3" s="1146" t="s">
        <v>9</v>
      </c>
      <c r="E3" s="1146"/>
      <c r="F3" s="1146"/>
      <c r="G3" s="1146"/>
      <c r="H3" s="1157"/>
      <c r="I3" s="1157"/>
      <c r="J3" s="1158"/>
    </row>
    <row r="4" ht="9" customHeight="1" spans="1:10">
      <c r="A4" s="1156"/>
      <c r="B4" s="1157"/>
      <c r="C4" s="1157"/>
      <c r="D4" s="1157"/>
      <c r="E4" s="1146"/>
      <c r="F4" s="1157"/>
      <c r="G4" s="1157"/>
      <c r="H4" s="1157"/>
      <c r="I4" s="1157"/>
      <c r="J4" s="1158"/>
    </row>
    <row r="5" ht="34.5" customHeight="1" spans="1:10">
      <c r="A5" s="1156"/>
      <c r="B5" s="1169" t="s">
        <v>10</v>
      </c>
      <c r="C5" s="1165" t="s">
        <v>11</v>
      </c>
      <c r="D5" s="1215"/>
      <c r="E5" s="1216" t="s">
        <v>12</v>
      </c>
      <c r="F5" s="1216"/>
      <c r="G5" s="1163" t="s">
        <v>13</v>
      </c>
      <c r="H5" s="1161" t="str">
        <f>'Gen Inb'!W8</f>
        <v>胡志明市</v>
      </c>
      <c r="I5" s="1164"/>
      <c r="J5" s="1158"/>
    </row>
    <row r="6" ht="34.5" customHeight="1" spans="1:10">
      <c r="A6" s="1156"/>
      <c r="B6" s="1174"/>
      <c r="C6" s="1165" t="s">
        <v>14</v>
      </c>
      <c r="D6" s="1215"/>
      <c r="E6" s="1167" t="str">
        <f>'Gen Inb'!W8</f>
        <v>胡志明市</v>
      </c>
      <c r="F6" s="1167"/>
      <c r="G6" s="1163" t="s">
        <v>13</v>
      </c>
      <c r="H6" s="1161" t="str">
        <f>'Gen Inb'!S6</f>
        <v>南沙新港</v>
      </c>
      <c r="I6" s="1164"/>
      <c r="J6" s="1158"/>
    </row>
    <row r="7" ht="34.5" customHeight="1" spans="1:10">
      <c r="A7" s="1156"/>
      <c r="B7" s="1165" t="s">
        <v>15</v>
      </c>
      <c r="C7" s="1165" t="s">
        <v>16</v>
      </c>
      <c r="D7" s="1166">
        <f>COUNTIF('Crew Inb'!G11:G30,"Chinese")</f>
        <v>0</v>
      </c>
      <c r="E7" s="1167"/>
      <c r="F7" s="1168"/>
      <c r="G7" s="1165" t="s">
        <v>17</v>
      </c>
      <c r="H7" s="1166">
        <f>COUNTA('Crew Inb'!C11:C30)-COUNTIF('Crew Inb'!G11:G30,"Chinese")</f>
        <v>20</v>
      </c>
      <c r="I7" s="1168"/>
      <c r="J7" s="1158"/>
    </row>
    <row r="8" ht="34.5" customHeight="1" spans="1:10">
      <c r="A8" s="1156"/>
      <c r="B8" s="1169" t="s">
        <v>18</v>
      </c>
      <c r="C8" s="1169" t="s">
        <v>19</v>
      </c>
      <c r="D8" s="1170">
        <v>20</v>
      </c>
      <c r="E8" s="1171">
        <v>40</v>
      </c>
      <c r="F8" s="1172"/>
      <c r="G8" s="1169" t="s">
        <v>20</v>
      </c>
      <c r="H8" s="1170">
        <v>20</v>
      </c>
      <c r="I8" s="1170">
        <v>40</v>
      </c>
      <c r="J8" s="1158"/>
    </row>
    <row r="9" ht="34.5" customHeight="1" spans="1:10">
      <c r="A9" s="1156"/>
      <c r="B9" s="1173"/>
      <c r="C9" s="1174"/>
      <c r="D9" s="1175">
        <v>67</v>
      </c>
      <c r="E9" s="1176">
        <v>68</v>
      </c>
      <c r="F9" s="1177"/>
      <c r="G9" s="1174"/>
      <c r="H9" s="1175">
        <v>0</v>
      </c>
      <c r="I9" s="1175">
        <v>0</v>
      </c>
      <c r="J9" s="1158"/>
    </row>
    <row r="10" ht="34.5" customHeight="1" spans="1:10">
      <c r="A10" s="1156"/>
      <c r="B10" s="1173"/>
      <c r="C10" s="1169" t="s">
        <v>21</v>
      </c>
      <c r="D10" s="1170">
        <v>20</v>
      </c>
      <c r="E10" s="1171">
        <v>40</v>
      </c>
      <c r="F10" s="1172"/>
      <c r="G10" s="1169" t="s">
        <v>22</v>
      </c>
      <c r="H10" s="1170">
        <v>20</v>
      </c>
      <c r="I10" s="1170">
        <v>40</v>
      </c>
      <c r="J10" s="1158"/>
    </row>
    <row r="11" ht="34.5" customHeight="1" spans="1:10">
      <c r="A11" s="1156"/>
      <c r="B11" s="1174"/>
      <c r="C11" s="1174"/>
      <c r="D11" s="1175">
        <v>0</v>
      </c>
      <c r="E11" s="1176">
        <v>0</v>
      </c>
      <c r="F11" s="1177"/>
      <c r="G11" s="1174"/>
      <c r="H11" s="1175">
        <v>0</v>
      </c>
      <c r="I11" s="1175">
        <v>0</v>
      </c>
      <c r="J11" s="1158"/>
    </row>
    <row r="12" ht="34.5" customHeight="1" spans="1:10">
      <c r="A12" s="1156"/>
      <c r="B12" s="1165" t="s">
        <v>23</v>
      </c>
      <c r="C12" s="1165" t="s">
        <v>24</v>
      </c>
      <c r="D12" s="1166">
        <f>'Parts A'!E5</f>
        <v>9562</v>
      </c>
      <c r="E12" s="1167"/>
      <c r="F12" s="1168"/>
      <c r="G12" s="1217" t="s">
        <v>25</v>
      </c>
      <c r="H12" s="1166">
        <f>'Parts A'!G5</f>
        <v>4523</v>
      </c>
      <c r="I12" s="1168"/>
      <c r="J12" s="1158"/>
    </row>
    <row r="13" ht="34.5" customHeight="1" spans="1:10">
      <c r="A13" s="1156"/>
      <c r="B13" s="1165" t="s">
        <v>26</v>
      </c>
      <c r="C13" s="1218"/>
      <c r="D13" s="1219"/>
      <c r="E13" s="1219"/>
      <c r="F13" s="1220"/>
      <c r="G13" s="1221"/>
      <c r="H13" s="1222"/>
      <c r="I13" s="1223"/>
      <c r="J13" s="1158"/>
    </row>
    <row r="14" ht="34.5" customHeight="1" spans="1:10">
      <c r="A14" s="1156"/>
      <c r="B14" s="1165" t="s">
        <v>27</v>
      </c>
      <c r="C14" s="1184" t="s">
        <v>28</v>
      </c>
      <c r="D14" s="1224"/>
      <c r="E14" s="1224"/>
      <c r="F14" s="1225"/>
      <c r="G14" s="1187" t="s">
        <v>29</v>
      </c>
      <c r="H14" s="1187"/>
      <c r="I14" s="1193"/>
      <c r="J14" s="1158"/>
    </row>
    <row r="15" ht="34.5" customHeight="1" spans="1:10">
      <c r="A15" s="1156"/>
      <c r="B15" s="1165" t="s">
        <v>30</v>
      </c>
      <c r="C15" s="1189">
        <f>'Gen Inb'!X6</f>
        <v>46238</v>
      </c>
      <c r="D15" s="1170" t="s">
        <v>31</v>
      </c>
      <c r="E15" s="1166" t="str">
        <f>'Gen Inb'!S6</f>
        <v>南沙新港</v>
      </c>
      <c r="F15" s="1168"/>
      <c r="G15" s="1170" t="s">
        <v>32</v>
      </c>
      <c r="H15" s="1190"/>
      <c r="I15" s="1190"/>
      <c r="J15" s="1158"/>
    </row>
    <row r="16" ht="34.5" customHeight="1" spans="1:10">
      <c r="A16" s="1156"/>
      <c r="B16" s="1165" t="s">
        <v>33</v>
      </c>
      <c r="C16" s="1165" t="s">
        <v>34</v>
      </c>
      <c r="D16" s="1175"/>
      <c r="E16" s="1192" t="s">
        <v>35</v>
      </c>
      <c r="F16" s="1193"/>
      <c r="G16" s="1175"/>
      <c r="H16" s="1165" t="s">
        <v>36</v>
      </c>
      <c r="I16" s="1194"/>
      <c r="J16" s="1158"/>
    </row>
    <row r="17" ht="34.5" customHeight="1" spans="1:10">
      <c r="A17" s="1156"/>
      <c r="B17" s="1192" t="s">
        <v>37</v>
      </c>
      <c r="C17" s="1187"/>
      <c r="D17" s="1187"/>
      <c r="E17" s="1187"/>
      <c r="F17" s="1187"/>
      <c r="G17" s="1187"/>
      <c r="H17" s="1187"/>
      <c r="I17" s="1193"/>
      <c r="J17" s="1158"/>
    </row>
    <row r="18" ht="34.5" customHeight="1" spans="1:10">
      <c r="A18" s="1156"/>
      <c r="B18" s="1198" t="s">
        <v>38</v>
      </c>
      <c r="C18" s="1199"/>
      <c r="D18" s="1199"/>
      <c r="E18" s="1200"/>
      <c r="F18" s="1198" t="s">
        <v>39</v>
      </c>
      <c r="G18" s="1199"/>
      <c r="H18" s="1199"/>
      <c r="I18" s="1200"/>
      <c r="J18" s="1158"/>
    </row>
    <row r="19" ht="34.5" customHeight="1" spans="1:10">
      <c r="A19" s="1156"/>
      <c r="B19" s="1201" t="s">
        <v>40</v>
      </c>
      <c r="C19" s="1202"/>
      <c r="D19" s="1202"/>
      <c r="E19" s="1203"/>
      <c r="F19" s="1201" t="s">
        <v>41</v>
      </c>
      <c r="G19" s="1202"/>
      <c r="H19" s="1202"/>
      <c r="I19" s="1203"/>
      <c r="J19" s="1158"/>
    </row>
    <row r="20" ht="34.5" customHeight="1" spans="1:10">
      <c r="A20" s="1156"/>
      <c r="B20" s="1201" t="s">
        <v>42</v>
      </c>
      <c r="C20" s="1202"/>
      <c r="D20" s="1202"/>
      <c r="E20" s="1203"/>
      <c r="F20" s="1201" t="s">
        <v>43</v>
      </c>
      <c r="G20" s="1202"/>
      <c r="H20" s="1202"/>
      <c r="I20" s="1203"/>
      <c r="J20" s="1158"/>
    </row>
    <row r="21" ht="34.5" customHeight="1" spans="1:10">
      <c r="A21" s="1156"/>
      <c r="B21" s="1201" t="s">
        <v>44</v>
      </c>
      <c r="C21" s="1202"/>
      <c r="D21" s="1202"/>
      <c r="E21" s="1203"/>
      <c r="F21" s="1204" t="s">
        <v>45</v>
      </c>
      <c r="G21" s="1205"/>
      <c r="H21" s="1205"/>
      <c r="I21" s="1206"/>
      <c r="J21" s="1158"/>
    </row>
    <row r="22" ht="34.5" customHeight="1" spans="1:10">
      <c r="A22" s="1156"/>
      <c r="B22" s="1207" t="s">
        <v>46</v>
      </c>
      <c r="C22" s="1208"/>
      <c r="D22" s="1208"/>
      <c r="E22" s="1226"/>
      <c r="F22" s="1209" t="s">
        <v>45</v>
      </c>
      <c r="G22" s="1210"/>
      <c r="H22" s="1210"/>
      <c r="I22" s="1211"/>
      <c r="J22" s="1158"/>
    </row>
    <row r="23" ht="18" customHeight="1" spans="1:10">
      <c r="A23" s="1212"/>
      <c r="B23" s="1213"/>
      <c r="C23" s="1213"/>
      <c r="D23" s="1213"/>
      <c r="E23" s="1213"/>
      <c r="F23" s="1213"/>
      <c r="G23" s="1213"/>
      <c r="H23" s="1213"/>
      <c r="I23" s="1213"/>
      <c r="J23" s="1214"/>
    </row>
  </sheetData>
  <mergeCells count="34">
    <mergeCell ref="D3:G3"/>
    <mergeCell ref="E5:F5"/>
    <mergeCell ref="E6:F6"/>
    <mergeCell ref="D7:F7"/>
    <mergeCell ref="H7:I7"/>
    <mergeCell ref="E8:F8"/>
    <mergeCell ref="E9:F9"/>
    <mergeCell ref="E10:F10"/>
    <mergeCell ref="E11:F11"/>
    <mergeCell ref="D12:F12"/>
    <mergeCell ref="H12:I12"/>
    <mergeCell ref="C13:E13"/>
    <mergeCell ref="G13:I13"/>
    <mergeCell ref="C14:E14"/>
    <mergeCell ref="G14:I14"/>
    <mergeCell ref="E15:F15"/>
    <mergeCell ref="E16:F16"/>
    <mergeCell ref="B17:I17"/>
    <mergeCell ref="B18:E18"/>
    <mergeCell ref="F18:I18"/>
    <mergeCell ref="B19:E19"/>
    <mergeCell ref="F19:I19"/>
    <mergeCell ref="B20:E20"/>
    <mergeCell ref="F20:I20"/>
    <mergeCell ref="B21:E21"/>
    <mergeCell ref="F21:I21"/>
    <mergeCell ref="B22:E22"/>
    <mergeCell ref="F22:I22"/>
    <mergeCell ref="B5:B6"/>
    <mergeCell ref="B8:B11"/>
    <mergeCell ref="C8:C9"/>
    <mergeCell ref="C10:C11"/>
    <mergeCell ref="G8:G9"/>
    <mergeCell ref="G10:G11"/>
  </mergeCells>
  <printOptions horizontalCentered="1"/>
  <pageMargins left="0.707638888888889" right="0.707638888888889" top="0.747916666666667" bottom="0.747916666666667" header="0.313888888888889" footer="0.313888888888889"/>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5361" name="Check Box 1" r:id="rId3">
              <controlPr defaultSize="0">
                <anchor moveWithCells="1">
                  <from>
                    <xdr:col>1</xdr:col>
                    <xdr:colOff>180975</xdr:colOff>
                    <xdr:row>17</xdr:row>
                    <xdr:rowOff>133350</xdr:rowOff>
                  </from>
                  <to>
                    <xdr:col>1</xdr:col>
                    <xdr:colOff>485775</xdr:colOff>
                    <xdr:row>17</xdr:row>
                    <xdr:rowOff>342900</xdr:rowOff>
                  </to>
                </anchor>
              </controlPr>
            </control>
          </mc:Choice>
        </mc:AlternateContent>
        <mc:AlternateContent xmlns:mc="http://schemas.openxmlformats.org/markup-compatibility/2006">
          <mc:Choice Requires="x14">
            <control shapeId="15362" name="Check Box 2" r:id="rId4">
              <controlPr defaultSize="0">
                <anchor moveWithCells="1">
                  <from>
                    <xdr:col>1</xdr:col>
                    <xdr:colOff>180975</xdr:colOff>
                    <xdr:row>18</xdr:row>
                    <xdr:rowOff>123825</xdr:rowOff>
                  </from>
                  <to>
                    <xdr:col>1</xdr:col>
                    <xdr:colOff>485775</xdr:colOff>
                    <xdr:row>18</xdr:row>
                    <xdr:rowOff>333375</xdr:rowOff>
                  </to>
                </anchor>
              </controlPr>
            </control>
          </mc:Choice>
        </mc:AlternateContent>
        <mc:AlternateContent xmlns:mc="http://schemas.openxmlformats.org/markup-compatibility/2006">
          <mc:Choice Requires="x14">
            <control shapeId="15363" name="Check Box 3" r:id="rId5">
              <controlPr defaultSize="0">
                <anchor moveWithCells="1">
                  <from>
                    <xdr:col>1</xdr:col>
                    <xdr:colOff>180975</xdr:colOff>
                    <xdr:row>19</xdr:row>
                    <xdr:rowOff>123825</xdr:rowOff>
                  </from>
                  <to>
                    <xdr:col>1</xdr:col>
                    <xdr:colOff>485775</xdr:colOff>
                    <xdr:row>19</xdr:row>
                    <xdr:rowOff>333375</xdr:rowOff>
                  </to>
                </anchor>
              </controlPr>
            </control>
          </mc:Choice>
        </mc:AlternateContent>
        <mc:AlternateContent xmlns:mc="http://schemas.openxmlformats.org/markup-compatibility/2006">
          <mc:Choice Requires="x14">
            <control shapeId="15364" name="Check Box 4" r:id="rId6">
              <controlPr defaultSize="0">
                <anchor moveWithCells="1">
                  <from>
                    <xdr:col>1</xdr:col>
                    <xdr:colOff>180975</xdr:colOff>
                    <xdr:row>20</xdr:row>
                    <xdr:rowOff>123825</xdr:rowOff>
                  </from>
                  <to>
                    <xdr:col>1</xdr:col>
                    <xdr:colOff>485775</xdr:colOff>
                    <xdr:row>20</xdr:row>
                    <xdr:rowOff>333375</xdr:rowOff>
                  </to>
                </anchor>
              </controlPr>
            </control>
          </mc:Choice>
        </mc:AlternateContent>
        <mc:AlternateContent xmlns:mc="http://schemas.openxmlformats.org/markup-compatibility/2006">
          <mc:Choice Requires="x14">
            <control shapeId="15365" name="Check Box 5" r:id="rId7">
              <controlPr defaultSize="0">
                <anchor moveWithCells="1">
                  <from>
                    <xdr:col>1</xdr:col>
                    <xdr:colOff>180975</xdr:colOff>
                    <xdr:row>21</xdr:row>
                    <xdr:rowOff>114300</xdr:rowOff>
                  </from>
                  <to>
                    <xdr:col>1</xdr:col>
                    <xdr:colOff>485775</xdr:colOff>
                    <xdr:row>21</xdr:row>
                    <xdr:rowOff>323850</xdr:rowOff>
                  </to>
                </anchor>
              </controlPr>
            </control>
          </mc:Choice>
        </mc:AlternateContent>
        <mc:AlternateContent xmlns:mc="http://schemas.openxmlformats.org/markup-compatibility/2006">
          <mc:Choice Requires="x14">
            <control shapeId="15366" name="Check Box 6" r:id="rId8">
              <controlPr defaultSize="0">
                <anchor moveWithCells="1">
                  <from>
                    <xdr:col>5</xdr:col>
                    <xdr:colOff>180975</xdr:colOff>
                    <xdr:row>17</xdr:row>
                    <xdr:rowOff>133350</xdr:rowOff>
                  </from>
                  <to>
                    <xdr:col>6</xdr:col>
                    <xdr:colOff>19050</xdr:colOff>
                    <xdr:row>17</xdr:row>
                    <xdr:rowOff>342900</xdr:rowOff>
                  </to>
                </anchor>
              </controlPr>
            </control>
          </mc:Choice>
        </mc:AlternateContent>
        <mc:AlternateContent xmlns:mc="http://schemas.openxmlformats.org/markup-compatibility/2006">
          <mc:Choice Requires="x14">
            <control shapeId="15367" name="Check Box 7" r:id="rId9">
              <controlPr defaultSize="0">
                <anchor moveWithCells="1">
                  <from>
                    <xdr:col>5</xdr:col>
                    <xdr:colOff>180975</xdr:colOff>
                    <xdr:row>18</xdr:row>
                    <xdr:rowOff>123825</xdr:rowOff>
                  </from>
                  <to>
                    <xdr:col>6</xdr:col>
                    <xdr:colOff>19050</xdr:colOff>
                    <xdr:row>18</xdr:row>
                    <xdr:rowOff>333375</xdr:rowOff>
                  </to>
                </anchor>
              </controlPr>
            </control>
          </mc:Choice>
        </mc:AlternateContent>
        <mc:AlternateContent xmlns:mc="http://schemas.openxmlformats.org/markup-compatibility/2006">
          <mc:Choice Requires="x14">
            <control shapeId="15368" name="Check Box 8" r:id="rId10">
              <controlPr defaultSize="0">
                <anchor moveWithCells="1">
                  <from>
                    <xdr:col>5</xdr:col>
                    <xdr:colOff>180975</xdr:colOff>
                    <xdr:row>19</xdr:row>
                    <xdr:rowOff>123825</xdr:rowOff>
                  </from>
                  <to>
                    <xdr:col>6</xdr:col>
                    <xdr:colOff>19050</xdr:colOff>
                    <xdr:row>19</xdr:row>
                    <xdr:rowOff>333375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2:J23"/>
  <sheetViews>
    <sheetView workbookViewId="0">
      <selection activeCell="D10" sqref="D10"/>
    </sheetView>
  </sheetViews>
  <sheetFormatPr defaultColWidth="9.875" defaultRowHeight="24" customHeight="1"/>
  <cols>
    <col min="1" max="1" width="1.5" style="1152" customWidth="1"/>
    <col min="2" max="4" width="12.25" style="1152" customWidth="1"/>
    <col min="5" max="6" width="6.125" style="1152" customWidth="1"/>
    <col min="7" max="9" width="12.25" style="1152" customWidth="1"/>
    <col min="10" max="10" width="1.625" style="1152" customWidth="1"/>
    <col min="11" max="16384" width="9.875" style="1152"/>
  </cols>
  <sheetData>
    <row r="2" ht="9" customHeight="1" spans="1:10">
      <c r="A2" s="1153"/>
      <c r="B2" s="1154"/>
      <c r="C2" s="1154"/>
      <c r="D2" s="1154"/>
      <c r="E2" s="1154"/>
      <c r="F2" s="1154"/>
      <c r="G2" s="1154"/>
      <c r="H2" s="1154"/>
      <c r="I2" s="1154"/>
      <c r="J2" s="1155"/>
    </row>
    <row r="3" customHeight="1" spans="1:10">
      <c r="A3" s="1156"/>
      <c r="B3" s="1157"/>
      <c r="C3" s="1157"/>
      <c r="D3" s="1146" t="s">
        <v>47</v>
      </c>
      <c r="E3" s="1146"/>
      <c r="F3" s="1146"/>
      <c r="G3" s="1146"/>
      <c r="H3" s="1157"/>
      <c r="I3" s="1157"/>
      <c r="J3" s="1158"/>
    </row>
    <row r="4" ht="9" customHeight="1" spans="1:10">
      <c r="A4" s="1156"/>
      <c r="B4" s="1157"/>
      <c r="C4" s="1157"/>
      <c r="D4" s="1157"/>
      <c r="E4" s="1146"/>
      <c r="F4" s="1157"/>
      <c r="G4" s="1157"/>
      <c r="H4" s="1157"/>
      <c r="I4" s="1157"/>
      <c r="J4" s="1158"/>
    </row>
    <row r="5" ht="34.5" customHeight="1" spans="1:10">
      <c r="A5" s="1156"/>
      <c r="B5" s="1159" t="s">
        <v>10</v>
      </c>
      <c r="C5" s="1160"/>
      <c r="D5" s="1161"/>
      <c r="E5" s="1162" t="str">
        <f>'Gen Outb'!S6</f>
        <v>南沙新港</v>
      </c>
      <c r="F5" s="1162"/>
      <c r="G5" s="1163" t="s">
        <v>13</v>
      </c>
      <c r="H5" s="1161" t="str">
        <f>'Gen Outb'!W8</f>
        <v>胡志明市</v>
      </c>
      <c r="I5" s="1164"/>
      <c r="J5" s="1158"/>
    </row>
    <row r="6" ht="34.5" customHeight="1" spans="1:10">
      <c r="A6" s="1156"/>
      <c r="B6" s="1165" t="s">
        <v>15</v>
      </c>
      <c r="C6" s="1165" t="s">
        <v>16</v>
      </c>
      <c r="D6" s="1166">
        <f>COUNTIF('Crew Outb'!G11:G45,"Chinese")</f>
        <v>0</v>
      </c>
      <c r="E6" s="1167"/>
      <c r="F6" s="1168"/>
      <c r="G6" s="1165" t="s">
        <v>17</v>
      </c>
      <c r="H6" s="1166">
        <f>COUNTA('Crew Outb'!C11:C45)-COUNTIF('Crew Outb'!G11:G45,"CHINESE")</f>
        <v>21</v>
      </c>
      <c r="I6" s="1168"/>
      <c r="J6" s="1158"/>
    </row>
    <row r="7" ht="34.5" customHeight="1" spans="1:10">
      <c r="A7" s="1156"/>
      <c r="B7" s="1169" t="s">
        <v>18</v>
      </c>
      <c r="C7" s="1169" t="s">
        <v>48</v>
      </c>
      <c r="D7" s="1170">
        <v>20</v>
      </c>
      <c r="E7" s="1171">
        <v>40</v>
      </c>
      <c r="F7" s="1172"/>
      <c r="G7" s="1169" t="s">
        <v>20</v>
      </c>
      <c r="H7" s="1170">
        <v>20</v>
      </c>
      <c r="I7" s="1170">
        <v>40</v>
      </c>
      <c r="J7" s="1158"/>
    </row>
    <row r="8" ht="34.5" customHeight="1" spans="1:10">
      <c r="A8" s="1156"/>
      <c r="B8" s="1173"/>
      <c r="C8" s="1174"/>
      <c r="D8" s="1175"/>
      <c r="E8" s="1176"/>
      <c r="F8" s="1177"/>
      <c r="G8" s="1174"/>
      <c r="H8" s="1175">
        <v>0</v>
      </c>
      <c r="I8" s="1175">
        <v>0</v>
      </c>
      <c r="J8" s="1158"/>
    </row>
    <row r="9" ht="34.5" customHeight="1" spans="1:10">
      <c r="A9" s="1156"/>
      <c r="B9" s="1173"/>
      <c r="C9" s="1169" t="s">
        <v>21</v>
      </c>
      <c r="D9" s="1178">
        <v>20</v>
      </c>
      <c r="E9" s="1179">
        <v>40</v>
      </c>
      <c r="F9" s="1180"/>
      <c r="G9" s="1169" t="s">
        <v>22</v>
      </c>
      <c r="H9" s="1178">
        <v>20</v>
      </c>
      <c r="I9" s="1178">
        <v>40</v>
      </c>
      <c r="J9" s="1158"/>
    </row>
    <row r="10" ht="34.5" customHeight="1" spans="1:10">
      <c r="A10" s="1156"/>
      <c r="B10" s="1174"/>
      <c r="C10" s="1181"/>
      <c r="D10" s="1182">
        <v>133</v>
      </c>
      <c r="E10" s="1182">
        <v>324</v>
      </c>
      <c r="F10" s="1182"/>
      <c r="G10" s="1183"/>
      <c r="H10" s="1182">
        <v>0</v>
      </c>
      <c r="I10" s="1182">
        <v>0</v>
      </c>
      <c r="J10" s="1158"/>
    </row>
    <row r="11" ht="34.5" customHeight="1" spans="1:10">
      <c r="A11" s="1156"/>
      <c r="B11" s="1165" t="s">
        <v>27</v>
      </c>
      <c r="C11" s="1184" t="s">
        <v>49</v>
      </c>
      <c r="D11" s="1185"/>
      <c r="E11" s="1185"/>
      <c r="F11" s="1186"/>
      <c r="G11" s="1187" t="s">
        <v>29</v>
      </c>
      <c r="H11" s="1183"/>
      <c r="I11" s="1188"/>
      <c r="J11" s="1158"/>
    </row>
    <row r="12" ht="34.5" customHeight="1" spans="1:10">
      <c r="A12" s="1156"/>
      <c r="B12" s="1165" t="s">
        <v>30</v>
      </c>
      <c r="C12" s="1189">
        <f>'Gen Outb'!X6</f>
        <v>44160</v>
      </c>
      <c r="D12" s="1170" t="s">
        <v>31</v>
      </c>
      <c r="E12" s="1166" t="str">
        <f>'Gen Outb'!S6</f>
        <v>南沙新港</v>
      </c>
      <c r="F12" s="1168"/>
      <c r="G12" s="1170" t="s">
        <v>32</v>
      </c>
      <c r="H12" s="1190"/>
      <c r="I12" s="1190"/>
      <c r="J12" s="1158"/>
    </row>
    <row r="13" ht="34.5" customHeight="1" spans="1:10">
      <c r="A13" s="1156"/>
      <c r="B13" s="1171"/>
      <c r="C13" s="1191"/>
      <c r="D13" s="1191"/>
      <c r="E13" s="1191"/>
      <c r="F13" s="1191"/>
      <c r="G13" s="1191"/>
      <c r="H13" s="1191"/>
      <c r="I13" s="1172"/>
      <c r="J13" s="1158"/>
    </row>
    <row r="14" ht="34.5" customHeight="1" spans="1:10">
      <c r="A14" s="1156"/>
      <c r="B14" s="1165" t="s">
        <v>33</v>
      </c>
      <c r="C14" s="1165" t="s">
        <v>34</v>
      </c>
      <c r="D14" s="1175"/>
      <c r="E14" s="1192" t="s">
        <v>35</v>
      </c>
      <c r="F14" s="1193"/>
      <c r="G14" s="1175"/>
      <c r="H14" s="1165" t="s">
        <v>36</v>
      </c>
      <c r="I14" s="1194"/>
      <c r="J14" s="1158"/>
    </row>
    <row r="15" ht="34.5" customHeight="1" spans="1:10">
      <c r="A15" s="1156"/>
      <c r="B15" s="1160"/>
      <c r="C15" s="1195"/>
      <c r="D15" s="1196"/>
      <c r="E15" s="1187"/>
      <c r="F15" s="1187"/>
      <c r="G15" s="1196"/>
      <c r="H15" s="1195"/>
      <c r="I15" s="1197"/>
      <c r="J15" s="1158"/>
    </row>
    <row r="16" ht="34.5" customHeight="1" spans="1:10">
      <c r="A16" s="1156"/>
      <c r="B16" s="1192" t="s">
        <v>37</v>
      </c>
      <c r="C16" s="1187"/>
      <c r="D16" s="1187"/>
      <c r="E16" s="1187"/>
      <c r="F16" s="1187"/>
      <c r="G16" s="1187"/>
      <c r="H16" s="1187"/>
      <c r="I16" s="1193"/>
      <c r="J16" s="1158"/>
    </row>
    <row r="17" ht="34.5" customHeight="1" spans="1:10">
      <c r="A17" s="1156"/>
      <c r="B17" s="1198" t="s">
        <v>38</v>
      </c>
      <c r="C17" s="1199"/>
      <c r="D17" s="1199"/>
      <c r="E17" s="1200"/>
      <c r="F17" s="1198" t="s">
        <v>39</v>
      </c>
      <c r="G17" s="1199"/>
      <c r="H17" s="1199"/>
      <c r="I17" s="1200"/>
      <c r="J17" s="1158"/>
    </row>
    <row r="18" ht="34.5" customHeight="1" spans="1:10">
      <c r="A18" s="1156"/>
      <c r="B18" s="1201" t="s">
        <v>40</v>
      </c>
      <c r="C18" s="1202"/>
      <c r="D18" s="1202"/>
      <c r="E18" s="1203"/>
      <c r="F18" s="1201" t="s">
        <v>41</v>
      </c>
      <c r="G18" s="1202"/>
      <c r="H18" s="1202"/>
      <c r="I18" s="1203"/>
      <c r="J18" s="1158"/>
    </row>
    <row r="19" ht="34.5" customHeight="1" spans="1:10">
      <c r="A19" s="1156"/>
      <c r="B19" s="1201" t="s">
        <v>42</v>
      </c>
      <c r="C19" s="1202"/>
      <c r="D19" s="1202"/>
      <c r="E19" s="1203"/>
      <c r="F19" s="1201" t="s">
        <v>43</v>
      </c>
      <c r="G19" s="1202"/>
      <c r="H19" s="1202"/>
      <c r="I19" s="1203"/>
      <c r="J19" s="1158"/>
    </row>
    <row r="20" ht="34.5" customHeight="1" spans="1:10">
      <c r="A20" s="1156"/>
      <c r="B20" s="1201" t="s">
        <v>44</v>
      </c>
      <c r="C20" s="1202"/>
      <c r="D20" s="1202"/>
      <c r="E20" s="1203"/>
      <c r="F20" s="1204" t="s">
        <v>45</v>
      </c>
      <c r="G20" s="1205"/>
      <c r="H20" s="1205"/>
      <c r="I20" s="1206"/>
      <c r="J20" s="1158"/>
    </row>
    <row r="21" ht="34.5" customHeight="1" spans="1:10">
      <c r="A21" s="1156"/>
      <c r="B21" s="1201" t="s">
        <v>46</v>
      </c>
      <c r="C21" s="1202"/>
      <c r="D21" s="1202"/>
      <c r="E21" s="1203"/>
      <c r="F21" s="1204" t="s">
        <v>45</v>
      </c>
      <c r="G21" s="1205"/>
      <c r="H21" s="1205"/>
      <c r="I21" s="1206"/>
      <c r="J21" s="1158"/>
    </row>
    <row r="22" ht="34.5" customHeight="1" spans="1:10">
      <c r="A22" s="1156"/>
      <c r="B22" s="1207"/>
      <c r="C22" s="1208"/>
      <c r="D22" s="1208"/>
      <c r="E22" s="1208"/>
      <c r="F22" s="1209"/>
      <c r="G22" s="1210"/>
      <c r="H22" s="1210"/>
      <c r="I22" s="1211"/>
      <c r="J22" s="1158"/>
    </row>
    <row r="23" ht="18" customHeight="1" spans="1:10">
      <c r="A23" s="1212"/>
      <c r="B23" s="1213"/>
      <c r="C23" s="1213"/>
      <c r="D23" s="1213"/>
      <c r="E23" s="1213"/>
      <c r="F23" s="1213"/>
      <c r="G23" s="1213"/>
      <c r="H23" s="1213"/>
      <c r="I23" s="1213"/>
      <c r="J23" s="1214"/>
    </row>
  </sheetData>
  <mergeCells count="29">
    <mergeCell ref="D3:G3"/>
    <mergeCell ref="E5:F5"/>
    <mergeCell ref="D6:F6"/>
    <mergeCell ref="H6:I6"/>
    <mergeCell ref="E7:F7"/>
    <mergeCell ref="E8:F8"/>
    <mergeCell ref="E9:F9"/>
    <mergeCell ref="E10:F10"/>
    <mergeCell ref="C11:E11"/>
    <mergeCell ref="G11:I11"/>
    <mergeCell ref="E12:F12"/>
    <mergeCell ref="B13:I13"/>
    <mergeCell ref="E14:F14"/>
    <mergeCell ref="B16:I16"/>
    <mergeCell ref="B17:E17"/>
    <mergeCell ref="F17:I17"/>
    <mergeCell ref="B18:E18"/>
    <mergeCell ref="F18:I18"/>
    <mergeCell ref="B19:E19"/>
    <mergeCell ref="F19:I19"/>
    <mergeCell ref="B20:E20"/>
    <mergeCell ref="F20:I20"/>
    <mergeCell ref="B21:E21"/>
    <mergeCell ref="F21:I21"/>
    <mergeCell ref="B7:B10"/>
    <mergeCell ref="C7:C8"/>
    <mergeCell ref="C9:C10"/>
    <mergeCell ref="G7:G8"/>
    <mergeCell ref="G9:G10"/>
  </mergeCells>
  <conditionalFormatting sqref="D14 G14">
    <cfRule type="cellIs" dxfId="0" priority="1" operator="equal">
      <formula>0</formula>
    </cfRule>
  </conditionalFormatting>
  <printOptions horizontalCentered="1"/>
  <pageMargins left="0.707638888888889" right="0.707638888888889" top="0.747916666666667" bottom="0.747916666666667" header="0.313888888888889" footer="0.313888888888889"/>
  <pageSetup paperSize="9" orientation="portrait"/>
  <headerFooter/>
  <drawing r:id="rId2"/>
  <legacyDrawing r:id="rId3"/>
  <mc:AlternateContent xmlns:mc="http://schemas.openxmlformats.org/markup-compatibility/2006">
    <mc:Choice Requires="x14">
      <controls>
        <mc:AlternateContent xmlns:mc="http://schemas.openxmlformats.org/markup-compatibility/2006">
          <mc:Choice Requires="x14">
            <control shapeId="3077" name="Check Box 5" r:id="rId4">
              <controlPr defaultSize="0">
                <anchor moveWithCells="1">
                  <from>
                    <xdr:col>1</xdr:col>
                    <xdr:colOff>180975</xdr:colOff>
                    <xdr:row>16</xdr:row>
                    <xdr:rowOff>133350</xdr:rowOff>
                  </from>
                  <to>
                    <xdr:col>1</xdr:col>
                    <xdr:colOff>485775</xdr:colOff>
                    <xdr:row>16</xdr:row>
                    <xdr:rowOff>342900</xdr:rowOff>
                  </to>
                </anchor>
              </controlPr>
            </control>
          </mc:Choice>
        </mc:AlternateContent>
        <mc:AlternateContent xmlns:mc="http://schemas.openxmlformats.org/markup-compatibility/2006">
          <mc:Choice Requires="x14">
            <control shapeId="3078" name="Check Box 6" r:id="rId5">
              <controlPr defaultSize="0">
                <anchor moveWithCells="1">
                  <from>
                    <xdr:col>1</xdr:col>
                    <xdr:colOff>180975</xdr:colOff>
                    <xdr:row>17</xdr:row>
                    <xdr:rowOff>123825</xdr:rowOff>
                  </from>
                  <to>
                    <xdr:col>1</xdr:col>
                    <xdr:colOff>485775</xdr:colOff>
                    <xdr:row>17</xdr:row>
                    <xdr:rowOff>333375</xdr:rowOff>
                  </to>
                </anchor>
              </controlPr>
            </control>
          </mc:Choice>
        </mc:AlternateContent>
        <mc:AlternateContent xmlns:mc="http://schemas.openxmlformats.org/markup-compatibility/2006">
          <mc:Choice Requires="x14">
            <control shapeId="3079" name="Check Box 7" r:id="rId6">
              <controlPr defaultSize="0">
                <anchor moveWithCells="1">
                  <from>
                    <xdr:col>1</xdr:col>
                    <xdr:colOff>180975</xdr:colOff>
                    <xdr:row>18</xdr:row>
                    <xdr:rowOff>123825</xdr:rowOff>
                  </from>
                  <to>
                    <xdr:col>1</xdr:col>
                    <xdr:colOff>485775</xdr:colOff>
                    <xdr:row>18</xdr:row>
                    <xdr:rowOff>333375</xdr:rowOff>
                  </to>
                </anchor>
              </controlPr>
            </control>
          </mc:Choice>
        </mc:AlternateContent>
        <mc:AlternateContent xmlns:mc="http://schemas.openxmlformats.org/markup-compatibility/2006">
          <mc:Choice Requires="x14">
            <control shapeId="3080" name="Check Box 8" r:id="rId7">
              <controlPr defaultSize="0">
                <anchor moveWithCells="1">
                  <from>
                    <xdr:col>1</xdr:col>
                    <xdr:colOff>180975</xdr:colOff>
                    <xdr:row>19</xdr:row>
                    <xdr:rowOff>123825</xdr:rowOff>
                  </from>
                  <to>
                    <xdr:col>1</xdr:col>
                    <xdr:colOff>485775</xdr:colOff>
                    <xdr:row>19</xdr:row>
                    <xdr:rowOff>333375</xdr:rowOff>
                  </to>
                </anchor>
              </controlPr>
            </control>
          </mc:Choice>
        </mc:AlternateContent>
        <mc:AlternateContent xmlns:mc="http://schemas.openxmlformats.org/markup-compatibility/2006">
          <mc:Choice Requires="x14">
            <control shapeId="3081" name="Check Box 9" r:id="rId8">
              <controlPr defaultSize="0">
                <anchor moveWithCells="1">
                  <from>
                    <xdr:col>1</xdr:col>
                    <xdr:colOff>180975</xdr:colOff>
                    <xdr:row>20</xdr:row>
                    <xdr:rowOff>114300</xdr:rowOff>
                  </from>
                  <to>
                    <xdr:col>1</xdr:col>
                    <xdr:colOff>485775</xdr:colOff>
                    <xdr:row>20</xdr:row>
                    <xdr:rowOff>323850</xdr:rowOff>
                  </to>
                </anchor>
              </controlPr>
            </control>
          </mc:Choice>
        </mc:AlternateContent>
        <mc:AlternateContent xmlns:mc="http://schemas.openxmlformats.org/markup-compatibility/2006">
          <mc:Choice Requires="x14">
            <control shapeId="3083" name="Check Box 11" r:id="rId9">
              <controlPr defaultSize="0">
                <anchor moveWithCells="1">
                  <from>
                    <xdr:col>5</xdr:col>
                    <xdr:colOff>180975</xdr:colOff>
                    <xdr:row>16</xdr:row>
                    <xdr:rowOff>133350</xdr:rowOff>
                  </from>
                  <to>
                    <xdr:col>6</xdr:col>
                    <xdr:colOff>19050</xdr:colOff>
                    <xdr:row>16</xdr:row>
                    <xdr:rowOff>342900</xdr:rowOff>
                  </to>
                </anchor>
              </controlPr>
            </control>
          </mc:Choice>
        </mc:AlternateContent>
        <mc:AlternateContent xmlns:mc="http://schemas.openxmlformats.org/markup-compatibility/2006">
          <mc:Choice Requires="x14">
            <control shapeId="3084" name="Check Box 12" r:id="rId10">
              <controlPr defaultSize="0">
                <anchor moveWithCells="1">
                  <from>
                    <xdr:col>5</xdr:col>
                    <xdr:colOff>180975</xdr:colOff>
                    <xdr:row>17</xdr:row>
                    <xdr:rowOff>123825</xdr:rowOff>
                  </from>
                  <to>
                    <xdr:col>6</xdr:col>
                    <xdr:colOff>19050</xdr:colOff>
                    <xdr:row>17</xdr:row>
                    <xdr:rowOff>333375</xdr:rowOff>
                  </to>
                </anchor>
              </controlPr>
            </control>
          </mc:Choice>
        </mc:AlternateContent>
        <mc:AlternateContent xmlns:mc="http://schemas.openxmlformats.org/markup-compatibility/2006">
          <mc:Choice Requires="x14">
            <control shapeId="3085" name="Check Box 13" r:id="rId11">
              <controlPr defaultSize="0">
                <anchor moveWithCells="1">
                  <from>
                    <xdr:col>5</xdr:col>
                    <xdr:colOff>180975</xdr:colOff>
                    <xdr:row>18</xdr:row>
                    <xdr:rowOff>123825</xdr:rowOff>
                  </from>
                  <to>
                    <xdr:col>6</xdr:col>
                    <xdr:colOff>19050</xdr:colOff>
                    <xdr:row>18</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2:I30"/>
  <sheetViews>
    <sheetView workbookViewId="0">
      <selection activeCell="J15" sqref="J15"/>
    </sheetView>
  </sheetViews>
  <sheetFormatPr defaultColWidth="9.875" defaultRowHeight="24" customHeight="1"/>
  <cols>
    <col min="1" max="16384" width="9.875" style="248"/>
  </cols>
  <sheetData>
    <row r="2" ht="9" customHeight="1" spans="1:9">
      <c r="A2" s="1141"/>
      <c r="B2" s="1142"/>
      <c r="C2" s="1142"/>
      <c r="D2" s="1142"/>
      <c r="E2" s="1142"/>
      <c r="F2" s="1142"/>
      <c r="G2" s="1142"/>
      <c r="H2" s="1142"/>
      <c r="I2" s="1143"/>
    </row>
    <row r="3" customHeight="1" spans="1:9">
      <c r="A3" s="1144"/>
      <c r="B3" s="1145"/>
      <c r="C3" s="1145"/>
      <c r="D3" s="1145"/>
      <c r="E3" s="1146" t="s">
        <v>50</v>
      </c>
      <c r="F3" s="1145"/>
      <c r="G3" s="1145"/>
      <c r="H3" s="1145"/>
      <c r="I3" s="1147"/>
    </row>
    <row r="4" customHeight="1" spans="1:9">
      <c r="A4" s="1148"/>
      <c r="B4" s="1145"/>
      <c r="C4" s="1145"/>
      <c r="D4" s="1145"/>
      <c r="E4" s="1145"/>
      <c r="F4" s="1145"/>
      <c r="G4" s="1145"/>
      <c r="H4" s="1145"/>
      <c r="I4" s="1147"/>
    </row>
    <row r="5" customHeight="1" spans="1:9">
      <c r="A5" s="1148"/>
      <c r="B5" s="1145"/>
      <c r="C5" s="1145"/>
      <c r="D5" s="1145"/>
      <c r="E5" s="1145"/>
      <c r="F5" s="1145"/>
      <c r="G5" s="1145"/>
      <c r="H5" s="1145"/>
      <c r="I5" s="1147"/>
    </row>
    <row r="6" customHeight="1" spans="1:9">
      <c r="A6" s="1148"/>
      <c r="B6" s="1145"/>
      <c r="C6" s="1145"/>
      <c r="D6" s="1145"/>
      <c r="E6" s="1145"/>
      <c r="F6" s="1145"/>
      <c r="G6" s="1145"/>
      <c r="H6" s="1145"/>
      <c r="I6" s="1147"/>
    </row>
    <row r="7" customHeight="1" spans="1:9">
      <c r="A7" s="1148"/>
      <c r="B7" s="1145"/>
      <c r="C7" s="1145"/>
      <c r="D7" s="1145"/>
      <c r="E7" s="1145"/>
      <c r="F7" s="1145"/>
      <c r="G7" s="1145"/>
      <c r="H7" s="1145"/>
      <c r="I7" s="1147"/>
    </row>
    <row r="8" customHeight="1" spans="1:9">
      <c r="A8" s="1148"/>
      <c r="B8" s="1145"/>
      <c r="C8" s="1145"/>
      <c r="D8" s="1145"/>
      <c r="E8" s="1145"/>
      <c r="F8" s="1145"/>
      <c r="G8" s="1145"/>
      <c r="H8" s="1145"/>
      <c r="I8" s="1147"/>
    </row>
    <row r="9" customHeight="1" spans="1:9">
      <c r="A9" s="1148"/>
      <c r="B9" s="1145"/>
      <c r="C9" s="1145"/>
      <c r="D9" s="1145"/>
      <c r="E9" s="1145"/>
      <c r="F9" s="1145"/>
      <c r="G9" s="1145"/>
      <c r="H9" s="1145"/>
      <c r="I9" s="1147"/>
    </row>
    <row r="10" customHeight="1" spans="1:9">
      <c r="A10" s="1148"/>
      <c r="B10" s="1145"/>
      <c r="C10" s="1145"/>
      <c r="D10" s="1145"/>
      <c r="E10" s="1145"/>
      <c r="F10" s="1145"/>
      <c r="G10" s="1145"/>
      <c r="H10" s="1145"/>
      <c r="I10" s="1147"/>
    </row>
    <row r="11" customHeight="1" spans="1:9">
      <c r="A11" s="1148"/>
      <c r="B11" s="1145"/>
      <c r="C11" s="1145"/>
      <c r="D11" s="1145"/>
      <c r="E11" s="1145"/>
      <c r="F11" s="1145"/>
      <c r="G11" s="1145"/>
      <c r="H11" s="1145"/>
      <c r="I11" s="1147"/>
    </row>
    <row r="12" customHeight="1" spans="1:9">
      <c r="A12" s="1148"/>
      <c r="B12" s="1145"/>
      <c r="C12" s="1145"/>
      <c r="D12" s="1145"/>
      <c r="E12" s="1145"/>
      <c r="F12" s="1145"/>
      <c r="G12" s="1145"/>
      <c r="H12" s="1145"/>
      <c r="I12" s="1147"/>
    </row>
    <row r="13" customHeight="1" spans="1:9">
      <c r="A13" s="1148"/>
      <c r="B13" s="1145"/>
      <c r="C13" s="1145"/>
      <c r="D13" s="1145"/>
      <c r="E13" s="1145"/>
      <c r="F13" s="1145"/>
      <c r="G13" s="1145"/>
      <c r="H13" s="1145"/>
      <c r="I13" s="1147"/>
    </row>
    <row r="14" customHeight="1" spans="1:9">
      <c r="A14" s="1148"/>
      <c r="B14" s="1145"/>
      <c r="C14" s="1145"/>
      <c r="D14" s="1145"/>
      <c r="E14" s="1145"/>
      <c r="F14" s="1145"/>
      <c r="G14" s="1145"/>
      <c r="H14" s="1145"/>
      <c r="I14" s="1147"/>
    </row>
    <row r="15" customHeight="1" spans="1:9">
      <c r="A15" s="1148"/>
      <c r="B15" s="1145"/>
      <c r="C15" s="1145"/>
      <c r="D15" s="1145"/>
      <c r="E15" s="1145"/>
      <c r="F15" s="1145"/>
      <c r="G15" s="1145"/>
      <c r="H15" s="1145"/>
      <c r="I15" s="1147"/>
    </row>
    <row r="16" customHeight="1" spans="1:9">
      <c r="A16" s="1148"/>
      <c r="B16" s="1145"/>
      <c r="C16" s="1145"/>
      <c r="D16" s="1145"/>
      <c r="E16" s="1145"/>
      <c r="F16" s="1145"/>
      <c r="G16" s="1145"/>
      <c r="H16" s="1145"/>
      <c r="I16" s="1147"/>
    </row>
    <row r="17" customHeight="1" spans="1:9">
      <c r="A17" s="1148"/>
      <c r="B17" s="1145"/>
      <c r="C17" s="1145"/>
      <c r="D17" s="1145"/>
      <c r="E17" s="1145"/>
      <c r="F17" s="1145"/>
      <c r="G17" s="1145"/>
      <c r="H17" s="1145"/>
      <c r="I17" s="1147"/>
    </row>
    <row r="18" customHeight="1" spans="1:9">
      <c r="A18" s="1148"/>
      <c r="B18" s="1145"/>
      <c r="C18" s="1145"/>
      <c r="D18" s="1145"/>
      <c r="E18" s="1145"/>
      <c r="F18" s="1145"/>
      <c r="G18" s="1145"/>
      <c r="H18" s="1145"/>
      <c r="I18" s="1147"/>
    </row>
    <row r="19" customHeight="1" spans="1:9">
      <c r="A19" s="1148"/>
      <c r="B19" s="1145"/>
      <c r="C19" s="1145"/>
      <c r="D19" s="1145"/>
      <c r="E19" s="1145"/>
      <c r="F19" s="1145"/>
      <c r="G19" s="1145"/>
      <c r="H19" s="1145"/>
      <c r="I19" s="1147"/>
    </row>
    <row r="20" customHeight="1" spans="1:9">
      <c r="A20" s="1148"/>
      <c r="B20" s="1145"/>
      <c r="C20" s="1145"/>
      <c r="D20" s="1145"/>
      <c r="E20" s="1145"/>
      <c r="F20" s="1145"/>
      <c r="G20" s="1145"/>
      <c r="H20" s="1145"/>
      <c r="I20" s="1147"/>
    </row>
    <row r="21" customHeight="1" spans="1:9">
      <c r="A21" s="1148"/>
      <c r="B21" s="1145"/>
      <c r="C21" s="1145"/>
      <c r="D21" s="1145"/>
      <c r="E21" s="1145"/>
      <c r="F21" s="1145"/>
      <c r="G21" s="1145"/>
      <c r="H21" s="1145"/>
      <c r="I21" s="1147"/>
    </row>
    <row r="22" customHeight="1" spans="1:9">
      <c r="A22" s="1148"/>
      <c r="B22" s="1145"/>
      <c r="C22" s="1145"/>
      <c r="D22" s="1145"/>
      <c r="E22" s="1145"/>
      <c r="F22" s="1145"/>
      <c r="G22" s="1145"/>
      <c r="H22" s="1145"/>
      <c r="I22" s="1147"/>
    </row>
    <row r="23" customHeight="1" spans="1:9">
      <c r="A23" s="1148"/>
      <c r="B23" s="1145"/>
      <c r="C23" s="1145"/>
      <c r="D23" s="1145"/>
      <c r="E23" s="1145"/>
      <c r="F23" s="1145"/>
      <c r="G23" s="1145"/>
      <c r="H23" s="1145"/>
      <c r="I23" s="1147"/>
    </row>
    <row r="24" customHeight="1" spans="1:9">
      <c r="A24" s="1148"/>
      <c r="B24" s="1145"/>
      <c r="C24" s="1145"/>
      <c r="D24" s="1145"/>
      <c r="E24" s="1145"/>
      <c r="F24" s="1145"/>
      <c r="G24" s="1145"/>
      <c r="H24" s="1145"/>
      <c r="I24" s="1147"/>
    </row>
    <row r="25" customHeight="1" spans="1:9">
      <c r="A25" s="1148"/>
      <c r="B25" s="1145"/>
      <c r="C25" s="1145"/>
      <c r="D25" s="1145"/>
      <c r="E25" s="1145"/>
      <c r="F25" s="1145"/>
      <c r="G25" s="1145"/>
      <c r="H25" s="1145"/>
      <c r="I25" s="1147"/>
    </row>
    <row r="26" customHeight="1" spans="1:9">
      <c r="A26" s="1148"/>
      <c r="B26" s="1145"/>
      <c r="C26" s="1145"/>
      <c r="D26" s="1145"/>
      <c r="E26" s="1145"/>
      <c r="F26" s="1145"/>
      <c r="G26" s="1145"/>
      <c r="H26" s="1145"/>
      <c r="I26" s="1147"/>
    </row>
    <row r="27" customHeight="1" spans="1:9">
      <c r="A27" s="1148"/>
      <c r="B27" s="1145"/>
      <c r="C27" s="1145"/>
      <c r="D27" s="1145"/>
      <c r="E27" s="1145"/>
      <c r="F27" s="1145"/>
      <c r="G27" s="1145"/>
      <c r="H27" s="1145"/>
      <c r="I27" s="1147"/>
    </row>
    <row r="28" customHeight="1" spans="1:9">
      <c r="A28" s="1148"/>
      <c r="B28" s="1145"/>
      <c r="C28" s="1145"/>
      <c r="D28" s="1145"/>
      <c r="E28" s="1145"/>
      <c r="F28" s="1145"/>
      <c r="G28" s="1145"/>
      <c r="H28" s="1145"/>
      <c r="I28" s="1147"/>
    </row>
    <row r="29" customHeight="1" spans="1:9">
      <c r="A29" s="1148"/>
      <c r="B29" s="1145"/>
      <c r="C29" s="1145"/>
      <c r="D29" s="1145"/>
      <c r="E29" s="1145"/>
      <c r="F29" s="1145"/>
      <c r="G29" s="1145"/>
      <c r="H29" s="1145"/>
      <c r="I29" s="1147"/>
    </row>
    <row r="30" customHeight="1" spans="1:9">
      <c r="A30" s="1149"/>
      <c r="B30" s="1150"/>
      <c r="C30" s="1150"/>
      <c r="D30" s="1150"/>
      <c r="E30" s="1150"/>
      <c r="F30" s="1150"/>
      <c r="G30" s="1150"/>
      <c r="H30" s="1150"/>
      <c r="I30" s="1151"/>
    </row>
  </sheetData>
  <printOptions horizontalCentered="1"/>
  <pageMargins left="0.707638888888889" right="0.707638888888889" top="0.747916666666667" bottom="0.747916666666667" header="0.313888888888889" footer="0.313888888888889"/>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C000"/>
  </sheetPr>
  <dimension ref="A1:AB37"/>
  <sheetViews>
    <sheetView tabSelected="1" view="pageBreakPreview" zoomScale="70" zoomScaleNormal="70" workbookViewId="0">
      <selection activeCell="X11" sqref="X11"/>
    </sheetView>
  </sheetViews>
  <sheetFormatPr defaultColWidth="9" defaultRowHeight="13.5"/>
  <cols>
    <col min="1" max="1" width="2.125" style="413" customWidth="1"/>
    <col min="2" max="2" width="7" style="413" customWidth="1"/>
    <col min="3" max="3" width="2.125" style="413" customWidth="1"/>
    <col min="4" max="4" width="2" style="413" customWidth="1"/>
    <col min="5" max="5" width="2.5" style="413" customWidth="1"/>
    <col min="6" max="6" width="1.875" style="413" customWidth="1"/>
    <col min="7" max="7" width="4.75" style="413" customWidth="1"/>
    <col min="8" max="8" width="6.625" style="413" customWidth="1"/>
    <col min="9" max="9" width="3.75" style="413" customWidth="1"/>
    <col min="10" max="10" width="4.5" style="413" customWidth="1"/>
    <col min="11" max="11" width="2.25" style="413" customWidth="1"/>
    <col min="12" max="12" width="12.35" style="413" customWidth="1"/>
    <col min="13" max="13" width="5.125" style="413" customWidth="1"/>
    <col min="14" max="14" width="13.625" style="413" customWidth="1"/>
    <col min="15" max="15" width="3.125" style="413" customWidth="1"/>
    <col min="16" max="16" width="7.125" style="413" customWidth="1"/>
    <col min="17" max="17" width="12" style="413" hidden="1" customWidth="1"/>
    <col min="18" max="18" width="2" style="413" customWidth="1"/>
    <col min="19" max="19" width="4.375" style="413" customWidth="1"/>
    <col min="20" max="20" width="1.5" style="413" customWidth="1"/>
    <col min="21" max="21" width="7.05" style="413" customWidth="1"/>
    <col min="22" max="22" width="6.46666666666667" style="413" customWidth="1"/>
    <col min="23" max="23" width="16.7583333333333" style="413" customWidth="1"/>
    <col min="24" max="24" width="20.5" style="413" customWidth="1"/>
    <col min="25" max="16384" width="9" style="413"/>
  </cols>
  <sheetData>
    <row r="1" ht="22.5" customHeight="1" spans="1:28">
      <c r="A1" s="1059" t="s">
        <v>51</v>
      </c>
      <c r="B1" s="828" t="s">
        <v>52</v>
      </c>
      <c r="C1" s="828"/>
      <c r="D1" s="828"/>
      <c r="E1" s="828"/>
      <c r="F1" s="828"/>
      <c r="G1" s="828"/>
      <c r="H1" s="828"/>
      <c r="I1" s="828"/>
      <c r="J1" s="828"/>
      <c r="K1" s="828"/>
      <c r="L1" s="828"/>
      <c r="M1" s="828"/>
      <c r="N1" s="828"/>
      <c r="O1" s="828"/>
      <c r="P1" s="828"/>
      <c r="Q1" s="828"/>
      <c r="R1" s="828"/>
      <c r="S1" s="828"/>
      <c r="T1" s="828"/>
      <c r="U1" s="828"/>
      <c r="V1" s="828"/>
      <c r="W1" s="829"/>
      <c r="X1" s="829"/>
      <c r="Z1" s="830"/>
    </row>
    <row r="2" ht="19.5" spans="1:28">
      <c r="A2" s="831"/>
      <c r="B2" s="832" t="s">
        <v>53</v>
      </c>
      <c r="C2" s="832"/>
      <c r="D2" s="832"/>
      <c r="E2" s="832"/>
      <c r="F2" s="832"/>
      <c r="G2" s="832"/>
      <c r="H2" s="832"/>
      <c r="I2" s="833"/>
      <c r="J2" s="833"/>
      <c r="K2" s="833"/>
      <c r="L2" s="833"/>
      <c r="M2" s="833"/>
      <c r="N2" s="833"/>
      <c r="O2" s="833"/>
      <c r="P2" s="833"/>
      <c r="Q2" s="833"/>
      <c r="R2" s="833"/>
      <c r="S2" s="833"/>
      <c r="T2" s="833"/>
      <c r="U2" s="833"/>
      <c r="V2" s="833"/>
      <c r="W2" s="834"/>
      <c r="X2" s="834"/>
    </row>
    <row r="3" ht="9.75" customHeight="1" spans="1:28">
      <c r="A3" s="831"/>
      <c r="B3" s="835" t="s">
        <v>54</v>
      </c>
      <c r="C3" s="836"/>
      <c r="D3" s="836"/>
      <c r="E3" s="836"/>
      <c r="F3" s="836"/>
      <c r="G3" s="836"/>
      <c r="H3" s="836"/>
      <c r="I3" s="837"/>
      <c r="J3" s="837"/>
      <c r="K3" s="837"/>
      <c r="L3" s="837"/>
      <c r="M3" s="837"/>
      <c r="N3" s="837"/>
      <c r="O3" s="838" t="s">
        <v>55</v>
      </c>
      <c r="P3" s="839" t="s">
        <v>56</v>
      </c>
      <c r="Q3" s="837"/>
      <c r="R3" s="837"/>
      <c r="S3" s="837"/>
      <c r="T3" s="837"/>
      <c r="U3" s="838"/>
      <c r="V3" s="840" t="s">
        <v>57</v>
      </c>
      <c r="W3" s="841"/>
      <c r="X3" s="842"/>
    </row>
    <row r="4" ht="9" customHeight="1" spans="1:28">
      <c r="A4" s="831"/>
      <c r="B4" s="843" t="s">
        <v>58</v>
      </c>
      <c r="C4" s="836"/>
      <c r="D4" s="836"/>
      <c r="E4" s="836"/>
      <c r="F4" s="836"/>
      <c r="G4" s="836"/>
      <c r="H4" s="836"/>
      <c r="I4" s="837"/>
      <c r="J4" s="837"/>
      <c r="K4" s="837"/>
      <c r="L4" s="837"/>
      <c r="M4" s="837"/>
      <c r="N4" s="837"/>
      <c r="O4" s="844"/>
      <c r="P4" s="845" t="s">
        <v>59</v>
      </c>
      <c r="Q4" s="837"/>
      <c r="R4" s="837"/>
      <c r="S4" s="837"/>
      <c r="T4" s="837"/>
      <c r="U4" s="844"/>
      <c r="V4" s="846" t="s">
        <v>60</v>
      </c>
      <c r="W4" s="846"/>
      <c r="X4" s="842"/>
    </row>
    <row r="5" ht="5.25" customHeight="1" spans="1:28">
      <c r="A5" s="831"/>
      <c r="B5" s="410"/>
      <c r="C5" s="416"/>
      <c r="D5" s="416"/>
      <c r="E5" s="416"/>
      <c r="F5" s="416"/>
      <c r="G5" s="416"/>
      <c r="H5" s="416"/>
      <c r="I5" s="414"/>
      <c r="J5" s="414"/>
      <c r="K5" s="414"/>
      <c r="L5" s="414"/>
      <c r="M5" s="414"/>
      <c r="N5" s="414"/>
      <c r="O5" s="847"/>
      <c r="P5" s="410"/>
      <c r="Q5" s="414"/>
      <c r="R5" s="414"/>
      <c r="S5" s="414"/>
      <c r="T5" s="414"/>
      <c r="U5" s="847"/>
      <c r="V5" s="410"/>
      <c r="W5" s="414"/>
      <c r="X5" s="414"/>
    </row>
    <row r="6" ht="30" customHeight="1" spans="1:28">
      <c r="A6" s="831"/>
      <c r="B6" s="1060" t="s">
        <v>61</v>
      </c>
      <c r="C6" s="1061"/>
      <c r="D6" s="1061"/>
      <c r="E6" s="1061"/>
      <c r="F6" s="1061"/>
      <c r="G6" s="1061"/>
      <c r="H6" s="850"/>
      <c r="I6" s="1062" t="str">
        <f>'Parts A'!B3</f>
        <v>马士基奋进</v>
      </c>
      <c r="J6" s="1062"/>
      <c r="K6" s="1062"/>
      <c r="L6" s="1062"/>
      <c r="M6" s="1063" t="str">
        <f>'Parts A'!J3</f>
        <v>集装箱轮</v>
      </c>
      <c r="N6" s="1064"/>
      <c r="O6" s="1065" t="s">
        <v>62</v>
      </c>
      <c r="P6" s="850"/>
      <c r="Q6" s="850"/>
      <c r="R6" s="850"/>
      <c r="S6" s="856" t="s">
        <v>12</v>
      </c>
      <c r="T6" s="856"/>
      <c r="U6" s="857"/>
      <c r="V6" s="1065" t="s">
        <v>63</v>
      </c>
      <c r="W6" s="855"/>
      <c r="X6" s="860">
        <v>46238</v>
      </c>
    </row>
    <row r="7" ht="30" customHeight="1" spans="1:28">
      <c r="A7" s="831"/>
      <c r="B7" s="1066" t="s">
        <v>64</v>
      </c>
      <c r="C7" s="429"/>
      <c r="D7" s="429"/>
      <c r="E7" s="429"/>
      <c r="F7" s="429"/>
      <c r="G7" s="429"/>
      <c r="H7" s="429"/>
      <c r="I7" s="862" t="str">
        <f>'Parts A'!B4</f>
        <v>ERASMUS EFFORT</v>
      </c>
      <c r="J7" s="862"/>
      <c r="K7" s="862"/>
      <c r="L7" s="862"/>
      <c r="M7" s="1067" t="str">
        <f>'Parts A'!J4</f>
        <v>Container</v>
      </c>
      <c r="N7" s="1068"/>
      <c r="O7" s="865" t="s">
        <v>65</v>
      </c>
      <c r="P7" s="446"/>
      <c r="Q7" s="446"/>
      <c r="R7" s="446"/>
      <c r="S7" s="1069" t="s">
        <v>66</v>
      </c>
      <c r="T7" s="1069"/>
      <c r="U7" s="1070"/>
      <c r="V7" s="865" t="s">
        <v>67</v>
      </c>
      <c r="W7" s="868"/>
      <c r="X7" s="869"/>
      <c r="Z7" s="978"/>
    </row>
    <row r="8" ht="39" customHeight="1" spans="1:28">
      <c r="A8" s="831"/>
      <c r="B8" s="1071" t="s">
        <v>68</v>
      </c>
      <c r="C8" s="430"/>
      <c r="D8" s="430"/>
      <c r="E8" s="430"/>
      <c r="F8" s="872" t="str">
        <f>'Parts A'!E3</f>
        <v>巴拿马</v>
      </c>
      <c r="G8" s="873"/>
      <c r="H8" s="874"/>
      <c r="I8" s="824" t="s">
        <v>69</v>
      </c>
      <c r="J8" s="1072"/>
      <c r="K8" s="1072"/>
      <c r="L8" s="1072"/>
      <c r="M8" s="1073" t="str">
        <f>'Crew Inb'!C11</f>
        <v>李继祥</v>
      </c>
      <c r="N8" s="1074"/>
      <c r="O8" s="1075" t="s">
        <v>70</v>
      </c>
      <c r="P8" s="880"/>
      <c r="Q8" s="880"/>
      <c r="R8" s="880"/>
      <c r="S8" s="880"/>
      <c r="T8" s="880"/>
      <c r="U8" s="880"/>
      <c r="V8" s="880"/>
      <c r="W8" s="1076" t="s">
        <v>71</v>
      </c>
      <c r="X8" s="1077"/>
      <c r="Z8" s="413" t="s">
        <v>72</v>
      </c>
      <c r="AB8" s="413" t="s">
        <v>73</v>
      </c>
    </row>
    <row r="9" ht="39" customHeight="1" spans="1:28">
      <c r="A9" s="831"/>
      <c r="B9" s="1066" t="s">
        <v>74</v>
      </c>
      <c r="C9" s="429"/>
      <c r="D9" s="429"/>
      <c r="E9" s="429"/>
      <c r="F9" s="1078" t="str">
        <f>'Parts A'!E4</f>
        <v>PANAMA</v>
      </c>
      <c r="G9" s="1079"/>
      <c r="H9" s="1080"/>
      <c r="I9" s="1081" t="s">
        <v>75</v>
      </c>
      <c r="J9" s="1082"/>
      <c r="K9" s="1082"/>
      <c r="L9" s="1082"/>
      <c r="M9" s="1083"/>
      <c r="N9" s="1084"/>
      <c r="O9" s="429" t="s">
        <v>76</v>
      </c>
      <c r="P9" s="446"/>
      <c r="Q9" s="446"/>
      <c r="R9" s="446"/>
      <c r="S9" s="446"/>
      <c r="T9" s="446"/>
      <c r="U9" s="446"/>
      <c r="V9" s="446"/>
      <c r="W9" s="1085" t="s">
        <v>77</v>
      </c>
      <c r="X9" s="1086"/>
      <c r="Z9" s="806" t="s">
        <v>78</v>
      </c>
      <c r="AB9" s="413" t="s">
        <v>79</v>
      </c>
    </row>
    <row r="10" ht="30" customHeight="1" spans="1:28">
      <c r="A10" s="831"/>
      <c r="B10" s="1087" t="s">
        <v>80</v>
      </c>
      <c r="C10" s="435"/>
      <c r="D10" s="435"/>
      <c r="E10" s="435"/>
      <c r="F10" s="435"/>
      <c r="G10" s="435"/>
      <c r="H10" s="1088"/>
      <c r="I10" s="895" t="str">
        <f>'Parts A'!B5</f>
        <v>IMO:1032452</v>
      </c>
      <c r="J10" s="896"/>
      <c r="K10" s="896"/>
      <c r="L10" s="896"/>
      <c r="M10" s="896"/>
      <c r="N10" s="897"/>
      <c r="O10" s="1075" t="s">
        <v>81</v>
      </c>
      <c r="P10" s="880"/>
      <c r="Q10" s="880"/>
      <c r="R10" s="880"/>
      <c r="S10" s="880"/>
      <c r="T10" s="880"/>
      <c r="U10" s="880"/>
      <c r="V10" s="880"/>
      <c r="W10" s="880"/>
      <c r="X10" s="898"/>
      <c r="Z10" s="806" t="s">
        <v>82</v>
      </c>
    </row>
    <row r="11" ht="30" customHeight="1" spans="1:28">
      <c r="A11" s="831"/>
      <c r="B11" s="1089" t="s">
        <v>83</v>
      </c>
      <c r="C11" s="1090"/>
      <c r="D11" s="1090"/>
      <c r="E11" s="1090"/>
      <c r="F11" s="1090"/>
      <c r="G11" s="1090"/>
      <c r="H11" s="1091"/>
      <c r="I11" s="902"/>
      <c r="J11" s="903"/>
      <c r="K11" s="903"/>
      <c r="L11" s="903"/>
      <c r="M11" s="903"/>
      <c r="N11" s="904"/>
      <c r="O11" s="905" t="s">
        <v>84</v>
      </c>
      <c r="P11" s="906"/>
      <c r="Q11" s="906"/>
      <c r="R11" s="906"/>
      <c r="S11" s="906"/>
      <c r="T11" s="906"/>
      <c r="U11" s="906"/>
      <c r="V11" s="906"/>
      <c r="W11" s="906"/>
      <c r="X11" s="907"/>
      <c r="Z11" s="806" t="s">
        <v>85</v>
      </c>
    </row>
    <row r="12" ht="30" customHeight="1" spans="1:28">
      <c r="A12" s="831"/>
      <c r="B12" s="1087" t="s">
        <v>86</v>
      </c>
      <c r="C12" s="435"/>
      <c r="D12" s="435"/>
      <c r="E12" s="909">
        <f>'Parts A'!E5</f>
        <v>9562</v>
      </c>
      <c r="F12" s="910"/>
      <c r="G12" s="910"/>
      <c r="H12" s="911"/>
      <c r="I12" s="1092" t="s">
        <v>87</v>
      </c>
      <c r="J12" s="913"/>
      <c r="K12" s="430" t="s">
        <v>88</v>
      </c>
      <c r="L12" s="914">
        <f>'Parts A'!G5</f>
        <v>4523</v>
      </c>
      <c r="M12" s="915"/>
      <c r="N12" s="916"/>
      <c r="O12" s="1093" t="s">
        <v>89</v>
      </c>
      <c r="P12" s="1094"/>
      <c r="Q12" s="1094"/>
      <c r="R12" s="1094"/>
      <c r="S12" s="1094"/>
      <c r="T12" s="1094"/>
      <c r="U12" s="1094"/>
      <c r="V12" s="1094"/>
      <c r="W12" s="1094" t="s">
        <v>90</v>
      </c>
      <c r="X12" s="1095"/>
      <c r="Z12" s="806" t="s">
        <v>91</v>
      </c>
    </row>
    <row r="13" ht="30" customHeight="1" spans="1:28">
      <c r="A13" s="831"/>
      <c r="B13" s="1066" t="s">
        <v>92</v>
      </c>
      <c r="C13" s="429"/>
      <c r="D13" s="429"/>
      <c r="E13" s="921"/>
      <c r="F13" s="921"/>
      <c r="G13" s="921"/>
      <c r="H13" s="922"/>
      <c r="I13" s="886" t="s">
        <v>93</v>
      </c>
      <c r="J13" s="923"/>
      <c r="K13" s="924"/>
      <c r="L13" s="925"/>
      <c r="M13" s="925"/>
      <c r="N13" s="926"/>
      <c r="O13" s="1096"/>
      <c r="P13" s="1097"/>
      <c r="Q13" s="1097"/>
      <c r="R13" s="1097"/>
      <c r="S13" s="1097"/>
      <c r="T13" s="1097"/>
      <c r="U13" s="1097"/>
      <c r="V13" s="1097"/>
      <c r="W13" s="1242" t="s">
        <v>94</v>
      </c>
      <c r="X13" s="1098"/>
      <c r="Z13" s="806" t="s">
        <v>95</v>
      </c>
    </row>
    <row r="14" ht="30" customHeight="1" spans="1:28">
      <c r="A14" s="831"/>
      <c r="B14" s="1099" t="s">
        <v>96</v>
      </c>
      <c r="C14" s="933"/>
      <c r="D14" s="933"/>
      <c r="E14" s="933"/>
      <c r="F14" s="933"/>
      <c r="G14" s="933"/>
      <c r="H14" s="933"/>
      <c r="I14" s="876"/>
      <c r="J14" s="876"/>
      <c r="K14" s="934" t="s">
        <v>97</v>
      </c>
      <c r="L14" s="934"/>
      <c r="M14" s="934"/>
      <c r="N14" s="935"/>
      <c r="O14" s="1100" t="s">
        <v>98</v>
      </c>
      <c r="P14" s="828"/>
      <c r="Q14" s="828"/>
      <c r="R14" s="828"/>
      <c r="S14" s="828"/>
      <c r="T14" s="828"/>
      <c r="U14" s="828"/>
      <c r="V14" s="828"/>
      <c r="W14" s="828">
        <v>18664696130</v>
      </c>
      <c r="X14" s="1101"/>
      <c r="Z14" s="806" t="s">
        <v>99</v>
      </c>
    </row>
    <row r="15" ht="30" customHeight="1" spans="1:28">
      <c r="A15" s="831"/>
      <c r="B15" s="899" t="s">
        <v>100</v>
      </c>
      <c r="C15" s="900"/>
      <c r="D15" s="900"/>
      <c r="E15" s="900"/>
      <c r="F15" s="900"/>
      <c r="G15" s="900"/>
      <c r="H15" s="900"/>
      <c r="I15" s="924"/>
      <c r="J15" s="924"/>
      <c r="K15" s="942"/>
      <c r="L15" s="942"/>
      <c r="M15" s="942"/>
      <c r="N15" s="943"/>
      <c r="O15" s="1102"/>
      <c r="P15" s="1103"/>
      <c r="Q15" s="1103"/>
      <c r="R15" s="1103"/>
      <c r="S15" s="1103"/>
      <c r="T15" s="1103"/>
      <c r="U15" s="1103"/>
      <c r="V15" s="1103"/>
      <c r="W15" s="1103"/>
      <c r="X15" s="1104"/>
      <c r="Z15" s="806" t="s">
        <v>101</v>
      </c>
    </row>
    <row r="16" spans="1:28">
      <c r="A16" s="831"/>
      <c r="B16" s="950" t="s">
        <v>102</v>
      </c>
      <c r="C16" s="430"/>
      <c r="D16" s="430"/>
      <c r="E16" s="430"/>
      <c r="F16" s="430"/>
      <c r="G16" s="430"/>
      <c r="H16" s="430"/>
      <c r="I16" s="948"/>
      <c r="J16" s="948"/>
      <c r="K16" s="948"/>
      <c r="L16" s="948"/>
      <c r="M16" s="948"/>
      <c r="N16" s="948"/>
      <c r="O16" s="948"/>
      <c r="P16" s="948"/>
      <c r="Q16" s="948"/>
      <c r="R16" s="948"/>
      <c r="S16" s="948"/>
      <c r="T16" s="948"/>
      <c r="U16" s="948"/>
      <c r="V16" s="948"/>
      <c r="W16" s="948"/>
      <c r="X16" s="949"/>
    </row>
    <row r="17" spans="1:24">
      <c r="A17" s="831"/>
      <c r="B17" s="950" t="s">
        <v>103</v>
      </c>
      <c r="C17" s="430"/>
      <c r="D17" s="430"/>
      <c r="E17" s="430"/>
      <c r="F17" s="430"/>
      <c r="G17" s="430"/>
      <c r="H17" s="430"/>
      <c r="I17" s="948"/>
      <c r="J17" s="948"/>
      <c r="K17" s="948"/>
      <c r="L17" s="948"/>
      <c r="M17" s="948"/>
      <c r="N17" s="948"/>
      <c r="O17" s="948"/>
      <c r="P17" s="948"/>
      <c r="Q17" s="948"/>
      <c r="R17" s="948"/>
      <c r="S17" s="948"/>
      <c r="T17" s="948"/>
      <c r="U17" s="948"/>
      <c r="V17" s="948"/>
      <c r="W17" s="948"/>
      <c r="X17" s="949"/>
    </row>
    <row r="18" ht="30" customHeight="1" spans="1:24">
      <c r="A18" s="831"/>
      <c r="B18" s="951"/>
      <c r="C18" s="952"/>
      <c r="D18" s="953"/>
      <c r="E18" s="953"/>
      <c r="F18" s="953"/>
      <c r="G18" s="1105" t="str">
        <f>W8</f>
        <v>胡志明市</v>
      </c>
      <c r="H18" s="1105"/>
      <c r="I18" s="1105"/>
      <c r="J18" s="1105"/>
      <c r="K18" s="955" t="s">
        <v>13</v>
      </c>
      <c r="L18" s="955"/>
      <c r="M18" s="956" t="str">
        <f>S6</f>
        <v>南沙新港</v>
      </c>
      <c r="N18" s="956"/>
      <c r="O18" s="956"/>
      <c r="P18" s="956"/>
      <c r="Q18" s="957"/>
      <c r="R18" s="955" t="s">
        <v>13</v>
      </c>
      <c r="S18" s="955"/>
      <c r="T18" s="937" t="str">
        <f>'Gen Outb'!W8</f>
        <v>胡志明市</v>
      </c>
      <c r="U18" s="937"/>
      <c r="V18" s="937"/>
      <c r="W18" s="937"/>
      <c r="X18" s="959"/>
    </row>
    <row r="19" ht="30" customHeight="1" spans="1:24">
      <c r="A19" s="831"/>
      <c r="B19" s="960" t="str">
        <f>W9</f>
        <v>HO CHI MINH CITY</v>
      </c>
      <c r="C19" s="961"/>
      <c r="D19" s="961"/>
      <c r="E19" s="961"/>
      <c r="F19" s="961"/>
      <c r="G19" s="961" t="str">
        <f>W9</f>
        <v>HO CHI MINH CITY</v>
      </c>
      <c r="H19" s="961"/>
      <c r="I19" s="961"/>
      <c r="J19" s="961"/>
      <c r="K19" s="962"/>
      <c r="L19" s="962"/>
      <c r="M19" s="1106" t="str">
        <f>S7</f>
        <v>NANSHA NEW PORT</v>
      </c>
      <c r="N19" s="1106"/>
      <c r="O19" s="1106"/>
      <c r="P19" s="1106"/>
      <c r="Q19" s="964"/>
      <c r="R19" s="962"/>
      <c r="S19" s="962"/>
      <c r="T19" s="1106" t="str">
        <f>'Gen Outb'!W9</f>
        <v>HO CHI MINH CITY</v>
      </c>
      <c r="U19" s="1106"/>
      <c r="V19" s="1106"/>
      <c r="W19" s="1106"/>
      <c r="X19" s="966"/>
    </row>
    <row r="20" ht="30.75" customHeight="1" spans="1:24">
      <c r="A20" s="831"/>
      <c r="B20" s="967" t="s">
        <v>104</v>
      </c>
      <c r="C20" s="968"/>
      <c r="D20" s="968"/>
      <c r="E20" s="968"/>
      <c r="F20" s="968"/>
      <c r="G20" s="968"/>
      <c r="H20" s="968"/>
      <c r="I20" s="969"/>
      <c r="J20" s="969"/>
      <c r="K20" s="969"/>
      <c r="L20" s="969"/>
      <c r="M20" s="969"/>
      <c r="N20" s="969"/>
      <c r="O20" s="969"/>
      <c r="P20" s="969"/>
      <c r="Q20" s="969"/>
      <c r="R20" s="969"/>
      <c r="S20" s="969"/>
      <c r="T20" s="969"/>
      <c r="U20" s="969"/>
      <c r="V20" s="969"/>
      <c r="W20" s="969"/>
      <c r="X20" s="970"/>
    </row>
    <row r="21" ht="30.75" customHeight="1" spans="1:24">
      <c r="A21" s="831"/>
      <c r="B21" s="870" t="s">
        <v>105</v>
      </c>
      <c r="C21" s="871"/>
      <c r="D21" s="871"/>
      <c r="E21" s="871"/>
      <c r="F21" s="871"/>
      <c r="G21" s="871"/>
      <c r="H21" s="871"/>
      <c r="I21" s="948"/>
      <c r="J21" s="971" t="s">
        <v>106</v>
      </c>
      <c r="K21" s="972"/>
      <c r="L21" s="973">
        <f>W22+W23</f>
        <v>12059</v>
      </c>
      <c r="M21" s="973">
        <f>IF(AND(W22=0,W23=0),"NIL",W22+W23)</f>
        <v>12059</v>
      </c>
      <c r="N21" s="973"/>
      <c r="O21" s="974" t="s">
        <v>107</v>
      </c>
      <c r="P21" s="975" t="s">
        <v>108</v>
      </c>
      <c r="Q21" s="975"/>
      <c r="R21" s="975"/>
      <c r="S21" s="975"/>
      <c r="T21" s="975"/>
      <c r="U21" s="975"/>
      <c r="V21" s="975"/>
      <c r="W21" s="975"/>
      <c r="X21" s="976"/>
    </row>
    <row r="22" ht="30.75" customHeight="1" spans="1:24">
      <c r="A22" s="831"/>
      <c r="B22" s="977"/>
      <c r="C22" s="978"/>
      <c r="D22" s="979"/>
      <c r="E22" s="980" t="s">
        <v>109</v>
      </c>
      <c r="F22" s="981" t="str">
        <f>IF('Cstm Inb'!D9+'Cstm Inb'!E9+'Cstm Inb'!H9+'Cstm Inb'!I9+'Cstm Inb'!D11+'Cstm Inb'!E11+'Cstm Inb'!H11+'Cstm Inb'!I11=0,"NIL","20F×"&amp;'Cstm Inb'!D9+'Cstm Inb'!H9+'Cstm Inb'!D11&amp;", 40F×"&amp;'Cstm Inb'!E9+'Cstm Inb'!I9+'Cstm Inb'!E11&amp;", 20E×"&amp;'Cstm Inb'!H11&amp;", 40E×"&amp;'Cstm Inb'!I11)</f>
        <v>20F×67, 40F×68, 20E×0, 40E×0</v>
      </c>
      <c r="G22" s="981"/>
      <c r="H22" s="981"/>
      <c r="I22" s="981"/>
      <c r="J22" s="981"/>
      <c r="K22" s="981"/>
      <c r="L22" s="981"/>
      <c r="M22" s="981"/>
      <c r="N22" s="981"/>
      <c r="O22" s="981"/>
      <c r="P22" s="982" t="s">
        <v>110</v>
      </c>
      <c r="Q22" s="983"/>
      <c r="R22" s="984">
        <f>'Cstm Inb'!D9+'Cstm Inb'!H9+'Cstm Inb'!D11+'Cstm Inb'!H11+('Cstm Inb'!E9+'Cstm Inb'!I9+'Cstm Inb'!E11+'Cstm Inb'!I11)*2</f>
        <v>203</v>
      </c>
      <c r="S22" s="984"/>
      <c r="T22" s="985" t="s">
        <v>111</v>
      </c>
      <c r="U22" s="985"/>
      <c r="V22" s="986" t="s">
        <v>112</v>
      </c>
      <c r="W22" s="987">
        <v>2919</v>
      </c>
      <c r="X22" s="988" t="s">
        <v>113</v>
      </c>
    </row>
    <row r="23" ht="30.75" customHeight="1" spans="1:24">
      <c r="A23" s="831"/>
      <c r="B23" s="977"/>
      <c r="C23" s="978"/>
      <c r="D23" s="989"/>
      <c r="E23" s="990" t="s">
        <v>114</v>
      </c>
      <c r="F23" s="991" t="str">
        <f>IF('Cstm Outb'!D10+'Cstm Outb'!E10+'Cstm Outb'!H10+'Cstm Outb'!I10=0,"NIL","20F×"&amp;'Cstm Outb'!D10&amp;", 40F×"&amp;'Cstm Outb'!E10)</f>
        <v>20F×133, 40F×324</v>
      </c>
      <c r="G23" s="991"/>
      <c r="H23" s="991"/>
      <c r="I23" s="991"/>
      <c r="J23" s="991"/>
      <c r="K23" s="991"/>
      <c r="L23" s="991"/>
      <c r="M23" s="991"/>
      <c r="N23" s="991"/>
      <c r="O23" s="991"/>
      <c r="P23" s="1107" t="s">
        <v>110</v>
      </c>
      <c r="Q23" s="1108"/>
      <c r="R23" s="994">
        <f>'Cstm Outb'!D10+'Cstm Outb'!H10+('Cstm Outb'!E10+'Cstm Outb'!I10)*2</f>
        <v>781</v>
      </c>
      <c r="S23" s="994"/>
      <c r="T23" s="1109" t="s">
        <v>111</v>
      </c>
      <c r="U23" s="1109"/>
      <c r="V23" s="1110" t="s">
        <v>112</v>
      </c>
      <c r="W23" s="996">
        <f>('Cstm Outb'!D10+'Cstm Outb'!E10)*20+'Cstm Outb'!H10+'Cstm Outb'!I10*2</f>
        <v>9140</v>
      </c>
      <c r="X23" s="988" t="s">
        <v>113</v>
      </c>
    </row>
    <row r="24" ht="30" customHeight="1" spans="1:24">
      <c r="A24" s="831"/>
      <c r="B24" s="1087" t="s">
        <v>115</v>
      </c>
      <c r="C24" s="435"/>
      <c r="D24" s="435"/>
      <c r="E24" s="435"/>
      <c r="F24" s="435"/>
      <c r="G24" s="435"/>
      <c r="H24" s="1000">
        <v>19</v>
      </c>
      <c r="I24" s="1111" t="s">
        <v>116</v>
      </c>
      <c r="J24" s="880"/>
      <c r="K24" s="435"/>
      <c r="L24" s="880"/>
      <c r="M24" s="880"/>
      <c r="N24" s="1000" t="s">
        <v>117</v>
      </c>
      <c r="O24" s="1001" t="s">
        <v>118</v>
      </c>
      <c r="P24" s="1002"/>
      <c r="Q24" s="1003"/>
      <c r="R24" s="1112" t="s">
        <v>119</v>
      </c>
      <c r="S24" s="1112"/>
      <c r="T24" s="1112"/>
      <c r="U24" s="1112"/>
      <c r="V24" s="1113"/>
      <c r="W24" s="1006" t="s">
        <v>120</v>
      </c>
      <c r="X24" s="1007"/>
    </row>
    <row r="25" ht="30" customHeight="1" spans="1:24">
      <c r="A25" s="831"/>
      <c r="B25" s="1066" t="s">
        <v>121</v>
      </c>
      <c r="C25" s="429"/>
      <c r="D25" s="429"/>
      <c r="E25" s="429"/>
      <c r="F25" s="429"/>
      <c r="G25" s="429"/>
      <c r="H25" s="1009"/>
      <c r="I25" s="1114" t="s">
        <v>122</v>
      </c>
      <c r="J25" s="446"/>
      <c r="K25" s="429"/>
      <c r="L25" s="446"/>
      <c r="M25" s="446"/>
      <c r="N25" s="1009"/>
      <c r="O25" s="1010" t="s">
        <v>123</v>
      </c>
      <c r="P25" s="1011"/>
      <c r="Q25" s="1012"/>
      <c r="R25" s="1115" t="s">
        <v>124</v>
      </c>
      <c r="S25" s="1115"/>
      <c r="T25" s="1115"/>
      <c r="U25" s="1115"/>
      <c r="V25" s="1116"/>
      <c r="W25" s="1117" t="s">
        <v>125</v>
      </c>
      <c r="X25" s="1118" t="s">
        <v>126</v>
      </c>
    </row>
    <row r="26" ht="30" customHeight="1" spans="1:24">
      <c r="A26" s="831"/>
      <c r="B26" s="1119" t="s">
        <v>127</v>
      </c>
      <c r="C26" s="1120"/>
      <c r="D26" s="1120"/>
      <c r="E26" s="1120"/>
      <c r="F26" s="1120"/>
      <c r="G26" s="1120"/>
      <c r="H26" s="1120"/>
      <c r="I26" s="1121"/>
      <c r="J26" s="1121"/>
      <c r="K26" s="1120"/>
      <c r="L26" s="1120"/>
      <c r="M26" s="1120"/>
      <c r="N26" s="1122"/>
      <c r="O26" s="1020" t="s">
        <v>128</v>
      </c>
      <c r="P26" s="1021"/>
      <c r="Q26" s="876"/>
      <c r="R26" s="1115" t="str">
        <f>'Parts A'!B6</f>
        <v>3E8968</v>
      </c>
      <c r="S26" s="1115"/>
      <c r="T26" s="1115"/>
      <c r="U26" s="1115"/>
      <c r="V26" s="1116"/>
      <c r="W26" s="1117" t="s">
        <v>129</v>
      </c>
      <c r="X26" s="1123"/>
    </row>
    <row r="27" ht="30" customHeight="1" spans="1:24">
      <c r="A27" s="831"/>
      <c r="B27" s="1124" t="s">
        <v>130</v>
      </c>
      <c r="C27" s="1125"/>
      <c r="D27" s="1125"/>
      <c r="E27" s="1125"/>
      <c r="F27" s="1125"/>
      <c r="G27" s="1125"/>
      <c r="H27" s="1125"/>
      <c r="I27" s="1126"/>
      <c r="J27" s="1126"/>
      <c r="K27" s="1126"/>
      <c r="L27" s="1126"/>
      <c r="M27" s="1126"/>
      <c r="N27" s="1127"/>
      <c r="O27" s="1010" t="s">
        <v>131</v>
      </c>
      <c r="P27" s="1128"/>
      <c r="Q27" s="876"/>
      <c r="R27" s="1115">
        <v>352005770</v>
      </c>
      <c r="S27" s="1115"/>
      <c r="T27" s="1115"/>
      <c r="U27" s="1115"/>
      <c r="V27" s="1116"/>
      <c r="W27" s="1117" t="s">
        <v>132</v>
      </c>
      <c r="X27" s="1123"/>
    </row>
    <row r="28" ht="30" customHeight="1" spans="1:24">
      <c r="A28" s="831"/>
      <c r="B28" s="1071" t="s">
        <v>133</v>
      </c>
      <c r="C28" s="430"/>
      <c r="D28" s="430"/>
      <c r="E28" s="430"/>
      <c r="F28" s="430"/>
      <c r="G28" s="430"/>
      <c r="H28" s="1026"/>
      <c r="I28" s="477" t="s">
        <v>134</v>
      </c>
      <c r="J28" s="1129"/>
      <c r="K28" s="438"/>
      <c r="L28" s="438"/>
      <c r="M28" s="438"/>
      <c r="N28" s="1027"/>
      <c r="O28" s="1020" t="s">
        <v>135</v>
      </c>
      <c r="P28" s="1028"/>
      <c r="Q28" s="1029"/>
      <c r="R28" s="1130" t="s">
        <v>136</v>
      </c>
      <c r="S28" s="1131"/>
      <c r="T28" s="1131"/>
      <c r="U28" s="1131"/>
      <c r="V28" s="1132"/>
      <c r="W28" s="1117" t="s">
        <v>137</v>
      </c>
      <c r="X28" s="1123"/>
    </row>
    <row r="29" ht="30" customHeight="1" spans="1:24">
      <c r="A29" s="831"/>
      <c r="B29" s="1066" t="s">
        <v>138</v>
      </c>
      <c r="C29" s="429"/>
      <c r="D29" s="429"/>
      <c r="E29" s="429"/>
      <c r="F29" s="429"/>
      <c r="G29" s="429"/>
      <c r="H29" s="1026"/>
      <c r="I29" s="1114" t="s">
        <v>139</v>
      </c>
      <c r="J29" s="1133"/>
      <c r="K29" s="446"/>
      <c r="L29" s="446"/>
      <c r="M29" s="446"/>
      <c r="N29" s="1027"/>
      <c r="O29" s="1030" t="s">
        <v>140</v>
      </c>
      <c r="P29" s="1031"/>
      <c r="Q29" s="1031"/>
      <c r="R29" s="1115" t="s">
        <v>141</v>
      </c>
      <c r="S29" s="1115"/>
      <c r="T29" s="1115"/>
      <c r="U29" s="1115"/>
      <c r="V29" s="1116"/>
      <c r="W29" s="1134" t="s">
        <v>142</v>
      </c>
      <c r="X29" s="1135"/>
    </row>
    <row r="30" ht="30" customHeight="1" spans="1:24">
      <c r="A30" s="831"/>
      <c r="B30" s="1071" t="s">
        <v>143</v>
      </c>
      <c r="C30" s="430"/>
      <c r="D30" s="430"/>
      <c r="E30" s="430"/>
      <c r="F30" s="430"/>
      <c r="G30" s="430"/>
      <c r="H30" s="1136">
        <v>1</v>
      </c>
      <c r="I30" s="477" t="s">
        <v>144</v>
      </c>
      <c r="J30" s="1129"/>
      <c r="K30" s="438"/>
      <c r="L30" s="438"/>
      <c r="M30" s="438"/>
      <c r="N30" s="1037" t="s">
        <v>145</v>
      </c>
      <c r="O30" s="435" t="s">
        <v>146</v>
      </c>
      <c r="P30" s="435"/>
      <c r="Q30" s="435"/>
      <c r="R30" s="435"/>
      <c r="S30" s="435"/>
      <c r="T30" s="435"/>
      <c r="U30" s="435"/>
      <c r="V30" s="435"/>
      <c r="W30" s="435"/>
      <c r="X30" s="1038"/>
    </row>
    <row r="31" ht="30" customHeight="1" spans="1:24">
      <c r="A31" s="831"/>
      <c r="B31" s="1066" t="s">
        <v>147</v>
      </c>
      <c r="C31" s="429"/>
      <c r="D31" s="429"/>
      <c r="E31" s="429"/>
      <c r="F31" s="429"/>
      <c r="G31" s="429"/>
      <c r="H31" s="1137"/>
      <c r="I31" s="1114" t="s">
        <v>148</v>
      </c>
      <c r="J31" s="1133"/>
      <c r="K31" s="446"/>
      <c r="L31" s="446"/>
      <c r="M31" s="446"/>
      <c r="N31" s="1037"/>
      <c r="O31" s="430" t="s">
        <v>149</v>
      </c>
      <c r="P31" s="438"/>
      <c r="Q31" s="438"/>
      <c r="R31" s="438"/>
      <c r="S31" s="438"/>
      <c r="T31" s="438"/>
      <c r="U31" s="438"/>
      <c r="V31" s="438"/>
      <c r="W31" s="438"/>
      <c r="X31" s="1040"/>
    </row>
    <row r="32" ht="30" customHeight="1" spans="1:24">
      <c r="A32" s="831"/>
      <c r="B32" s="1071" t="s">
        <v>150</v>
      </c>
      <c r="C32" s="430"/>
      <c r="D32" s="430"/>
      <c r="E32" s="430"/>
      <c r="F32" s="430"/>
      <c r="G32" s="430"/>
      <c r="H32" s="1026">
        <v>1</v>
      </c>
      <c r="I32" s="477" t="s">
        <v>151</v>
      </c>
      <c r="J32" s="1129"/>
      <c r="K32" s="438"/>
      <c r="L32" s="438"/>
      <c r="M32" s="438"/>
      <c r="N32" s="1027"/>
      <c r="O32" s="1041"/>
      <c r="P32"/>
      <c r="Q32"/>
      <c r="R32"/>
      <c r="S32"/>
      <c r="T32"/>
      <c r="U32"/>
      <c r="V32"/>
      <c r="W32"/>
      <c r="X32" s="1042"/>
    </row>
    <row r="33" ht="30" customHeight="1" spans="1:24">
      <c r="A33" s="831"/>
      <c r="B33" s="1138" t="s">
        <v>152</v>
      </c>
      <c r="C33" s="1044"/>
      <c r="D33" s="1044"/>
      <c r="E33" s="1044"/>
      <c r="F33" s="1044"/>
      <c r="G33" s="1044"/>
      <c r="H33" s="1045"/>
      <c r="I33" s="1139" t="s">
        <v>153</v>
      </c>
      <c r="J33" s="1140"/>
      <c r="K33" s="1047"/>
      <c r="L33" s="1047"/>
      <c r="M33" s="1047"/>
      <c r="N33" s="1048"/>
      <c r="O33" s="1049"/>
      <c r="P33" s="1050"/>
      <c r="Q33" s="1050"/>
      <c r="R33" s="1050"/>
      <c r="S33" s="1050"/>
      <c r="T33" s="1050"/>
      <c r="U33" s="1050"/>
      <c r="V33" s="1050"/>
      <c r="W33" s="1050"/>
      <c r="X33" s="1051"/>
    </row>
    <row r="34" ht="11.25" customHeight="1" spans="1:24">
      <c r="A34" s="831"/>
      <c r="B34" s="1052" t="s">
        <v>154</v>
      </c>
      <c r="C34" s="1052"/>
      <c r="D34" s="1052"/>
      <c r="E34" s="1052"/>
      <c r="F34" s="1052"/>
      <c r="G34" s="1052"/>
      <c r="H34" s="1052"/>
      <c r="I34" s="1052"/>
      <c r="J34" s="1053"/>
      <c r="K34" s="1054"/>
      <c r="L34" s="1054"/>
      <c r="M34" s="1054"/>
      <c r="N34" s="1054"/>
      <c r="O34" s="1054"/>
      <c r="P34" s="1054"/>
      <c r="Q34" s="1054"/>
      <c r="R34" s="1054"/>
      <c r="S34" s="1054"/>
      <c r="T34" s="1054"/>
      <c r="U34" s="1054"/>
      <c r="V34" s="1054"/>
      <c r="W34" s="1054"/>
      <c r="X34" s="1054"/>
    </row>
    <row r="35" ht="11.25" customHeight="1" spans="1:24">
      <c r="A35" s="831"/>
      <c r="B35" s="416" t="s">
        <v>155</v>
      </c>
      <c r="C35" s="416"/>
      <c r="D35" s="416"/>
      <c r="E35" s="416"/>
      <c r="F35" s="416"/>
      <c r="G35" s="416"/>
      <c r="H35" s="416"/>
      <c r="I35" s="414"/>
      <c r="J35" s="414"/>
      <c r="K35" s="822"/>
      <c r="L35" s="822"/>
      <c r="M35" s="822"/>
      <c r="N35" s="822"/>
      <c r="O35" s="822"/>
      <c r="P35" s="822"/>
      <c r="Q35" s="822"/>
      <c r="R35" s="822"/>
      <c r="S35" s="822"/>
      <c r="T35" s="822"/>
      <c r="U35" s="822"/>
      <c r="V35" s="1055"/>
      <c r="W35" s="1056"/>
      <c r="X35" s="1056"/>
    </row>
    <row r="36" ht="11.25" customHeight="1" spans="1:24">
      <c r="A36" s="1057"/>
      <c r="B36" s="410"/>
      <c r="C36" s="410"/>
      <c r="D36" s="410"/>
      <c r="E36" s="410"/>
      <c r="F36" s="410"/>
      <c r="G36" s="410"/>
      <c r="H36" s="822"/>
      <c r="I36" s="822"/>
      <c r="J36" s="822"/>
      <c r="K36" s="822"/>
      <c r="L36" s="822"/>
      <c r="M36" s="822"/>
      <c r="N36" s="822"/>
      <c r="O36" s="822"/>
      <c r="P36" s="822" t="s">
        <v>108</v>
      </c>
      <c r="Q36" s="822"/>
      <c r="R36" s="822"/>
      <c r="S36" s="822"/>
      <c r="T36" s="822"/>
      <c r="U36" s="822"/>
      <c r="V36" s="822"/>
      <c r="W36" s="822"/>
      <c r="X36" s="822"/>
    </row>
    <row r="37" ht="11.25" customHeight="1" spans="1:24">
      <c r="A37" s="1057"/>
      <c r="B37" s="410"/>
      <c r="C37" s="410"/>
      <c r="D37" s="410"/>
      <c r="E37" s="410"/>
      <c r="F37" s="410"/>
      <c r="G37" s="410"/>
      <c r="H37" s="822"/>
      <c r="I37" s="822"/>
      <c r="J37" s="822"/>
      <c r="K37" s="822"/>
      <c r="L37" s="822"/>
      <c r="M37" s="822"/>
      <c r="N37" s="822"/>
      <c r="O37" s="822"/>
      <c r="P37" s="822"/>
      <c r="Q37" s="822"/>
      <c r="R37" s="822"/>
      <c r="S37" s="822"/>
      <c r="T37" s="822"/>
      <c r="U37" s="822"/>
      <c r="V37" s="822"/>
      <c r="W37" s="822"/>
      <c r="X37" s="822"/>
    </row>
  </sheetData>
  <mergeCells count="74">
    <mergeCell ref="B1:X1"/>
    <mergeCell ref="B2:X2"/>
    <mergeCell ref="V3:W3"/>
    <mergeCell ref="V4:W4"/>
    <mergeCell ref="I6:L6"/>
    <mergeCell ref="M6:N6"/>
    <mergeCell ref="S6:U6"/>
    <mergeCell ref="V6:W6"/>
    <mergeCell ref="I7:L7"/>
    <mergeCell ref="M7:N7"/>
    <mergeCell ref="S7:U7"/>
    <mergeCell ref="F8:H8"/>
    <mergeCell ref="I8:L8"/>
    <mergeCell ref="W8:X8"/>
    <mergeCell ref="F9:H9"/>
    <mergeCell ref="I9:L9"/>
    <mergeCell ref="W9:X9"/>
    <mergeCell ref="I10:N10"/>
    <mergeCell ref="B11:H11"/>
    <mergeCell ref="I11:N11"/>
    <mergeCell ref="I12:J12"/>
    <mergeCell ref="W12:X12"/>
    <mergeCell ref="I13:K13"/>
    <mergeCell ref="W13:X13"/>
    <mergeCell ref="B16:X16"/>
    <mergeCell ref="B17:X17"/>
    <mergeCell ref="G18:J18"/>
    <mergeCell ref="M18:P18"/>
    <mergeCell ref="T18:W18"/>
    <mergeCell ref="B19:J19"/>
    <mergeCell ref="M19:P19"/>
    <mergeCell ref="T19:W19"/>
    <mergeCell ref="L21:N21"/>
    <mergeCell ref="F22:O22"/>
    <mergeCell ref="R22:S22"/>
    <mergeCell ref="T22:U22"/>
    <mergeCell ref="F23:O23"/>
    <mergeCell ref="R23:S23"/>
    <mergeCell ref="T23:U23"/>
    <mergeCell ref="R24:V24"/>
    <mergeCell ref="W24:X24"/>
    <mergeCell ref="O25:P25"/>
    <mergeCell ref="R25:V25"/>
    <mergeCell ref="B26:N26"/>
    <mergeCell ref="R26:V26"/>
    <mergeCell ref="B27:N27"/>
    <mergeCell ref="O27:P27"/>
    <mergeCell ref="R27:V27"/>
    <mergeCell ref="R28:V28"/>
    <mergeCell ref="O29:Q29"/>
    <mergeCell ref="R29:V29"/>
    <mergeCell ref="O30:X30"/>
    <mergeCell ref="O31:X31"/>
    <mergeCell ref="A1:A37"/>
    <mergeCell ref="H24:H25"/>
    <mergeCell ref="H28:H29"/>
    <mergeCell ref="H30:H31"/>
    <mergeCell ref="H32:H33"/>
    <mergeCell ref="N24:N25"/>
    <mergeCell ref="N28:N29"/>
    <mergeCell ref="N30:N31"/>
    <mergeCell ref="N32:N33"/>
    <mergeCell ref="O3:O4"/>
    <mergeCell ref="U3:U4"/>
    <mergeCell ref="K18:L19"/>
    <mergeCell ref="R18:S19"/>
    <mergeCell ref="L12:N13"/>
    <mergeCell ref="E12:H13"/>
    <mergeCell ref="O32:X33"/>
    <mergeCell ref="K14:N15"/>
    <mergeCell ref="M8:N9"/>
    <mergeCell ref="W14:X15"/>
    <mergeCell ref="O12:V13"/>
    <mergeCell ref="O14:V15"/>
  </mergeCells>
  <conditionalFormatting sqref="F23:O23 R23:S23 W23">
    <cfRule type="cellIs" dxfId="1" priority="1" operator="equal">
      <formula>0</formula>
    </cfRule>
  </conditionalFormatting>
  <pageMargins left="0.786805555555556" right="0.707638888888889" top="0.747916666666667" bottom="0.747916666666667" header="0.313888888888889" footer="0.313888888888889"/>
  <pageSetup paperSize="9" scale="60" orientation="portrait" useFirstPageNumber="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G444"/>
  <sheetViews>
    <sheetView view="pageBreakPreview" zoomScaleNormal="100" workbookViewId="0">
      <selection activeCell="F29" sqref="F29"/>
    </sheetView>
  </sheetViews>
  <sheetFormatPr defaultColWidth="9" defaultRowHeight="13.5" outlineLevelCol="6"/>
  <cols>
    <col min="1" max="1" width="2.625" style="413" customWidth="1"/>
    <col min="2" max="2" width="15" style="413" customWidth="1"/>
    <col min="3" max="3" width="12.5" style="413" customWidth="1"/>
    <col min="4" max="4" width="12.875" style="413" customWidth="1"/>
    <col min="5" max="5" width="15.125" style="413" customWidth="1"/>
    <col min="6" max="6" width="22.5" style="413" customWidth="1"/>
    <col min="7" max="7" width="14" style="413" customWidth="1"/>
    <col min="8" max="16384" width="9" style="248"/>
  </cols>
  <sheetData>
    <row r="1" s="413" customFormat="1" ht="23.25" customHeight="1" spans="1:7">
      <c r="A1" s="759" t="s">
        <v>51</v>
      </c>
      <c r="B1" s="760" t="s">
        <v>156</v>
      </c>
      <c r="C1" s="760"/>
      <c r="D1" s="760"/>
      <c r="E1" s="760"/>
      <c r="F1" s="760"/>
      <c r="G1" s="761"/>
    </row>
    <row r="2" s="413" customFormat="1" ht="15" customHeight="1" spans="1:7">
      <c r="A2" s="759"/>
      <c r="B2" s="762" t="s">
        <v>157</v>
      </c>
      <c r="C2" s="762"/>
      <c r="D2" s="762"/>
      <c r="E2" s="762"/>
      <c r="F2" s="762"/>
      <c r="G2" s="763" t="s">
        <v>158</v>
      </c>
    </row>
    <row r="3" s="413" customFormat="1" customHeight="1" spans="1:7">
      <c r="A3" s="759"/>
      <c r="B3" s="764" t="s">
        <v>159</v>
      </c>
      <c r="C3" s="765"/>
      <c r="D3" s="765"/>
      <c r="E3" s="766" t="s">
        <v>56</v>
      </c>
      <c r="F3" s="767" t="s">
        <v>160</v>
      </c>
      <c r="G3" s="768" t="s">
        <v>161</v>
      </c>
    </row>
    <row r="4" s="413" customFormat="1" ht="12" customHeight="1" spans="1:7">
      <c r="A4" s="759"/>
      <c r="B4" s="769" t="s">
        <v>162</v>
      </c>
      <c r="C4" s="761"/>
      <c r="D4" s="761"/>
      <c r="E4" s="770" t="s">
        <v>163</v>
      </c>
      <c r="F4" s="771" t="s">
        <v>164</v>
      </c>
      <c r="G4" s="772" t="s">
        <v>165</v>
      </c>
    </row>
    <row r="5" s="413" customFormat="1" ht="3.75" customHeight="1" spans="1:7">
      <c r="A5" s="759"/>
      <c r="B5" s="769"/>
      <c r="C5" s="761"/>
      <c r="D5" s="761"/>
      <c r="E5" s="770"/>
      <c r="F5" s="771"/>
      <c r="G5" s="773"/>
    </row>
    <row r="6" s="443" customFormat="1" customHeight="1" spans="1:7">
      <c r="A6" s="759"/>
      <c r="B6" s="774" t="s">
        <v>166</v>
      </c>
      <c r="C6" s="776" t="str">
        <f>'Gen Inb'!I6</f>
        <v>马士基奋进</v>
      </c>
      <c r="D6" s="776"/>
      <c r="E6" s="777"/>
      <c r="F6" s="778" t="s">
        <v>167</v>
      </c>
      <c r="G6" s="779" t="str">
        <f>'Gen Inb'!S6</f>
        <v>南沙新港</v>
      </c>
    </row>
    <row r="7" s="443" customFormat="1" customHeight="1" spans="1:7">
      <c r="A7" s="759"/>
      <c r="B7" s="780" t="s">
        <v>168</v>
      </c>
      <c r="C7" s="1058" t="str">
        <f>'Gen Inb'!I7</f>
        <v>ERASMUS EFFORT</v>
      </c>
      <c r="D7" s="782"/>
      <c r="E7" s="783"/>
      <c r="F7" s="784" t="s">
        <v>169</v>
      </c>
      <c r="G7" s="785" t="str">
        <f>'Gen Inb'!S7</f>
        <v>NANSHA NEW PORT</v>
      </c>
    </row>
    <row r="8" s="443" customFormat="1" customHeight="1" spans="1:7">
      <c r="A8" s="759"/>
      <c r="B8" s="774" t="s">
        <v>170</v>
      </c>
      <c r="C8" s="786" t="str">
        <f>'Gen Inb'!F8</f>
        <v>巴拿马</v>
      </c>
      <c r="D8" s="787" t="s">
        <v>171</v>
      </c>
      <c r="E8" s="788" t="str">
        <f>'Gen Inb'!M8</f>
        <v>李继祥</v>
      </c>
      <c r="F8" s="778" t="s">
        <v>172</v>
      </c>
      <c r="G8" s="789" t="str">
        <f>'Gen Inb'!S6</f>
        <v>南沙新港</v>
      </c>
    </row>
    <row r="9" s="443" customFormat="1" customHeight="1" spans="1:7">
      <c r="A9" s="759"/>
      <c r="B9" s="790" t="s">
        <v>173</v>
      </c>
      <c r="C9" s="791" t="str">
        <f>'Gen Inb'!F9</f>
        <v>PANAMA</v>
      </c>
      <c r="D9" s="784" t="s">
        <v>174</v>
      </c>
      <c r="E9" s="792"/>
      <c r="F9" s="793" t="s">
        <v>175</v>
      </c>
      <c r="G9" s="794" t="str">
        <f>'Gen Inb'!S7</f>
        <v>NANSHA NEW PORT</v>
      </c>
    </row>
    <row r="10" s="443" customFormat="1" customHeight="1" spans="1:7">
      <c r="A10" s="759"/>
      <c r="B10" s="795" t="s">
        <v>176</v>
      </c>
      <c r="C10" s="777" t="s">
        <v>177</v>
      </c>
      <c r="D10" s="796"/>
      <c r="E10" s="777"/>
      <c r="F10" s="774" t="s">
        <v>178</v>
      </c>
      <c r="G10" s="795" t="s">
        <v>179</v>
      </c>
    </row>
    <row r="11" s="427" customFormat="1" customHeight="1" spans="1:7">
      <c r="A11" s="759"/>
      <c r="B11" s="797" t="s">
        <v>180</v>
      </c>
      <c r="C11" s="798" t="s">
        <v>181</v>
      </c>
      <c r="D11" s="798"/>
      <c r="E11" s="798"/>
      <c r="F11" s="799" t="s">
        <v>182</v>
      </c>
      <c r="G11" s="800" t="s">
        <v>183</v>
      </c>
    </row>
    <row r="12" s="413" customFormat="1" ht="23.45" customHeight="1" spans="1:7">
      <c r="A12" s="759"/>
      <c r="B12" s="801"/>
      <c r="C12" s="802"/>
      <c r="D12" s="802"/>
      <c r="E12" s="802"/>
      <c r="F12" s="801"/>
      <c r="G12" s="801"/>
    </row>
    <row r="13" s="413" customFormat="1" ht="23.45" customHeight="1" spans="1:7">
      <c r="A13" s="759"/>
      <c r="B13" s="801"/>
      <c r="C13" s="802"/>
      <c r="D13" s="802"/>
      <c r="E13" s="802"/>
      <c r="F13" s="801" t="s">
        <v>108</v>
      </c>
      <c r="G13" s="803" t="s">
        <v>108</v>
      </c>
    </row>
    <row r="14" s="413" customFormat="1" ht="23.45" customHeight="1" spans="1:7">
      <c r="A14" s="759"/>
      <c r="B14" s="801"/>
      <c r="C14" s="802"/>
      <c r="D14" s="802"/>
      <c r="E14" s="802"/>
      <c r="F14" s="801"/>
      <c r="G14" s="804" t="s">
        <v>108</v>
      </c>
    </row>
    <row r="15" s="413" customFormat="1" ht="23.45" customHeight="1" spans="1:7">
      <c r="A15" s="759"/>
      <c r="B15" s="801"/>
      <c r="C15" s="802"/>
      <c r="D15" s="805" t="str">
        <f>'Gen Inb'!J21&amp;'Gen Inb'!M21&amp;" "&amp;'Gen Inb'!O21</f>
        <v>总重量：12059 吨</v>
      </c>
      <c r="E15" s="802"/>
      <c r="F15" s="801"/>
      <c r="G15" s="801"/>
    </row>
    <row r="16" s="413" customFormat="1" ht="23.45" customHeight="1" spans="1:7">
      <c r="A16" s="759"/>
      <c r="B16" s="801"/>
      <c r="C16" s="802"/>
      <c r="D16" s="802"/>
      <c r="E16" s="802"/>
      <c r="F16" s="801"/>
      <c r="G16" s="801"/>
    </row>
    <row r="17" s="413" customFormat="1" ht="23.45" customHeight="1" spans="1:7">
      <c r="A17" s="759"/>
      <c r="B17" s="801"/>
      <c r="C17" s="807" t="str">
        <f>'Gen Inb'!E22&amp;'Gen Inb'!F22</f>
        <v>进口柜：20F×67, 40F×68, 20E×0, 40E×0</v>
      </c>
      <c r="D17" s="802"/>
      <c r="E17" s="802"/>
      <c r="F17" s="801"/>
      <c r="G17" s="801"/>
    </row>
    <row r="18" s="413" customFormat="1" ht="23.45" customHeight="1" spans="1:7">
      <c r="A18" s="759"/>
      <c r="B18" s="801"/>
      <c r="C18" s="802"/>
      <c r="D18" s="807" t="str">
        <f>'Gen Inb'!P22&amp;'Gen Inb'!R22&amp;" "&amp;'Gen Inb'!T22&amp;'Gen Inb'!V22&amp;'Gen Inb'!W22&amp;" "&amp;'Gen Inb'!X22</f>
        <v>总共：203 TEU，2919 吨；</v>
      </c>
      <c r="E18" s="802"/>
      <c r="F18" s="801"/>
      <c r="G18" s="801"/>
    </row>
    <row r="19" s="413" customFormat="1" ht="23.45" customHeight="1" spans="1:7">
      <c r="A19" s="759"/>
      <c r="B19" s="801"/>
      <c r="C19" s="807" t="str">
        <f>'Gen Inb'!E23&amp;'Gen Inb'!F23</f>
        <v>过境柜：20F×133, 40F×324</v>
      </c>
      <c r="D19" s="802"/>
      <c r="E19" s="802"/>
      <c r="F19" s="801"/>
      <c r="G19" s="801"/>
    </row>
    <row r="20" s="413" customFormat="1" ht="23.45" customHeight="1" spans="1:7">
      <c r="A20" s="759"/>
      <c r="B20" s="801"/>
      <c r="C20" s="802"/>
      <c r="D20" s="807" t="str">
        <f>'Gen Inb'!P23&amp;'Gen Inb'!R23&amp;" "&amp;'Gen Inb'!T23&amp;'Gen Inb'!V23&amp;'Gen Inb'!W23&amp;" "&amp;'Gen Inb'!X23</f>
        <v>总共：781 TEU，9140 吨；</v>
      </c>
      <c r="E20" s="802"/>
      <c r="F20" s="801"/>
      <c r="G20" s="801"/>
    </row>
    <row r="21" s="413" customFormat="1" ht="23.45" customHeight="1" spans="1:7">
      <c r="A21" s="759"/>
      <c r="B21" s="801"/>
      <c r="C21" s="802"/>
      <c r="D21" s="802"/>
      <c r="E21" s="802"/>
      <c r="F21" s="801"/>
      <c r="G21" s="801"/>
    </row>
    <row r="22" s="413" customFormat="1" ht="23.45" customHeight="1" spans="1:7">
      <c r="A22" s="759"/>
      <c r="B22" s="801"/>
      <c r="C22" s="802"/>
      <c r="D22" s="802"/>
      <c r="E22" s="802"/>
      <c r="F22" s="801"/>
      <c r="G22" s="801"/>
    </row>
    <row r="23" s="413" customFormat="1" ht="23.45" customHeight="1" spans="1:7">
      <c r="A23" s="759"/>
      <c r="B23" s="801"/>
      <c r="C23" s="802"/>
      <c r="D23" s="802"/>
      <c r="E23" s="802"/>
      <c r="F23" s="801"/>
      <c r="G23" s="801"/>
    </row>
    <row r="24" s="413" customFormat="1" ht="23.45" customHeight="1" spans="1:7">
      <c r="A24" s="759"/>
      <c r="B24" s="801"/>
      <c r="C24" s="802"/>
      <c r="D24" s="802"/>
      <c r="E24" s="802"/>
      <c r="F24" s="801"/>
      <c r="G24" s="801"/>
    </row>
    <row r="25" s="413" customFormat="1" ht="23.45" customHeight="1" spans="1:7">
      <c r="A25" s="759"/>
      <c r="B25" s="801"/>
      <c r="C25" s="802"/>
      <c r="D25" s="802"/>
      <c r="E25" s="802"/>
      <c r="F25" s="801"/>
      <c r="G25" s="801"/>
    </row>
    <row r="26" s="413" customFormat="1" ht="23.45" customHeight="1" spans="1:7">
      <c r="A26" s="759"/>
      <c r="B26" s="808"/>
      <c r="C26" s="809" t="str">
        <f>'Gen Inb'!O12&amp;"："&amp;'Gen Inb'!W12</f>
        <v>广州港中联国际船务代理有限公司：冼家昇</v>
      </c>
      <c r="D26" s="810"/>
      <c r="E26" s="802"/>
      <c r="F26" s="801"/>
      <c r="G26" s="801"/>
    </row>
    <row r="27" s="413" customFormat="1" ht="23.45" customHeight="1" spans="1:7">
      <c r="A27" s="759"/>
      <c r="B27" s="811"/>
      <c r="C27" s="802"/>
      <c r="D27" s="812">
        <f>'Gen Inb'!W14</f>
        <v>18664696130</v>
      </c>
      <c r="E27" s="802"/>
      <c r="F27" s="801"/>
      <c r="G27" s="801"/>
    </row>
    <row r="28" s="413" customFormat="1" ht="23.45" customHeight="1" spans="1:7">
      <c r="A28" s="759"/>
      <c r="B28" s="801"/>
      <c r="C28" s="802"/>
      <c r="D28" s="802"/>
      <c r="E28" s="802"/>
      <c r="F28" s="801"/>
      <c r="G28" s="801"/>
    </row>
    <row r="29" s="413" customFormat="1" ht="23.45" customHeight="1" spans="1:7">
      <c r="A29" s="759"/>
      <c r="B29" s="801"/>
      <c r="C29" s="802"/>
      <c r="D29" s="802"/>
      <c r="E29" s="802"/>
      <c r="F29" s="801"/>
      <c r="G29" s="801"/>
    </row>
    <row r="30" s="413" customFormat="1" ht="23.45" customHeight="1" spans="1:7">
      <c r="A30" s="759"/>
      <c r="B30" s="813"/>
      <c r="C30" s="814"/>
      <c r="D30" s="814"/>
      <c r="E30" s="814"/>
      <c r="F30" s="813"/>
      <c r="G30" s="813"/>
    </row>
    <row r="31" s="413" customFormat="1" ht="23.45" customHeight="1" spans="1:7">
      <c r="A31" s="759"/>
      <c r="B31" s="813"/>
      <c r="C31" s="814"/>
      <c r="D31" s="814"/>
      <c r="E31" s="814"/>
      <c r="F31" s="813"/>
      <c r="G31" s="813"/>
    </row>
    <row r="32" s="413" customFormat="1" ht="24" customHeight="1" spans="1:7">
      <c r="A32" s="759"/>
      <c r="B32" s="813"/>
      <c r="C32" s="814"/>
      <c r="D32" s="814"/>
      <c r="E32" s="814"/>
      <c r="F32" s="813"/>
      <c r="G32" s="813"/>
    </row>
    <row r="33" s="413" customFormat="1" ht="24.75" customHeight="1" spans="1:7">
      <c r="A33" s="759"/>
      <c r="B33" s="815"/>
      <c r="C33" s="816"/>
      <c r="D33" s="816"/>
      <c r="E33" s="816"/>
      <c r="F33" s="815"/>
      <c r="G33" s="815"/>
    </row>
    <row r="34" s="413" customFormat="1" ht="12" customHeight="1" spans="1:7">
      <c r="A34" s="759"/>
      <c r="B34" s="817" t="s">
        <v>184</v>
      </c>
      <c r="C34" s="818"/>
      <c r="D34" s="818"/>
      <c r="E34" s="818"/>
      <c r="F34" s="818"/>
      <c r="G34" s="818"/>
    </row>
    <row r="35" s="413" customFormat="1" ht="10.5" customHeight="1" spans="1:7">
      <c r="A35" s="759"/>
      <c r="B35" s="819" t="s">
        <v>185</v>
      </c>
      <c r="C35" s="820"/>
      <c r="D35" s="820"/>
      <c r="E35" s="820"/>
    </row>
    <row r="36" s="413" customFormat="1" ht="10.5" customHeight="1" spans="1:7">
      <c r="A36" s="821"/>
      <c r="B36" s="822"/>
      <c r="C36" s="822"/>
      <c r="D36" s="822"/>
      <c r="E36" s="822"/>
    </row>
    <row r="37" customHeight="1" spans="1:7">
      <c r="A37" s="823"/>
      <c r="B37" s="824"/>
      <c r="C37" s="408"/>
      <c r="D37" s="408"/>
      <c r="E37" s="408"/>
      <c r="F37" s="825" t="s">
        <v>186</v>
      </c>
      <c r="G37" s="825"/>
    </row>
    <row r="38" ht="14.25" customHeight="1" spans="1:7">
      <c r="B38" s="408"/>
      <c r="C38" s="408"/>
      <c r="D38" s="408"/>
      <c r="E38" s="408"/>
      <c r="F38" s="826" t="s">
        <v>187</v>
      </c>
      <c r="G38" s="826"/>
    </row>
    <row r="39" spans="1:7">
      <c r="B39" s="408"/>
      <c r="C39" s="408"/>
      <c r="D39" s="408"/>
      <c r="E39" s="408"/>
      <c r="F39" s="408"/>
      <c r="G39" s="408"/>
    </row>
    <row r="40" spans="1:7">
      <c r="B40" s="408"/>
      <c r="C40" s="408"/>
      <c r="D40" s="408"/>
      <c r="E40" s="408"/>
      <c r="F40" s="408"/>
      <c r="G40" s="408"/>
    </row>
    <row r="41" spans="1:7">
      <c r="B41" s="408"/>
      <c r="C41" s="408"/>
      <c r="D41" s="408"/>
      <c r="E41" s="408"/>
      <c r="F41" s="408"/>
      <c r="G41" s="408"/>
    </row>
    <row r="42" spans="1:7">
      <c r="B42" s="408"/>
      <c r="C42" s="408"/>
      <c r="D42" s="408"/>
      <c r="E42" s="408"/>
      <c r="F42" s="408"/>
      <c r="G42" s="408"/>
    </row>
    <row r="43" spans="1:7">
      <c r="B43" s="408"/>
      <c r="C43" s="408"/>
      <c r="D43" s="408"/>
      <c r="E43" s="408"/>
      <c r="F43" s="408"/>
      <c r="G43" s="408"/>
    </row>
    <row r="44" spans="1:7">
      <c r="B44" s="408"/>
      <c r="C44" s="408"/>
      <c r="D44" s="408"/>
      <c r="E44" s="408"/>
      <c r="F44" s="408"/>
      <c r="G44" s="408"/>
    </row>
    <row r="45" spans="1:7">
      <c r="B45" s="408"/>
      <c r="C45" s="408"/>
      <c r="D45" s="408"/>
      <c r="E45" s="408"/>
      <c r="F45" s="408"/>
      <c r="G45" s="408"/>
    </row>
    <row r="46" spans="1:7">
      <c r="B46" s="408"/>
      <c r="C46" s="408"/>
      <c r="D46" s="408"/>
      <c r="E46" s="408"/>
      <c r="F46" s="408"/>
      <c r="G46" s="408"/>
    </row>
    <row r="47" spans="1:7">
      <c r="B47" s="408"/>
      <c r="C47" s="408"/>
      <c r="D47" s="408"/>
      <c r="E47" s="408"/>
      <c r="F47" s="408"/>
      <c r="G47" s="408"/>
    </row>
    <row r="48" spans="1:7">
      <c r="B48" s="408"/>
      <c r="C48" s="408"/>
      <c r="D48" s="408"/>
      <c r="E48" s="408"/>
      <c r="F48" s="408"/>
      <c r="G48" s="408"/>
    </row>
    <row r="49" spans="2:7">
      <c r="B49" s="408"/>
      <c r="C49" s="408"/>
      <c r="D49" s="408"/>
      <c r="E49" s="408"/>
      <c r="F49" s="408"/>
      <c r="G49" s="408"/>
    </row>
    <row r="50" spans="2:7">
      <c r="B50" s="408"/>
      <c r="C50" s="408"/>
      <c r="D50" s="408"/>
      <c r="E50" s="408"/>
      <c r="F50" s="408"/>
      <c r="G50" s="408"/>
    </row>
    <row r="51" spans="2:7">
      <c r="B51" s="408"/>
      <c r="C51" s="408"/>
      <c r="D51" s="408"/>
      <c r="E51" s="408"/>
      <c r="F51" s="408"/>
      <c r="G51" s="408"/>
    </row>
    <row r="52" spans="2:7">
      <c r="B52" s="408"/>
      <c r="C52" s="408"/>
      <c r="D52" s="408"/>
      <c r="E52" s="408"/>
      <c r="F52" s="408"/>
      <c r="G52" s="408"/>
    </row>
    <row r="53" spans="2:7">
      <c r="B53" s="408"/>
      <c r="C53" s="408"/>
      <c r="D53" s="408"/>
      <c r="E53" s="408"/>
      <c r="F53" s="408"/>
      <c r="G53" s="408"/>
    </row>
    <row r="54" spans="2:7">
      <c r="B54" s="408"/>
      <c r="C54" s="408"/>
      <c r="D54" s="408"/>
      <c r="E54" s="408"/>
      <c r="F54" s="408"/>
      <c r="G54" s="408"/>
    </row>
    <row r="55" spans="2:7">
      <c r="B55" s="408"/>
      <c r="C55" s="408"/>
      <c r="D55" s="408"/>
      <c r="E55" s="408"/>
      <c r="F55" s="408"/>
      <c r="G55" s="408"/>
    </row>
    <row r="56" spans="2:7">
      <c r="B56" s="408"/>
      <c r="C56" s="408"/>
      <c r="D56" s="408"/>
      <c r="E56" s="408"/>
      <c r="F56" s="408"/>
      <c r="G56" s="408"/>
    </row>
    <row r="57" spans="2:7">
      <c r="B57" s="408"/>
      <c r="C57" s="408"/>
      <c r="D57" s="408"/>
      <c r="E57" s="408"/>
      <c r="F57" s="408"/>
      <c r="G57" s="408"/>
    </row>
    <row r="58" spans="2:7">
      <c r="B58" s="408"/>
      <c r="C58" s="408"/>
      <c r="D58" s="408"/>
      <c r="E58" s="408"/>
      <c r="F58" s="408"/>
      <c r="G58" s="408"/>
    </row>
    <row r="59" spans="2:7">
      <c r="B59" s="408"/>
      <c r="C59" s="408"/>
      <c r="D59" s="408"/>
      <c r="E59" s="408"/>
      <c r="F59" s="408"/>
      <c r="G59" s="408"/>
    </row>
    <row r="60" spans="2:7">
      <c r="B60" s="408"/>
      <c r="C60" s="408"/>
      <c r="D60" s="408"/>
      <c r="E60" s="408"/>
      <c r="F60" s="408"/>
      <c r="G60" s="408"/>
    </row>
    <row r="61" spans="2:7">
      <c r="B61" s="408"/>
      <c r="C61" s="408"/>
      <c r="D61" s="408"/>
      <c r="E61" s="408"/>
      <c r="F61" s="408"/>
      <c r="G61" s="408"/>
    </row>
    <row r="62" spans="2:7">
      <c r="B62" s="408"/>
      <c r="C62" s="408"/>
      <c r="D62" s="408"/>
      <c r="E62" s="408"/>
      <c r="F62" s="408"/>
      <c r="G62" s="408"/>
    </row>
    <row r="63" spans="2:7">
      <c r="B63" s="408"/>
      <c r="C63" s="408"/>
      <c r="D63" s="408"/>
      <c r="E63" s="408"/>
      <c r="F63" s="408"/>
      <c r="G63" s="408"/>
    </row>
    <row r="64" spans="2:7">
      <c r="B64" s="408"/>
      <c r="C64" s="408"/>
      <c r="D64" s="408"/>
      <c r="E64" s="408"/>
      <c r="F64" s="408"/>
      <c r="G64" s="408"/>
    </row>
    <row r="65" spans="2:7">
      <c r="B65" s="408"/>
      <c r="C65" s="408"/>
      <c r="D65" s="408"/>
      <c r="E65" s="408"/>
      <c r="F65" s="408"/>
      <c r="G65" s="408"/>
    </row>
    <row r="66" spans="2:7">
      <c r="B66" s="408"/>
      <c r="C66" s="408"/>
      <c r="D66" s="408"/>
      <c r="E66" s="408"/>
      <c r="F66" s="408"/>
      <c r="G66" s="408"/>
    </row>
    <row r="67" spans="2:7">
      <c r="B67" s="408"/>
      <c r="C67" s="408"/>
      <c r="D67" s="408"/>
      <c r="E67" s="408"/>
      <c r="F67" s="408"/>
      <c r="G67" s="408"/>
    </row>
    <row r="68" spans="2:7">
      <c r="B68" s="408"/>
      <c r="C68" s="408"/>
      <c r="D68" s="408"/>
      <c r="E68" s="408"/>
      <c r="F68" s="408"/>
      <c r="G68" s="408"/>
    </row>
    <row r="69" spans="2:7">
      <c r="B69" s="408"/>
      <c r="C69" s="408"/>
      <c r="D69" s="408"/>
      <c r="E69" s="408"/>
      <c r="F69" s="408"/>
      <c r="G69" s="408"/>
    </row>
    <row r="70" spans="2:7">
      <c r="B70" s="408"/>
      <c r="C70" s="408"/>
      <c r="D70" s="408"/>
      <c r="E70" s="408"/>
      <c r="F70" s="408"/>
      <c r="G70" s="408"/>
    </row>
    <row r="71" spans="2:7">
      <c r="B71" s="408"/>
      <c r="C71" s="408"/>
      <c r="D71" s="408"/>
      <c r="E71" s="408"/>
      <c r="F71" s="408"/>
      <c r="G71" s="408"/>
    </row>
    <row r="72" spans="2:7">
      <c r="B72" s="408"/>
      <c r="C72" s="408"/>
      <c r="D72" s="408"/>
      <c r="E72" s="408"/>
      <c r="F72" s="408"/>
      <c r="G72" s="408"/>
    </row>
    <row r="73" spans="2:7">
      <c r="B73" s="408"/>
      <c r="C73" s="408"/>
      <c r="D73" s="408"/>
      <c r="E73" s="408"/>
      <c r="F73" s="408"/>
      <c r="G73" s="408"/>
    </row>
    <row r="74" spans="2:7">
      <c r="B74" s="408"/>
      <c r="C74" s="408"/>
      <c r="D74" s="408"/>
      <c r="E74" s="408"/>
      <c r="F74" s="408"/>
      <c r="G74" s="408"/>
    </row>
    <row r="75" spans="2:7">
      <c r="B75" s="408"/>
      <c r="C75" s="408"/>
      <c r="D75" s="408"/>
      <c r="E75" s="408"/>
      <c r="F75" s="408"/>
      <c r="G75" s="408"/>
    </row>
    <row r="76" spans="2:7">
      <c r="B76" s="408"/>
      <c r="C76" s="408"/>
      <c r="D76" s="408"/>
      <c r="E76" s="408"/>
      <c r="F76" s="408"/>
      <c r="G76" s="408"/>
    </row>
    <row r="77" spans="2:7">
      <c r="B77" s="408"/>
      <c r="C77" s="408"/>
      <c r="D77" s="408"/>
      <c r="E77" s="408"/>
      <c r="F77" s="408"/>
      <c r="G77" s="408"/>
    </row>
    <row r="78" spans="2:7">
      <c r="B78" s="408"/>
      <c r="C78" s="408"/>
      <c r="D78" s="408"/>
      <c r="E78" s="408"/>
      <c r="F78" s="408"/>
      <c r="G78" s="408"/>
    </row>
    <row r="79" spans="2:7">
      <c r="B79" s="408"/>
      <c r="C79" s="408"/>
      <c r="D79" s="408"/>
      <c r="E79" s="408"/>
      <c r="F79" s="408"/>
      <c r="G79" s="408"/>
    </row>
    <row r="80" spans="2:7">
      <c r="B80" s="408"/>
      <c r="C80" s="408"/>
      <c r="D80" s="408"/>
      <c r="E80" s="408"/>
      <c r="F80" s="408"/>
      <c r="G80" s="408"/>
    </row>
    <row r="81" spans="2:7">
      <c r="B81" s="408"/>
      <c r="C81" s="408"/>
      <c r="D81" s="408"/>
      <c r="E81" s="408"/>
      <c r="F81" s="408"/>
      <c r="G81" s="408"/>
    </row>
    <row r="82" spans="2:7">
      <c r="B82" s="408"/>
      <c r="C82" s="408"/>
      <c r="D82" s="408"/>
      <c r="E82" s="408"/>
      <c r="F82" s="408"/>
      <c r="G82" s="408"/>
    </row>
    <row r="83" spans="2:7">
      <c r="B83" s="408"/>
      <c r="C83" s="408"/>
      <c r="D83" s="408"/>
      <c r="E83" s="408"/>
      <c r="F83" s="408"/>
      <c r="G83" s="408"/>
    </row>
    <row r="84" spans="2:7">
      <c r="B84" s="408"/>
      <c r="C84" s="408"/>
      <c r="D84" s="408"/>
      <c r="E84" s="408"/>
      <c r="F84" s="408"/>
      <c r="G84" s="408"/>
    </row>
    <row r="85" spans="2:7">
      <c r="B85" s="408"/>
      <c r="C85" s="408"/>
      <c r="D85" s="408"/>
      <c r="E85" s="408"/>
      <c r="F85" s="408"/>
      <c r="G85" s="408"/>
    </row>
    <row r="86" spans="2:7">
      <c r="B86" s="408"/>
      <c r="C86" s="408"/>
      <c r="D86" s="408"/>
      <c r="E86" s="408"/>
      <c r="F86" s="408"/>
      <c r="G86" s="408"/>
    </row>
    <row r="87" spans="2:7">
      <c r="B87" s="408"/>
      <c r="C87" s="408"/>
      <c r="D87" s="408"/>
      <c r="E87" s="408"/>
      <c r="F87" s="408"/>
      <c r="G87" s="408"/>
    </row>
    <row r="88" spans="2:7">
      <c r="B88" s="408"/>
      <c r="C88" s="408"/>
      <c r="D88" s="408"/>
      <c r="E88" s="408"/>
      <c r="F88" s="408"/>
      <c r="G88" s="408"/>
    </row>
    <row r="89" spans="2:7">
      <c r="B89" s="408"/>
      <c r="C89" s="408"/>
      <c r="D89" s="408"/>
      <c r="E89" s="408"/>
      <c r="F89" s="408"/>
      <c r="G89" s="408"/>
    </row>
    <row r="90" spans="2:7">
      <c r="B90" s="408"/>
      <c r="C90" s="408"/>
      <c r="D90" s="408"/>
      <c r="E90" s="408"/>
      <c r="F90" s="408"/>
      <c r="G90" s="408"/>
    </row>
    <row r="91" spans="2:7">
      <c r="B91" s="408"/>
      <c r="C91" s="408"/>
      <c r="D91" s="408"/>
      <c r="E91" s="408"/>
      <c r="F91" s="408"/>
      <c r="G91" s="408"/>
    </row>
    <row r="92" spans="2:7">
      <c r="B92" s="408"/>
      <c r="C92" s="408"/>
      <c r="D92" s="408"/>
      <c r="E92" s="408"/>
      <c r="F92" s="408"/>
      <c r="G92" s="408"/>
    </row>
    <row r="93" spans="2:7">
      <c r="B93" s="408"/>
      <c r="C93" s="408"/>
      <c r="D93" s="408"/>
      <c r="E93" s="408"/>
      <c r="F93" s="408"/>
      <c r="G93" s="408"/>
    </row>
    <row r="94" spans="2:7">
      <c r="B94" s="408"/>
      <c r="C94" s="408"/>
      <c r="D94" s="408"/>
      <c r="E94" s="408"/>
      <c r="F94" s="408"/>
      <c r="G94" s="408"/>
    </row>
    <row r="95" spans="2:7">
      <c r="B95" s="408"/>
      <c r="C95" s="408"/>
      <c r="D95" s="408"/>
      <c r="E95" s="408"/>
      <c r="F95" s="408"/>
      <c r="G95" s="408"/>
    </row>
    <row r="96" spans="2:7">
      <c r="B96" s="408"/>
      <c r="C96" s="408"/>
      <c r="D96" s="408"/>
      <c r="E96" s="408"/>
      <c r="F96" s="408"/>
      <c r="G96" s="408"/>
    </row>
    <row r="97" spans="2:7">
      <c r="B97" s="408"/>
      <c r="C97" s="408"/>
      <c r="D97" s="408"/>
      <c r="E97" s="408"/>
      <c r="F97" s="408"/>
      <c r="G97" s="408"/>
    </row>
    <row r="98" spans="2:7">
      <c r="B98" s="408"/>
      <c r="C98" s="408"/>
      <c r="D98" s="408"/>
      <c r="E98" s="408"/>
      <c r="F98" s="408"/>
      <c r="G98" s="408"/>
    </row>
    <row r="99" spans="2:7">
      <c r="B99" s="408"/>
      <c r="C99" s="408"/>
      <c r="D99" s="408"/>
      <c r="E99" s="408"/>
      <c r="F99" s="408"/>
      <c r="G99" s="408"/>
    </row>
    <row r="100" spans="2:7">
      <c r="B100" s="408"/>
      <c r="C100" s="408"/>
      <c r="D100" s="408"/>
      <c r="E100" s="408"/>
      <c r="F100" s="408"/>
      <c r="G100" s="408"/>
    </row>
    <row r="101" spans="2:7">
      <c r="B101" s="408"/>
      <c r="C101" s="408"/>
      <c r="D101" s="408"/>
      <c r="E101" s="408"/>
      <c r="F101" s="408"/>
      <c r="G101" s="408"/>
    </row>
    <row r="102" spans="2:7">
      <c r="B102" s="408"/>
      <c r="C102" s="408"/>
      <c r="D102" s="408"/>
      <c r="E102" s="408"/>
      <c r="F102" s="408"/>
      <c r="G102" s="408"/>
    </row>
    <row r="103" spans="2:7">
      <c r="B103" s="408"/>
      <c r="C103" s="408"/>
      <c r="D103" s="408"/>
      <c r="E103" s="408"/>
      <c r="F103" s="408"/>
      <c r="G103" s="408"/>
    </row>
    <row r="104" spans="2:7">
      <c r="B104" s="408"/>
      <c r="C104" s="408"/>
      <c r="D104" s="408"/>
      <c r="E104" s="408"/>
      <c r="F104" s="408"/>
      <c r="G104" s="408"/>
    </row>
    <row r="105" spans="2:7">
      <c r="B105" s="408"/>
      <c r="C105" s="408"/>
      <c r="D105" s="408"/>
      <c r="E105" s="408"/>
      <c r="F105" s="408"/>
      <c r="G105" s="408"/>
    </row>
    <row r="106" spans="2:7">
      <c r="B106" s="408"/>
      <c r="C106" s="408"/>
      <c r="D106" s="408"/>
      <c r="E106" s="408"/>
      <c r="F106" s="408"/>
      <c r="G106" s="408"/>
    </row>
    <row r="107" spans="2:7">
      <c r="B107" s="408"/>
      <c r="C107" s="408"/>
      <c r="D107" s="408"/>
      <c r="E107" s="408"/>
      <c r="F107" s="408"/>
      <c r="G107" s="408"/>
    </row>
    <row r="108" spans="2:7">
      <c r="B108" s="408"/>
      <c r="C108" s="408"/>
      <c r="D108" s="408"/>
      <c r="E108" s="408"/>
      <c r="F108" s="408"/>
      <c r="G108" s="408"/>
    </row>
    <row r="109" spans="2:7">
      <c r="B109" s="408"/>
      <c r="C109" s="408"/>
      <c r="D109" s="408"/>
      <c r="E109" s="408"/>
      <c r="F109" s="408"/>
      <c r="G109" s="408"/>
    </row>
    <row r="110" spans="2:7">
      <c r="B110" s="408"/>
      <c r="C110" s="408"/>
      <c r="D110" s="408"/>
      <c r="E110" s="408"/>
      <c r="F110" s="408"/>
      <c r="G110" s="408"/>
    </row>
    <row r="111" spans="2:7">
      <c r="B111" s="408"/>
      <c r="C111" s="408"/>
      <c r="D111" s="408"/>
      <c r="E111" s="408"/>
      <c r="F111" s="408"/>
      <c r="G111" s="408"/>
    </row>
    <row r="112" spans="2:7">
      <c r="B112" s="408"/>
      <c r="C112" s="408"/>
      <c r="D112" s="408"/>
      <c r="E112" s="408"/>
      <c r="F112" s="408"/>
      <c r="G112" s="408"/>
    </row>
    <row r="113" spans="2:7">
      <c r="B113" s="408"/>
      <c r="C113" s="408"/>
      <c r="D113" s="408"/>
      <c r="E113" s="408"/>
      <c r="F113" s="408"/>
      <c r="G113" s="408"/>
    </row>
    <row r="114" spans="2:7">
      <c r="B114" s="408"/>
      <c r="C114" s="408"/>
      <c r="D114" s="408"/>
      <c r="E114" s="408"/>
      <c r="F114" s="408"/>
      <c r="G114" s="408"/>
    </row>
    <row r="115" spans="2:7">
      <c r="B115" s="408"/>
      <c r="C115" s="408"/>
      <c r="D115" s="408"/>
      <c r="E115" s="408"/>
      <c r="F115" s="408"/>
      <c r="G115" s="408"/>
    </row>
    <row r="116" spans="2:7">
      <c r="B116" s="408"/>
      <c r="C116" s="408"/>
      <c r="D116" s="408"/>
      <c r="E116" s="408"/>
      <c r="F116" s="408"/>
      <c r="G116" s="408"/>
    </row>
    <row r="117" spans="2:7">
      <c r="B117" s="408"/>
      <c r="C117" s="408"/>
      <c r="D117" s="408"/>
      <c r="E117" s="408"/>
      <c r="F117" s="408"/>
      <c r="G117" s="408"/>
    </row>
    <row r="118" spans="2:7">
      <c r="B118" s="408"/>
      <c r="C118" s="408"/>
      <c r="D118" s="408"/>
      <c r="E118" s="408"/>
      <c r="F118" s="408"/>
      <c r="G118" s="408"/>
    </row>
    <row r="119" spans="2:7">
      <c r="B119" s="408"/>
      <c r="C119" s="408"/>
      <c r="D119" s="408"/>
      <c r="E119" s="408"/>
      <c r="F119" s="408"/>
      <c r="G119" s="408"/>
    </row>
    <row r="120" spans="2:7">
      <c r="B120" s="408"/>
      <c r="C120" s="408"/>
      <c r="D120" s="408"/>
      <c r="E120" s="408"/>
      <c r="F120" s="408"/>
      <c r="G120" s="408"/>
    </row>
    <row r="121" spans="2:7">
      <c r="B121" s="408"/>
      <c r="C121" s="408"/>
      <c r="D121" s="408"/>
      <c r="E121" s="408"/>
      <c r="F121" s="408"/>
      <c r="G121" s="408"/>
    </row>
    <row r="122" spans="2:7">
      <c r="B122" s="408"/>
      <c r="C122" s="408"/>
      <c r="D122" s="408"/>
      <c r="E122" s="408"/>
      <c r="F122" s="408"/>
      <c r="G122" s="408"/>
    </row>
    <row r="123" spans="2:7">
      <c r="B123" s="408"/>
      <c r="C123" s="408"/>
      <c r="D123" s="408"/>
      <c r="E123" s="408"/>
      <c r="F123" s="408"/>
      <c r="G123" s="408"/>
    </row>
    <row r="124" spans="2:7">
      <c r="B124" s="408"/>
      <c r="C124" s="408"/>
      <c r="D124" s="408"/>
      <c r="E124" s="408"/>
      <c r="F124" s="408"/>
      <c r="G124" s="408"/>
    </row>
    <row r="125" spans="2:7">
      <c r="B125" s="408"/>
      <c r="C125" s="408"/>
      <c r="D125" s="408"/>
      <c r="E125" s="408"/>
      <c r="F125" s="408"/>
      <c r="G125" s="408"/>
    </row>
    <row r="126" spans="2:7">
      <c r="B126" s="408"/>
      <c r="C126" s="408"/>
      <c r="D126" s="408"/>
      <c r="E126" s="408"/>
      <c r="F126" s="408"/>
      <c r="G126" s="408"/>
    </row>
    <row r="127" spans="2:7">
      <c r="B127" s="408"/>
      <c r="C127" s="408"/>
      <c r="D127" s="408"/>
      <c r="E127" s="408"/>
      <c r="F127" s="408"/>
      <c r="G127" s="408"/>
    </row>
    <row r="128" spans="2:7">
      <c r="B128" s="408"/>
      <c r="C128" s="408"/>
      <c r="D128" s="408"/>
      <c r="E128" s="408"/>
      <c r="F128" s="408"/>
      <c r="G128" s="408"/>
    </row>
    <row r="129" spans="2:7">
      <c r="B129" s="408"/>
      <c r="C129" s="408"/>
      <c r="D129" s="408"/>
      <c r="E129" s="408"/>
      <c r="F129" s="408"/>
      <c r="G129" s="408"/>
    </row>
    <row r="130" spans="2:7">
      <c r="B130" s="408"/>
      <c r="C130" s="408"/>
      <c r="D130" s="408"/>
      <c r="E130" s="408"/>
      <c r="F130" s="408"/>
      <c r="G130" s="408"/>
    </row>
    <row r="131" spans="2:7">
      <c r="B131" s="408"/>
      <c r="C131" s="408"/>
      <c r="D131" s="408"/>
      <c r="E131" s="408"/>
      <c r="F131" s="408"/>
      <c r="G131" s="408"/>
    </row>
    <row r="132" spans="2:7">
      <c r="B132" s="408"/>
      <c r="C132" s="408"/>
      <c r="D132" s="408"/>
      <c r="E132" s="408"/>
      <c r="F132" s="408"/>
      <c r="G132" s="408"/>
    </row>
    <row r="133" spans="2:7">
      <c r="B133" s="408"/>
      <c r="C133" s="408"/>
      <c r="D133" s="408"/>
      <c r="E133" s="408"/>
      <c r="F133" s="408"/>
      <c r="G133" s="408"/>
    </row>
    <row r="134" spans="2:7">
      <c r="B134" s="408"/>
      <c r="C134" s="408"/>
      <c r="D134" s="408"/>
      <c r="E134" s="408"/>
      <c r="F134" s="408"/>
      <c r="G134" s="408"/>
    </row>
    <row r="135" spans="2:7">
      <c r="B135" s="408"/>
      <c r="C135" s="408"/>
      <c r="D135" s="408"/>
      <c r="E135" s="408"/>
      <c r="F135" s="408"/>
      <c r="G135" s="408"/>
    </row>
    <row r="136" spans="2:7">
      <c r="B136" s="408"/>
      <c r="C136" s="408"/>
      <c r="D136" s="408"/>
      <c r="E136" s="408"/>
      <c r="F136" s="408"/>
      <c r="G136" s="408"/>
    </row>
    <row r="137" spans="2:7">
      <c r="B137" s="408"/>
      <c r="C137" s="408"/>
      <c r="D137" s="408"/>
      <c r="E137" s="408"/>
      <c r="F137" s="408"/>
      <c r="G137" s="408"/>
    </row>
    <row r="138" spans="2:7">
      <c r="B138" s="408"/>
      <c r="C138" s="408"/>
      <c r="D138" s="408"/>
      <c r="E138" s="408"/>
      <c r="F138" s="408"/>
      <c r="G138" s="408"/>
    </row>
    <row r="139" spans="2:7">
      <c r="B139" s="408"/>
      <c r="C139" s="408"/>
      <c r="D139" s="408"/>
      <c r="E139" s="408"/>
      <c r="F139" s="408"/>
      <c r="G139" s="408"/>
    </row>
    <row r="140" spans="2:7">
      <c r="B140" s="408"/>
      <c r="C140" s="408"/>
      <c r="D140" s="408"/>
      <c r="E140" s="408"/>
      <c r="F140" s="408"/>
      <c r="G140" s="408"/>
    </row>
    <row r="141" spans="2:7">
      <c r="B141" s="408"/>
      <c r="C141" s="408"/>
      <c r="D141" s="408"/>
      <c r="E141" s="408"/>
      <c r="F141" s="408"/>
      <c r="G141" s="408"/>
    </row>
    <row r="142" spans="2:7">
      <c r="B142" s="408"/>
      <c r="C142" s="408"/>
      <c r="D142" s="408"/>
      <c r="E142" s="408"/>
      <c r="F142" s="408"/>
      <c r="G142" s="408"/>
    </row>
    <row r="143" spans="2:7">
      <c r="B143" s="408"/>
      <c r="C143" s="408"/>
      <c r="D143" s="408"/>
      <c r="E143" s="408"/>
      <c r="F143" s="408"/>
      <c r="G143" s="408"/>
    </row>
    <row r="144" spans="2:7">
      <c r="B144" s="408"/>
      <c r="C144" s="408"/>
      <c r="D144" s="408"/>
      <c r="E144" s="408"/>
      <c r="F144" s="408"/>
      <c r="G144" s="408"/>
    </row>
    <row r="145" spans="2:7">
      <c r="B145" s="408"/>
      <c r="C145" s="408"/>
      <c r="D145" s="408"/>
      <c r="E145" s="408"/>
      <c r="F145" s="408"/>
      <c r="G145" s="408"/>
    </row>
    <row r="146" spans="2:7">
      <c r="B146" s="408"/>
      <c r="C146" s="408"/>
      <c r="D146" s="408"/>
      <c r="E146" s="408"/>
      <c r="F146" s="408"/>
      <c r="G146" s="408"/>
    </row>
    <row r="147" spans="2:7">
      <c r="B147" s="408"/>
      <c r="C147" s="408"/>
      <c r="D147" s="408"/>
      <c r="E147" s="408"/>
      <c r="F147" s="408"/>
      <c r="G147" s="408"/>
    </row>
    <row r="148" spans="2:7">
      <c r="B148" s="408"/>
      <c r="C148" s="408"/>
      <c r="D148" s="408"/>
      <c r="E148" s="408"/>
      <c r="F148" s="408"/>
      <c r="G148" s="408"/>
    </row>
    <row r="149" spans="2:7">
      <c r="B149" s="408"/>
      <c r="C149" s="408"/>
      <c r="D149" s="408"/>
      <c r="E149" s="408"/>
      <c r="F149" s="408"/>
      <c r="G149" s="408"/>
    </row>
    <row r="150" spans="2:7">
      <c r="B150" s="408"/>
      <c r="C150" s="408"/>
      <c r="D150" s="408"/>
      <c r="E150" s="408"/>
      <c r="F150" s="408"/>
      <c r="G150" s="408"/>
    </row>
    <row r="151" spans="2:7">
      <c r="B151" s="408"/>
      <c r="C151" s="408"/>
      <c r="D151" s="408"/>
      <c r="E151" s="408"/>
      <c r="F151" s="408"/>
      <c r="G151" s="408"/>
    </row>
    <row r="152" spans="2:7">
      <c r="B152" s="408"/>
      <c r="C152" s="408"/>
      <c r="D152" s="408"/>
      <c r="E152" s="408"/>
      <c r="F152" s="408"/>
      <c r="G152" s="408"/>
    </row>
    <row r="153" spans="2:7">
      <c r="B153" s="408"/>
      <c r="C153" s="408"/>
      <c r="D153" s="408"/>
      <c r="E153" s="408"/>
      <c r="F153" s="408"/>
      <c r="G153" s="408"/>
    </row>
    <row r="154" spans="2:7">
      <c r="B154" s="408"/>
      <c r="C154" s="408"/>
      <c r="D154" s="408"/>
      <c r="E154" s="408"/>
      <c r="F154" s="408"/>
      <c r="G154" s="408"/>
    </row>
    <row r="155" spans="2:7">
      <c r="B155" s="408"/>
      <c r="C155" s="408"/>
      <c r="D155" s="408"/>
      <c r="E155" s="408"/>
      <c r="F155" s="408"/>
      <c r="G155" s="408"/>
    </row>
    <row r="156" spans="2:7">
      <c r="B156" s="408"/>
      <c r="C156" s="408"/>
      <c r="D156" s="408"/>
      <c r="E156" s="408"/>
      <c r="F156" s="408"/>
      <c r="G156" s="408"/>
    </row>
    <row r="157" spans="2:7">
      <c r="B157" s="408"/>
      <c r="C157" s="408"/>
      <c r="D157" s="408"/>
      <c r="E157" s="408"/>
      <c r="F157" s="408"/>
      <c r="G157" s="408"/>
    </row>
    <row r="158" spans="2:7">
      <c r="B158" s="408"/>
      <c r="C158" s="408"/>
      <c r="D158" s="408"/>
      <c r="E158" s="408"/>
      <c r="F158" s="408"/>
      <c r="G158" s="408"/>
    </row>
    <row r="159" spans="2:7">
      <c r="B159" s="408"/>
      <c r="C159" s="408"/>
      <c r="D159" s="408"/>
      <c r="E159" s="408"/>
      <c r="F159" s="408"/>
      <c r="G159" s="408"/>
    </row>
    <row r="160" spans="2:7">
      <c r="B160" s="408"/>
      <c r="C160" s="408"/>
      <c r="D160" s="408"/>
      <c r="E160" s="408"/>
      <c r="F160" s="408"/>
      <c r="G160" s="408"/>
    </row>
    <row r="161" spans="2:7">
      <c r="B161" s="408"/>
      <c r="C161" s="408"/>
      <c r="D161" s="408"/>
      <c r="E161" s="408"/>
      <c r="F161" s="408"/>
      <c r="G161" s="408"/>
    </row>
    <row r="162" spans="2:7">
      <c r="B162" s="408"/>
      <c r="C162" s="408"/>
      <c r="D162" s="408"/>
      <c r="E162" s="408"/>
      <c r="F162" s="408"/>
      <c r="G162" s="408"/>
    </row>
    <row r="163" spans="2:7">
      <c r="B163" s="408"/>
      <c r="C163" s="408"/>
      <c r="D163" s="408"/>
      <c r="E163" s="408"/>
      <c r="F163" s="408"/>
      <c r="G163" s="408"/>
    </row>
    <row r="164" spans="2:7">
      <c r="B164" s="408"/>
      <c r="C164" s="408"/>
      <c r="D164" s="408"/>
      <c r="E164" s="408"/>
      <c r="F164" s="408"/>
      <c r="G164" s="408"/>
    </row>
    <row r="165" spans="2:7">
      <c r="B165" s="408"/>
      <c r="C165" s="408"/>
      <c r="D165" s="408"/>
      <c r="E165" s="408"/>
      <c r="F165" s="408"/>
      <c r="G165" s="408"/>
    </row>
    <row r="166" spans="2:7">
      <c r="B166" s="408"/>
      <c r="C166" s="408"/>
      <c r="D166" s="408"/>
      <c r="E166" s="408"/>
      <c r="F166" s="408"/>
      <c r="G166" s="408"/>
    </row>
    <row r="167" spans="2:7">
      <c r="B167" s="408"/>
      <c r="C167" s="408"/>
      <c r="D167" s="408"/>
      <c r="E167" s="408"/>
      <c r="F167" s="408"/>
      <c r="G167" s="408"/>
    </row>
    <row r="168" spans="2:7">
      <c r="B168" s="408"/>
      <c r="C168" s="408"/>
      <c r="D168" s="408"/>
      <c r="E168" s="408"/>
      <c r="F168" s="408"/>
      <c r="G168" s="408"/>
    </row>
    <row r="169" spans="2:7">
      <c r="B169" s="408"/>
      <c r="C169" s="408"/>
      <c r="D169" s="408"/>
      <c r="E169" s="408"/>
      <c r="F169" s="408"/>
      <c r="G169" s="408"/>
    </row>
    <row r="170" spans="2:7">
      <c r="B170" s="408"/>
      <c r="C170" s="408"/>
      <c r="D170" s="408"/>
      <c r="E170" s="408"/>
      <c r="F170" s="408"/>
      <c r="G170" s="408"/>
    </row>
    <row r="171" spans="2:7">
      <c r="B171" s="408"/>
      <c r="C171" s="408"/>
      <c r="D171" s="408"/>
      <c r="E171" s="408"/>
      <c r="F171" s="408"/>
      <c r="G171" s="408"/>
    </row>
    <row r="172" spans="2:7">
      <c r="B172" s="408"/>
      <c r="C172" s="408"/>
      <c r="D172" s="408"/>
      <c r="E172" s="408"/>
      <c r="F172" s="408"/>
      <c r="G172" s="408"/>
    </row>
    <row r="173" spans="2:7">
      <c r="B173" s="408"/>
      <c r="C173" s="408"/>
      <c r="D173" s="408"/>
      <c r="E173" s="408"/>
      <c r="F173" s="408"/>
      <c r="G173" s="408"/>
    </row>
    <row r="174" spans="2:7">
      <c r="B174" s="408"/>
      <c r="C174" s="408"/>
      <c r="D174" s="408"/>
      <c r="E174" s="408"/>
      <c r="F174" s="408"/>
      <c r="G174" s="408"/>
    </row>
    <row r="175" spans="2:7">
      <c r="B175" s="408"/>
      <c r="C175" s="408"/>
      <c r="D175" s="408"/>
      <c r="E175" s="408"/>
      <c r="F175" s="408"/>
      <c r="G175" s="408"/>
    </row>
    <row r="176" spans="2:7">
      <c r="B176" s="408"/>
      <c r="C176" s="408"/>
      <c r="D176" s="408"/>
      <c r="E176" s="408"/>
      <c r="F176" s="408"/>
      <c r="G176" s="408"/>
    </row>
    <row r="177" spans="2:7">
      <c r="B177" s="408"/>
      <c r="C177" s="408"/>
      <c r="D177" s="408"/>
      <c r="E177" s="408"/>
      <c r="F177" s="408"/>
      <c r="G177" s="408"/>
    </row>
    <row r="178" spans="2:7">
      <c r="B178" s="408"/>
      <c r="C178" s="408"/>
      <c r="D178" s="408"/>
      <c r="E178" s="408"/>
      <c r="F178" s="408"/>
      <c r="G178" s="408"/>
    </row>
    <row r="179" spans="2:7">
      <c r="B179" s="408"/>
      <c r="C179" s="408"/>
      <c r="D179" s="408"/>
      <c r="E179" s="408"/>
      <c r="F179" s="408"/>
      <c r="G179" s="408"/>
    </row>
    <row r="180" spans="2:7">
      <c r="B180" s="408"/>
      <c r="C180" s="408"/>
      <c r="D180" s="408"/>
      <c r="E180" s="408"/>
      <c r="F180" s="408"/>
      <c r="G180" s="408"/>
    </row>
    <row r="181" spans="2:7">
      <c r="B181" s="408"/>
      <c r="C181" s="408"/>
      <c r="D181" s="408"/>
      <c r="E181" s="408"/>
      <c r="F181" s="408"/>
      <c r="G181" s="408"/>
    </row>
    <row r="182" spans="2:7">
      <c r="B182" s="408"/>
      <c r="C182" s="408"/>
      <c r="D182" s="408"/>
      <c r="E182" s="408"/>
      <c r="F182" s="408"/>
      <c r="G182" s="408"/>
    </row>
    <row r="183" spans="2:7">
      <c r="B183" s="408"/>
      <c r="C183" s="408"/>
      <c r="D183" s="408"/>
      <c r="E183" s="408"/>
      <c r="F183" s="408"/>
      <c r="G183" s="408"/>
    </row>
    <row r="184" spans="2:7">
      <c r="B184" s="408"/>
      <c r="C184" s="408"/>
      <c r="D184" s="408"/>
      <c r="E184" s="408"/>
      <c r="F184" s="408"/>
      <c r="G184" s="408"/>
    </row>
    <row r="185" spans="2:7">
      <c r="B185" s="408"/>
      <c r="C185" s="408"/>
      <c r="D185" s="408"/>
      <c r="E185" s="408"/>
      <c r="F185" s="408"/>
      <c r="G185" s="408"/>
    </row>
    <row r="186" spans="2:7">
      <c r="B186" s="408"/>
      <c r="C186" s="408"/>
      <c r="D186" s="408"/>
      <c r="E186" s="408"/>
      <c r="F186" s="408"/>
      <c r="G186" s="408"/>
    </row>
    <row r="187" spans="2:7">
      <c r="B187" s="408"/>
      <c r="C187" s="408"/>
      <c r="D187" s="408"/>
      <c r="E187" s="408"/>
      <c r="F187" s="408"/>
      <c r="G187" s="408"/>
    </row>
    <row r="188" spans="2:7">
      <c r="B188" s="408"/>
      <c r="C188" s="408"/>
      <c r="D188" s="408"/>
      <c r="E188" s="408"/>
      <c r="F188" s="408"/>
      <c r="G188" s="408"/>
    </row>
    <row r="189" spans="2:7">
      <c r="B189" s="408"/>
      <c r="C189" s="408"/>
      <c r="D189" s="408"/>
      <c r="E189" s="408"/>
      <c r="F189" s="408"/>
      <c r="G189" s="408"/>
    </row>
    <row r="190" spans="2:7">
      <c r="B190" s="408"/>
      <c r="C190" s="408"/>
      <c r="D190" s="408"/>
      <c r="E190" s="408"/>
      <c r="F190" s="408"/>
      <c r="G190" s="408"/>
    </row>
    <row r="191" spans="2:7">
      <c r="B191" s="408"/>
      <c r="C191" s="408"/>
      <c r="D191" s="408"/>
      <c r="E191" s="408"/>
      <c r="F191" s="408"/>
      <c r="G191" s="408"/>
    </row>
    <row r="192" spans="2:7">
      <c r="B192" s="408"/>
      <c r="C192" s="408"/>
      <c r="D192" s="408"/>
      <c r="E192" s="408"/>
      <c r="F192" s="408"/>
      <c r="G192" s="408"/>
    </row>
    <row r="193" spans="2:7">
      <c r="B193" s="408"/>
      <c r="C193" s="408"/>
      <c r="D193" s="408"/>
      <c r="E193" s="408"/>
      <c r="F193" s="408"/>
      <c r="G193" s="408"/>
    </row>
    <row r="194" spans="2:7">
      <c r="B194" s="408"/>
      <c r="C194" s="408"/>
      <c r="D194" s="408"/>
      <c r="E194" s="408"/>
      <c r="F194" s="408"/>
      <c r="G194" s="408"/>
    </row>
    <row r="195" spans="2:7">
      <c r="B195" s="408"/>
      <c r="C195" s="408"/>
      <c r="D195" s="408"/>
      <c r="E195" s="408"/>
      <c r="F195" s="408"/>
      <c r="G195" s="408"/>
    </row>
    <row r="196" spans="2:7">
      <c r="B196" s="408"/>
      <c r="C196" s="408"/>
      <c r="D196" s="408"/>
      <c r="E196" s="408"/>
      <c r="F196" s="408"/>
      <c r="G196" s="408"/>
    </row>
    <row r="197" spans="2:7">
      <c r="B197" s="408"/>
      <c r="C197" s="408"/>
      <c r="D197" s="408"/>
      <c r="E197" s="408"/>
      <c r="F197" s="408"/>
      <c r="G197" s="408"/>
    </row>
    <row r="198" spans="2:7">
      <c r="B198" s="408"/>
      <c r="C198" s="408"/>
      <c r="D198" s="408"/>
      <c r="E198" s="408"/>
      <c r="F198" s="408"/>
      <c r="G198" s="408"/>
    </row>
    <row r="199" spans="2:7">
      <c r="B199" s="408"/>
      <c r="C199" s="408"/>
      <c r="D199" s="408"/>
      <c r="E199" s="408"/>
      <c r="F199" s="408"/>
      <c r="G199" s="408"/>
    </row>
    <row r="200" spans="2:7">
      <c r="B200" s="408"/>
      <c r="C200" s="408"/>
      <c r="D200" s="408"/>
      <c r="E200" s="408"/>
      <c r="F200" s="408"/>
      <c r="G200" s="408"/>
    </row>
    <row r="201" spans="2:7">
      <c r="B201" s="408"/>
      <c r="C201" s="408"/>
      <c r="D201" s="408"/>
      <c r="E201" s="408"/>
      <c r="F201" s="408"/>
      <c r="G201" s="408"/>
    </row>
    <row r="202" spans="2:7">
      <c r="B202" s="408"/>
      <c r="C202" s="408"/>
      <c r="D202" s="408"/>
      <c r="E202" s="408"/>
      <c r="F202" s="408"/>
      <c r="G202" s="408"/>
    </row>
    <row r="203" spans="2:7">
      <c r="B203" s="408"/>
      <c r="C203" s="408"/>
      <c r="D203" s="408"/>
      <c r="E203" s="408"/>
      <c r="F203" s="408"/>
      <c r="G203" s="408"/>
    </row>
    <row r="204" spans="2:7">
      <c r="B204" s="408"/>
      <c r="C204" s="408"/>
      <c r="D204" s="408"/>
      <c r="E204" s="408"/>
      <c r="F204" s="408"/>
      <c r="G204" s="408"/>
    </row>
    <row r="205" spans="2:7">
      <c r="B205" s="408"/>
      <c r="C205" s="408"/>
      <c r="D205" s="408"/>
      <c r="E205" s="408"/>
      <c r="F205" s="408"/>
      <c r="G205" s="408"/>
    </row>
    <row r="206" spans="2:7">
      <c r="B206" s="408"/>
      <c r="C206" s="408"/>
      <c r="D206" s="408"/>
      <c r="E206" s="408"/>
      <c r="F206" s="408"/>
      <c r="G206" s="408"/>
    </row>
    <row r="207" spans="2:7">
      <c r="B207" s="408"/>
      <c r="C207" s="408"/>
      <c r="D207" s="408"/>
      <c r="E207" s="408"/>
      <c r="F207" s="408"/>
      <c r="G207" s="408"/>
    </row>
    <row r="208" spans="2:7">
      <c r="B208" s="408"/>
      <c r="C208" s="408"/>
      <c r="D208" s="408"/>
      <c r="E208" s="408"/>
      <c r="F208" s="408"/>
      <c r="G208" s="408"/>
    </row>
    <row r="209" spans="2:7">
      <c r="B209" s="408"/>
      <c r="C209" s="408"/>
      <c r="D209" s="408"/>
      <c r="E209" s="408"/>
      <c r="F209" s="408"/>
      <c r="G209" s="408"/>
    </row>
    <row r="210" spans="2:7">
      <c r="B210" s="408"/>
      <c r="C210" s="408"/>
      <c r="D210" s="408"/>
      <c r="E210" s="408"/>
      <c r="F210" s="408"/>
      <c r="G210" s="408"/>
    </row>
    <row r="211" spans="2:7">
      <c r="B211" s="408"/>
      <c r="C211" s="408"/>
      <c r="D211" s="408"/>
      <c r="E211" s="408"/>
      <c r="F211" s="408"/>
      <c r="G211" s="408"/>
    </row>
    <row r="212" spans="2:7">
      <c r="B212" s="408"/>
      <c r="C212" s="408"/>
      <c r="D212" s="408"/>
      <c r="E212" s="408"/>
      <c r="F212" s="408"/>
      <c r="G212" s="408"/>
    </row>
    <row r="213" spans="2:7">
      <c r="B213" s="408"/>
      <c r="C213" s="408"/>
      <c r="D213" s="408"/>
      <c r="E213" s="408"/>
      <c r="F213" s="408"/>
      <c r="G213" s="408"/>
    </row>
    <row r="214" spans="2:7">
      <c r="B214" s="408"/>
      <c r="C214" s="408"/>
      <c r="D214" s="408"/>
      <c r="E214" s="408"/>
      <c r="F214" s="408"/>
      <c r="G214" s="408"/>
    </row>
    <row r="215" spans="2:7">
      <c r="B215" s="408"/>
      <c r="C215" s="408"/>
      <c r="D215" s="408"/>
      <c r="E215" s="408"/>
      <c r="F215" s="408"/>
      <c r="G215" s="408"/>
    </row>
    <row r="216" spans="2:7">
      <c r="B216" s="408"/>
      <c r="C216" s="408"/>
      <c r="D216" s="408"/>
      <c r="E216" s="408"/>
      <c r="F216" s="408"/>
      <c r="G216" s="408"/>
    </row>
    <row r="217" spans="2:7">
      <c r="B217" s="408"/>
      <c r="C217" s="408"/>
      <c r="D217" s="408"/>
      <c r="E217" s="408"/>
      <c r="F217" s="408"/>
      <c r="G217" s="408"/>
    </row>
    <row r="218" spans="2:7">
      <c r="B218" s="408"/>
      <c r="C218" s="408"/>
      <c r="D218" s="408"/>
      <c r="E218" s="408"/>
      <c r="F218" s="408"/>
      <c r="G218" s="408"/>
    </row>
    <row r="219" spans="2:7">
      <c r="B219" s="408"/>
      <c r="C219" s="408"/>
      <c r="D219" s="408"/>
      <c r="E219" s="408"/>
      <c r="F219" s="408"/>
      <c r="G219" s="408"/>
    </row>
    <row r="220" spans="2:7">
      <c r="B220" s="408"/>
      <c r="C220" s="408"/>
      <c r="D220" s="408"/>
      <c r="E220" s="408"/>
      <c r="F220" s="408"/>
      <c r="G220" s="408"/>
    </row>
    <row r="221" spans="2:7">
      <c r="B221" s="408"/>
      <c r="C221" s="408"/>
      <c r="D221" s="408"/>
      <c r="E221" s="408"/>
      <c r="F221" s="408"/>
      <c r="G221" s="408"/>
    </row>
    <row r="222" spans="2:7">
      <c r="B222" s="408"/>
      <c r="C222" s="408"/>
      <c r="D222" s="408"/>
      <c r="E222" s="408"/>
      <c r="F222" s="408"/>
      <c r="G222" s="408"/>
    </row>
    <row r="223" spans="2:7">
      <c r="B223" s="408"/>
      <c r="C223" s="408"/>
      <c r="D223" s="408"/>
      <c r="E223" s="408"/>
      <c r="F223" s="408"/>
      <c r="G223" s="408"/>
    </row>
    <row r="224" spans="2:7">
      <c r="B224" s="408"/>
      <c r="C224" s="408"/>
      <c r="D224" s="408"/>
      <c r="E224" s="408"/>
      <c r="F224" s="408"/>
      <c r="G224" s="408"/>
    </row>
    <row r="225" spans="2:7">
      <c r="B225" s="408"/>
      <c r="C225" s="408"/>
      <c r="D225" s="408"/>
      <c r="E225" s="408"/>
      <c r="F225" s="408"/>
      <c r="G225" s="408"/>
    </row>
    <row r="226" spans="2:7">
      <c r="B226" s="408"/>
      <c r="C226" s="408"/>
      <c r="D226" s="408"/>
      <c r="E226" s="408"/>
      <c r="F226" s="408"/>
      <c r="G226" s="408"/>
    </row>
    <row r="227" spans="2:7">
      <c r="B227" s="408"/>
      <c r="C227" s="408"/>
      <c r="D227" s="408"/>
      <c r="E227" s="408"/>
      <c r="F227" s="408"/>
      <c r="G227" s="408"/>
    </row>
    <row r="228" spans="2:7">
      <c r="B228" s="408"/>
      <c r="C228" s="408"/>
      <c r="D228" s="408"/>
      <c r="E228" s="408"/>
      <c r="F228" s="408"/>
      <c r="G228" s="408"/>
    </row>
    <row r="229" spans="2:7">
      <c r="B229" s="408"/>
      <c r="C229" s="408"/>
      <c r="D229" s="408"/>
      <c r="E229" s="408"/>
      <c r="F229" s="408"/>
      <c r="G229" s="408"/>
    </row>
    <row r="230" spans="2:7">
      <c r="B230" s="408"/>
      <c r="C230" s="408"/>
      <c r="D230" s="408"/>
      <c r="E230" s="408"/>
      <c r="F230" s="408"/>
      <c r="G230" s="408"/>
    </row>
    <row r="231" spans="2:7">
      <c r="B231" s="408"/>
      <c r="C231" s="408"/>
      <c r="D231" s="408"/>
      <c r="E231" s="408"/>
      <c r="F231" s="408"/>
      <c r="G231" s="408"/>
    </row>
    <row r="232" spans="2:7">
      <c r="B232" s="408"/>
      <c r="C232" s="408"/>
      <c r="D232" s="408"/>
      <c r="E232" s="408"/>
      <c r="F232" s="408"/>
      <c r="G232" s="408"/>
    </row>
    <row r="233" spans="2:7">
      <c r="B233" s="408"/>
      <c r="C233" s="408"/>
      <c r="D233" s="408"/>
      <c r="E233" s="408"/>
      <c r="F233" s="408"/>
      <c r="G233" s="408"/>
    </row>
    <row r="234" spans="2:7">
      <c r="B234" s="408"/>
      <c r="C234" s="408"/>
      <c r="D234" s="408"/>
      <c r="E234" s="408"/>
      <c r="F234" s="408"/>
      <c r="G234" s="408"/>
    </row>
    <row r="235" spans="2:7">
      <c r="B235" s="408"/>
      <c r="C235" s="408"/>
      <c r="D235" s="408"/>
      <c r="E235" s="408"/>
      <c r="F235" s="408"/>
      <c r="G235" s="408"/>
    </row>
    <row r="236" spans="2:7">
      <c r="B236" s="408"/>
      <c r="C236" s="408"/>
      <c r="D236" s="408"/>
      <c r="E236" s="408"/>
      <c r="F236" s="408"/>
      <c r="G236" s="408"/>
    </row>
    <row r="237" spans="2:7">
      <c r="B237" s="408"/>
      <c r="C237" s="408"/>
      <c r="D237" s="408"/>
      <c r="E237" s="408"/>
      <c r="F237" s="408"/>
      <c r="G237" s="408"/>
    </row>
    <row r="238" spans="2:7">
      <c r="B238" s="408"/>
      <c r="C238" s="408"/>
      <c r="D238" s="408"/>
      <c r="E238" s="408"/>
      <c r="F238" s="408"/>
      <c r="G238" s="408"/>
    </row>
    <row r="239" spans="2:7">
      <c r="B239" s="408"/>
      <c r="C239" s="408"/>
      <c r="D239" s="408"/>
      <c r="E239" s="408"/>
      <c r="F239" s="408"/>
      <c r="G239" s="408"/>
    </row>
    <row r="240" spans="2:7">
      <c r="B240" s="408"/>
      <c r="C240" s="408"/>
      <c r="D240" s="408"/>
      <c r="E240" s="408"/>
      <c r="F240" s="408"/>
      <c r="G240" s="408"/>
    </row>
    <row r="241" spans="2:7">
      <c r="B241" s="408"/>
      <c r="C241" s="408"/>
      <c r="D241" s="408"/>
      <c r="E241" s="408"/>
      <c r="F241" s="408"/>
      <c r="G241" s="408"/>
    </row>
    <row r="242" spans="2:7">
      <c r="B242" s="408"/>
      <c r="C242" s="408"/>
      <c r="D242" s="408"/>
      <c r="E242" s="408"/>
      <c r="F242" s="408"/>
      <c r="G242" s="408"/>
    </row>
    <row r="243" spans="2:7">
      <c r="B243" s="408"/>
      <c r="C243" s="408"/>
      <c r="D243" s="408"/>
      <c r="E243" s="408"/>
      <c r="F243" s="408"/>
      <c r="G243" s="408"/>
    </row>
    <row r="244" spans="2:7">
      <c r="B244" s="408"/>
      <c r="C244" s="408"/>
      <c r="D244" s="408"/>
      <c r="E244" s="408"/>
      <c r="F244" s="408"/>
      <c r="G244" s="408"/>
    </row>
    <row r="245" spans="2:7">
      <c r="B245" s="408"/>
      <c r="C245" s="408"/>
      <c r="D245" s="408"/>
      <c r="E245" s="408"/>
      <c r="F245" s="408"/>
      <c r="G245" s="408"/>
    </row>
    <row r="246" spans="2:7">
      <c r="B246" s="408"/>
      <c r="C246" s="408"/>
      <c r="D246" s="408"/>
      <c r="E246" s="408"/>
      <c r="F246" s="408"/>
      <c r="G246" s="408"/>
    </row>
    <row r="247" spans="2:7">
      <c r="B247" s="408"/>
      <c r="C247" s="408"/>
      <c r="D247" s="408"/>
      <c r="E247" s="408"/>
      <c r="F247" s="408"/>
      <c r="G247" s="408"/>
    </row>
    <row r="248" spans="2:7">
      <c r="B248" s="408"/>
      <c r="C248" s="408"/>
      <c r="D248" s="408"/>
      <c r="E248" s="408"/>
      <c r="F248" s="408"/>
      <c r="G248" s="408"/>
    </row>
    <row r="249" spans="2:7">
      <c r="B249" s="408"/>
      <c r="C249" s="408"/>
      <c r="D249" s="408"/>
      <c r="E249" s="408"/>
      <c r="F249" s="408"/>
      <c r="G249" s="408"/>
    </row>
    <row r="250" spans="2:7">
      <c r="B250" s="408"/>
      <c r="C250" s="408"/>
      <c r="D250" s="408"/>
      <c r="E250" s="408"/>
      <c r="F250" s="408"/>
      <c r="G250" s="408"/>
    </row>
    <row r="251" spans="2:7">
      <c r="B251" s="408"/>
      <c r="C251" s="408"/>
      <c r="D251" s="408"/>
      <c r="E251" s="408"/>
      <c r="F251" s="408"/>
      <c r="G251" s="408"/>
    </row>
    <row r="252" spans="2:7">
      <c r="B252" s="408"/>
      <c r="C252" s="408"/>
      <c r="D252" s="408"/>
      <c r="E252" s="408"/>
      <c r="F252" s="408"/>
      <c r="G252" s="408"/>
    </row>
    <row r="253" spans="2:7">
      <c r="B253" s="408"/>
      <c r="C253" s="408"/>
      <c r="D253" s="408"/>
      <c r="E253" s="408"/>
      <c r="F253" s="408"/>
      <c r="G253" s="408"/>
    </row>
    <row r="254" spans="2:7">
      <c r="B254" s="408"/>
      <c r="C254" s="408"/>
      <c r="D254" s="408"/>
      <c r="E254" s="408"/>
      <c r="F254" s="408"/>
      <c r="G254" s="408"/>
    </row>
    <row r="255" spans="2:7">
      <c r="B255" s="408"/>
      <c r="C255" s="408"/>
      <c r="D255" s="408"/>
      <c r="E255" s="408"/>
      <c r="F255" s="408"/>
      <c r="G255" s="408"/>
    </row>
    <row r="256" spans="2:7">
      <c r="B256" s="408"/>
      <c r="C256" s="408"/>
      <c r="D256" s="408"/>
      <c r="E256" s="408"/>
      <c r="F256" s="408"/>
      <c r="G256" s="408"/>
    </row>
    <row r="257" spans="2:7">
      <c r="B257" s="408"/>
      <c r="C257" s="408"/>
      <c r="D257" s="408"/>
      <c r="E257" s="408"/>
      <c r="F257" s="408"/>
      <c r="G257" s="408"/>
    </row>
    <row r="258" spans="2:7">
      <c r="B258" s="408"/>
      <c r="C258" s="408"/>
      <c r="D258" s="408"/>
      <c r="E258" s="408"/>
      <c r="F258" s="408"/>
      <c r="G258" s="408"/>
    </row>
    <row r="259" spans="2:7">
      <c r="B259" s="408"/>
      <c r="C259" s="408"/>
      <c r="D259" s="408"/>
      <c r="E259" s="408"/>
      <c r="F259" s="408"/>
      <c r="G259" s="408"/>
    </row>
    <row r="260" spans="2:7">
      <c r="B260" s="408"/>
      <c r="C260" s="408"/>
      <c r="D260" s="408"/>
      <c r="E260" s="408"/>
      <c r="F260" s="408"/>
      <c r="G260" s="408"/>
    </row>
    <row r="261" spans="2:7">
      <c r="B261" s="408"/>
      <c r="C261" s="408"/>
      <c r="D261" s="408"/>
      <c r="E261" s="408"/>
      <c r="F261" s="408"/>
      <c r="G261" s="408"/>
    </row>
    <row r="262" spans="2:7">
      <c r="B262" s="408"/>
      <c r="C262" s="408"/>
      <c r="D262" s="408"/>
      <c r="E262" s="408"/>
      <c r="F262" s="408"/>
      <c r="G262" s="408"/>
    </row>
    <row r="263" spans="2:7">
      <c r="B263" s="408"/>
      <c r="C263" s="408"/>
      <c r="D263" s="408"/>
      <c r="E263" s="408"/>
      <c r="F263" s="408"/>
      <c r="G263" s="408"/>
    </row>
    <row r="264" spans="2:7">
      <c r="B264" s="408"/>
      <c r="C264" s="408"/>
      <c r="D264" s="408"/>
      <c r="E264" s="408"/>
      <c r="F264" s="408"/>
      <c r="G264" s="408"/>
    </row>
    <row r="265" spans="2:7">
      <c r="B265" s="408"/>
      <c r="C265" s="408"/>
      <c r="D265" s="408"/>
      <c r="E265" s="408"/>
      <c r="F265" s="408"/>
      <c r="G265" s="408"/>
    </row>
    <row r="266" spans="2:7">
      <c r="B266" s="408"/>
      <c r="C266" s="408"/>
      <c r="D266" s="408"/>
      <c r="E266" s="408"/>
      <c r="F266" s="408"/>
      <c r="G266" s="408"/>
    </row>
    <row r="267" spans="2:7">
      <c r="B267" s="408"/>
      <c r="C267" s="408"/>
      <c r="D267" s="408"/>
      <c r="E267" s="408"/>
      <c r="F267" s="408"/>
      <c r="G267" s="408"/>
    </row>
    <row r="268" spans="2:7">
      <c r="B268" s="408"/>
      <c r="C268" s="408"/>
      <c r="D268" s="408"/>
      <c r="E268" s="408"/>
      <c r="F268" s="408"/>
      <c r="G268" s="408"/>
    </row>
    <row r="269" spans="2:7">
      <c r="B269" s="408"/>
      <c r="C269" s="408"/>
      <c r="D269" s="408"/>
      <c r="E269" s="408"/>
      <c r="F269" s="408"/>
      <c r="G269" s="408"/>
    </row>
    <row r="270" spans="2:7">
      <c r="B270" s="408"/>
      <c r="C270" s="408"/>
      <c r="D270" s="408"/>
      <c r="E270" s="408"/>
      <c r="F270" s="408"/>
      <c r="G270" s="408"/>
    </row>
    <row r="271" spans="2:7">
      <c r="B271" s="408"/>
      <c r="C271" s="408"/>
      <c r="D271" s="408"/>
      <c r="E271" s="408"/>
      <c r="F271" s="408"/>
      <c r="G271" s="408"/>
    </row>
    <row r="272" spans="2:7">
      <c r="B272" s="408"/>
      <c r="C272" s="408"/>
      <c r="D272" s="408"/>
      <c r="E272" s="408"/>
      <c r="F272" s="408"/>
      <c r="G272" s="408"/>
    </row>
    <row r="273" spans="2:7">
      <c r="B273" s="408"/>
      <c r="C273" s="408"/>
      <c r="D273" s="408"/>
      <c r="E273" s="408"/>
      <c r="F273" s="408"/>
      <c r="G273" s="408"/>
    </row>
    <row r="274" spans="2:7">
      <c r="B274" s="408"/>
      <c r="C274" s="408"/>
      <c r="D274" s="408"/>
      <c r="E274" s="408"/>
      <c r="F274" s="408"/>
      <c r="G274" s="408"/>
    </row>
    <row r="275" spans="2:7">
      <c r="B275" s="408"/>
      <c r="C275" s="408"/>
      <c r="D275" s="408"/>
      <c r="E275" s="408"/>
      <c r="F275" s="408"/>
      <c r="G275" s="408"/>
    </row>
    <row r="276" spans="2:7">
      <c r="B276" s="408"/>
      <c r="C276" s="408"/>
      <c r="D276" s="408"/>
      <c r="E276" s="408"/>
      <c r="F276" s="408"/>
      <c r="G276" s="408"/>
    </row>
    <row r="277" spans="2:7">
      <c r="B277" s="408"/>
      <c r="C277" s="408"/>
      <c r="D277" s="408"/>
      <c r="E277" s="408"/>
      <c r="F277" s="408"/>
      <c r="G277" s="408"/>
    </row>
    <row r="278" spans="2:7">
      <c r="B278" s="408"/>
      <c r="C278" s="408"/>
      <c r="D278" s="408"/>
      <c r="E278" s="408"/>
      <c r="F278" s="408"/>
      <c r="G278" s="408"/>
    </row>
    <row r="279" spans="2:7">
      <c r="B279" s="408"/>
      <c r="C279" s="408"/>
      <c r="D279" s="408"/>
      <c r="E279" s="408"/>
      <c r="F279" s="408"/>
      <c r="G279" s="408"/>
    </row>
    <row r="280" spans="2:7">
      <c r="B280" s="408"/>
      <c r="C280" s="408"/>
      <c r="D280" s="408"/>
      <c r="E280" s="408"/>
      <c r="F280" s="408"/>
      <c r="G280" s="408"/>
    </row>
    <row r="281" spans="2:7">
      <c r="B281" s="408"/>
      <c r="C281" s="408"/>
      <c r="D281" s="408"/>
      <c r="E281" s="408"/>
      <c r="F281" s="408"/>
      <c r="G281" s="408"/>
    </row>
    <row r="282" spans="2:7">
      <c r="B282" s="408"/>
      <c r="C282" s="408"/>
      <c r="D282" s="408"/>
      <c r="E282" s="408"/>
      <c r="F282" s="408"/>
      <c r="G282" s="408"/>
    </row>
    <row r="283" spans="2:7">
      <c r="B283" s="408"/>
      <c r="C283" s="408"/>
      <c r="D283" s="408"/>
      <c r="E283" s="408"/>
      <c r="F283" s="408"/>
      <c r="G283" s="408"/>
    </row>
    <row r="284" spans="2:7">
      <c r="B284" s="408"/>
      <c r="C284" s="408"/>
      <c r="D284" s="408"/>
      <c r="E284" s="408"/>
      <c r="F284" s="408"/>
      <c r="G284" s="408"/>
    </row>
    <row r="285" spans="2:7">
      <c r="B285" s="408"/>
      <c r="C285" s="408"/>
      <c r="D285" s="408"/>
      <c r="E285" s="408"/>
      <c r="F285" s="408"/>
      <c r="G285" s="408"/>
    </row>
    <row r="286" spans="2:7">
      <c r="B286" s="408"/>
      <c r="C286" s="408"/>
      <c r="D286" s="408"/>
      <c r="E286" s="408"/>
      <c r="F286" s="408"/>
      <c r="G286" s="408"/>
    </row>
    <row r="287" spans="2:7">
      <c r="B287" s="408"/>
      <c r="C287" s="408"/>
      <c r="D287" s="408"/>
      <c r="E287" s="408"/>
      <c r="F287" s="408"/>
      <c r="G287" s="408"/>
    </row>
    <row r="288" spans="2:7">
      <c r="B288" s="408"/>
      <c r="C288" s="408"/>
      <c r="D288" s="408"/>
      <c r="E288" s="408"/>
      <c r="F288" s="408"/>
      <c r="G288" s="408"/>
    </row>
    <row r="289" spans="2:7">
      <c r="B289" s="408"/>
      <c r="C289" s="408"/>
      <c r="D289" s="408"/>
      <c r="E289" s="408"/>
      <c r="F289" s="408"/>
      <c r="G289" s="408"/>
    </row>
    <row r="290" spans="2:7">
      <c r="B290" s="408"/>
      <c r="C290" s="408"/>
      <c r="D290" s="408"/>
      <c r="E290" s="408"/>
      <c r="F290" s="408"/>
      <c r="G290" s="408"/>
    </row>
    <row r="291" spans="2:7">
      <c r="B291" s="408"/>
      <c r="C291" s="408"/>
      <c r="D291" s="408"/>
      <c r="E291" s="408"/>
      <c r="F291" s="408"/>
      <c r="G291" s="408"/>
    </row>
    <row r="292" spans="2:7">
      <c r="B292" s="408"/>
      <c r="C292" s="408"/>
      <c r="D292" s="408"/>
      <c r="E292" s="408"/>
      <c r="F292" s="408"/>
      <c r="G292" s="408"/>
    </row>
    <row r="293" spans="2:7">
      <c r="B293" s="408"/>
      <c r="C293" s="408"/>
      <c r="D293" s="408"/>
      <c r="E293" s="408"/>
      <c r="F293" s="408"/>
      <c r="G293" s="408"/>
    </row>
    <row r="294" spans="2:7">
      <c r="B294" s="408"/>
      <c r="C294" s="408"/>
      <c r="D294" s="408"/>
      <c r="E294" s="408"/>
      <c r="F294" s="408"/>
      <c r="G294" s="408"/>
    </row>
    <row r="295" spans="2:7">
      <c r="B295" s="408"/>
      <c r="C295" s="408"/>
      <c r="D295" s="408"/>
      <c r="E295" s="408"/>
      <c r="F295" s="408"/>
      <c r="G295" s="408"/>
    </row>
    <row r="296" spans="2:7">
      <c r="B296" s="408"/>
      <c r="C296" s="408"/>
      <c r="D296" s="408"/>
      <c r="E296" s="408"/>
      <c r="F296" s="408"/>
      <c r="G296" s="408"/>
    </row>
    <row r="297" spans="2:7">
      <c r="B297" s="408"/>
      <c r="C297" s="408"/>
      <c r="D297" s="408"/>
      <c r="E297" s="408"/>
      <c r="F297" s="408"/>
      <c r="G297" s="408"/>
    </row>
    <row r="298" spans="2:7">
      <c r="B298" s="408"/>
      <c r="C298" s="408"/>
      <c r="D298" s="408"/>
      <c r="E298" s="408"/>
      <c r="F298" s="408"/>
      <c r="G298" s="408"/>
    </row>
    <row r="299" spans="2:7">
      <c r="B299" s="408"/>
      <c r="C299" s="408"/>
      <c r="D299" s="408"/>
      <c r="E299" s="408"/>
      <c r="F299" s="408"/>
      <c r="G299" s="408"/>
    </row>
    <row r="300" spans="2:7">
      <c r="B300" s="408"/>
      <c r="C300" s="408"/>
      <c r="D300" s="408"/>
      <c r="E300" s="408"/>
      <c r="F300" s="408"/>
      <c r="G300" s="408"/>
    </row>
    <row r="301" spans="2:7">
      <c r="B301" s="408"/>
      <c r="C301" s="408"/>
      <c r="D301" s="408"/>
      <c r="E301" s="408"/>
      <c r="F301" s="408"/>
      <c r="G301" s="408"/>
    </row>
    <row r="302" spans="2:7">
      <c r="B302" s="408"/>
      <c r="C302" s="408"/>
      <c r="D302" s="408"/>
      <c r="E302" s="408"/>
      <c r="F302" s="408"/>
      <c r="G302" s="408"/>
    </row>
    <row r="303" spans="2:7">
      <c r="B303" s="408"/>
      <c r="C303" s="408"/>
      <c r="D303" s="408"/>
      <c r="E303" s="408"/>
      <c r="F303" s="408"/>
      <c r="G303" s="408"/>
    </row>
    <row r="304" spans="2:7">
      <c r="B304" s="408"/>
      <c r="C304" s="408"/>
      <c r="D304" s="408"/>
      <c r="E304" s="408"/>
      <c r="F304" s="408"/>
      <c r="G304" s="408"/>
    </row>
    <row r="305" spans="2:7">
      <c r="B305" s="408"/>
      <c r="C305" s="408"/>
      <c r="D305" s="408"/>
      <c r="E305" s="408"/>
      <c r="F305" s="408"/>
      <c r="G305" s="408"/>
    </row>
    <row r="306" spans="2:7">
      <c r="B306" s="408"/>
      <c r="C306" s="408"/>
      <c r="D306" s="408"/>
      <c r="E306" s="408"/>
      <c r="F306" s="408"/>
      <c r="G306" s="408"/>
    </row>
    <row r="307" spans="2:7">
      <c r="B307" s="408"/>
      <c r="C307" s="408"/>
      <c r="D307" s="408"/>
      <c r="E307" s="408"/>
      <c r="F307" s="408"/>
      <c r="G307" s="408"/>
    </row>
    <row r="308" spans="2:7">
      <c r="B308" s="408"/>
      <c r="C308" s="408"/>
      <c r="D308" s="408"/>
      <c r="E308" s="408"/>
      <c r="F308" s="408"/>
      <c r="G308" s="408"/>
    </row>
    <row r="309" spans="2:7">
      <c r="B309" s="408"/>
      <c r="C309" s="408"/>
      <c r="D309" s="408"/>
      <c r="E309" s="408"/>
      <c r="F309" s="408"/>
      <c r="G309" s="408"/>
    </row>
    <row r="310" spans="2:7">
      <c r="B310" s="408"/>
      <c r="C310" s="408"/>
      <c r="D310" s="408"/>
      <c r="E310" s="408"/>
      <c r="F310" s="408"/>
      <c r="G310" s="408"/>
    </row>
    <row r="311" spans="2:7">
      <c r="B311" s="408"/>
      <c r="C311" s="408"/>
      <c r="D311" s="408"/>
      <c r="E311" s="408"/>
      <c r="F311" s="408"/>
      <c r="G311" s="408"/>
    </row>
    <row r="312" spans="2:7">
      <c r="B312" s="408"/>
      <c r="C312" s="408"/>
      <c r="D312" s="408"/>
      <c r="E312" s="408"/>
      <c r="F312" s="408"/>
      <c r="G312" s="408"/>
    </row>
    <row r="313" spans="2:7">
      <c r="B313" s="408"/>
      <c r="C313" s="408"/>
      <c r="D313" s="408"/>
      <c r="E313" s="408"/>
      <c r="F313" s="408"/>
      <c r="G313" s="408"/>
    </row>
    <row r="314" spans="2:7">
      <c r="B314" s="408"/>
      <c r="C314" s="408"/>
      <c r="D314" s="408"/>
      <c r="E314" s="408"/>
      <c r="F314" s="408"/>
      <c r="G314" s="408"/>
    </row>
    <row r="315" spans="2:7">
      <c r="B315" s="408"/>
      <c r="C315" s="408"/>
      <c r="D315" s="408"/>
      <c r="E315" s="408"/>
      <c r="F315" s="408"/>
      <c r="G315" s="408"/>
    </row>
    <row r="316" spans="2:7">
      <c r="B316" s="408"/>
      <c r="C316" s="408"/>
      <c r="D316" s="408"/>
      <c r="E316" s="408"/>
      <c r="F316" s="408"/>
      <c r="G316" s="408"/>
    </row>
    <row r="317" spans="2:7">
      <c r="B317" s="408"/>
      <c r="C317" s="408"/>
      <c r="D317" s="408"/>
      <c r="E317" s="408"/>
      <c r="F317" s="408"/>
      <c r="G317" s="408"/>
    </row>
    <row r="318" spans="2:7">
      <c r="B318" s="408"/>
      <c r="C318" s="408"/>
      <c r="D318" s="408"/>
      <c r="E318" s="408"/>
      <c r="F318" s="408"/>
      <c r="G318" s="408"/>
    </row>
    <row r="319" spans="2:7">
      <c r="B319" s="408"/>
      <c r="C319" s="408"/>
      <c r="D319" s="408"/>
      <c r="E319" s="408"/>
      <c r="F319" s="408"/>
      <c r="G319" s="408"/>
    </row>
    <row r="320" spans="2:7">
      <c r="B320" s="408"/>
      <c r="C320" s="408"/>
      <c r="D320" s="408"/>
      <c r="E320" s="408"/>
      <c r="F320" s="408"/>
      <c r="G320" s="408"/>
    </row>
    <row r="321" spans="2:7">
      <c r="B321" s="408"/>
      <c r="C321" s="408"/>
      <c r="D321" s="408"/>
      <c r="E321" s="408"/>
      <c r="F321" s="408"/>
      <c r="G321" s="408"/>
    </row>
    <row r="322" spans="2:7">
      <c r="B322" s="408"/>
      <c r="C322" s="408"/>
      <c r="D322" s="408"/>
      <c r="E322" s="408"/>
      <c r="F322" s="408"/>
      <c r="G322" s="408"/>
    </row>
    <row r="323" spans="2:7">
      <c r="B323" s="408"/>
      <c r="C323" s="408"/>
      <c r="D323" s="408"/>
      <c r="E323" s="408"/>
      <c r="F323" s="408"/>
      <c r="G323" s="408"/>
    </row>
    <row r="324" spans="2:7">
      <c r="B324" s="408"/>
      <c r="C324" s="408"/>
      <c r="D324" s="408"/>
      <c r="E324" s="408"/>
      <c r="F324" s="408"/>
      <c r="G324" s="408"/>
    </row>
    <row r="325" spans="2:7">
      <c r="B325" s="408"/>
      <c r="C325" s="408"/>
      <c r="D325" s="408"/>
      <c r="E325" s="408"/>
      <c r="F325" s="408"/>
      <c r="G325" s="408"/>
    </row>
    <row r="326" spans="2:7">
      <c r="B326" s="408"/>
      <c r="C326" s="408"/>
      <c r="D326" s="408"/>
      <c r="E326" s="408"/>
      <c r="F326" s="408"/>
      <c r="G326" s="408"/>
    </row>
    <row r="327" spans="2:7">
      <c r="B327" s="408"/>
      <c r="C327" s="408"/>
      <c r="D327" s="408"/>
      <c r="E327" s="408"/>
      <c r="F327" s="408"/>
      <c r="G327" s="408"/>
    </row>
    <row r="328" spans="2:7">
      <c r="B328" s="408"/>
      <c r="C328" s="408"/>
      <c r="D328" s="408"/>
      <c r="E328" s="408"/>
      <c r="F328" s="408"/>
      <c r="G328" s="408"/>
    </row>
    <row r="329" spans="2:7">
      <c r="B329" s="408"/>
      <c r="C329" s="408"/>
      <c r="D329" s="408"/>
      <c r="E329" s="408"/>
      <c r="F329" s="408"/>
      <c r="G329" s="408"/>
    </row>
    <row r="330" spans="2:7">
      <c r="B330" s="408"/>
      <c r="C330" s="408"/>
      <c r="D330" s="408"/>
      <c r="E330" s="408"/>
      <c r="F330" s="408"/>
      <c r="G330" s="408"/>
    </row>
    <row r="331" spans="2:7">
      <c r="B331" s="408"/>
      <c r="C331" s="408"/>
      <c r="D331" s="408"/>
      <c r="E331" s="408"/>
      <c r="F331" s="408"/>
      <c r="G331" s="408"/>
    </row>
    <row r="332" spans="2:7">
      <c r="B332" s="408"/>
      <c r="C332" s="408"/>
      <c r="D332" s="408"/>
      <c r="E332" s="408"/>
      <c r="F332" s="408"/>
      <c r="G332" s="408"/>
    </row>
    <row r="333" spans="2:7">
      <c r="B333" s="408"/>
      <c r="C333" s="408"/>
      <c r="D333" s="408"/>
      <c r="E333" s="408"/>
      <c r="F333" s="408"/>
      <c r="G333" s="408"/>
    </row>
    <row r="334" spans="2:7">
      <c r="B334" s="408"/>
      <c r="C334" s="408"/>
      <c r="D334" s="408"/>
      <c r="E334" s="408"/>
      <c r="F334" s="408"/>
      <c r="G334" s="408"/>
    </row>
    <row r="335" spans="2:7">
      <c r="B335" s="408"/>
      <c r="C335" s="408"/>
      <c r="D335" s="408"/>
      <c r="E335" s="408"/>
      <c r="F335" s="408"/>
      <c r="G335" s="408"/>
    </row>
    <row r="336" spans="2:7">
      <c r="B336" s="408"/>
      <c r="C336" s="408"/>
      <c r="D336" s="408"/>
      <c r="E336" s="408"/>
      <c r="F336" s="408"/>
      <c r="G336" s="408"/>
    </row>
    <row r="337" spans="2:7">
      <c r="B337" s="408"/>
      <c r="C337" s="408"/>
      <c r="D337" s="408"/>
      <c r="E337" s="408"/>
      <c r="F337" s="408"/>
      <c r="G337" s="408"/>
    </row>
    <row r="338" spans="2:7">
      <c r="B338" s="408"/>
      <c r="C338" s="408"/>
      <c r="D338" s="408"/>
      <c r="E338" s="408"/>
      <c r="F338" s="408"/>
      <c r="G338" s="408"/>
    </row>
    <row r="339" spans="2:7">
      <c r="B339" s="408"/>
      <c r="C339" s="408"/>
      <c r="D339" s="408"/>
      <c r="E339" s="408"/>
      <c r="F339" s="408"/>
      <c r="G339" s="408"/>
    </row>
    <row r="340" spans="2:7">
      <c r="B340" s="408"/>
      <c r="C340" s="408"/>
      <c r="D340" s="408"/>
      <c r="E340" s="408"/>
      <c r="F340" s="408"/>
      <c r="G340" s="408"/>
    </row>
    <row r="341" spans="2:7">
      <c r="B341" s="408"/>
      <c r="C341" s="408"/>
      <c r="D341" s="408"/>
      <c r="E341" s="408"/>
      <c r="F341" s="408"/>
      <c r="G341" s="408"/>
    </row>
    <row r="342" spans="2:7">
      <c r="B342" s="408"/>
      <c r="C342" s="408"/>
      <c r="D342" s="408"/>
      <c r="E342" s="408"/>
      <c r="F342" s="408"/>
      <c r="G342" s="408"/>
    </row>
    <row r="343" spans="2:7">
      <c r="B343" s="408"/>
      <c r="C343" s="408"/>
      <c r="D343" s="408"/>
      <c r="E343" s="408"/>
      <c r="F343" s="408"/>
      <c r="G343" s="408"/>
    </row>
    <row r="344" spans="2:7">
      <c r="B344" s="408"/>
      <c r="C344" s="408"/>
      <c r="D344" s="408"/>
      <c r="E344" s="408"/>
      <c r="F344" s="408"/>
      <c r="G344" s="408"/>
    </row>
    <row r="345" spans="2:7">
      <c r="B345" s="408"/>
      <c r="C345" s="408"/>
      <c r="D345" s="408"/>
      <c r="E345" s="408"/>
      <c r="F345" s="408"/>
      <c r="G345" s="408"/>
    </row>
    <row r="346" spans="2:7">
      <c r="B346" s="408"/>
      <c r="C346" s="408"/>
      <c r="D346" s="408"/>
      <c r="E346" s="408"/>
      <c r="F346" s="408"/>
      <c r="G346" s="408"/>
    </row>
    <row r="347" spans="2:7">
      <c r="B347" s="408"/>
      <c r="C347" s="408"/>
      <c r="D347" s="408"/>
      <c r="E347" s="408"/>
      <c r="F347" s="408"/>
      <c r="G347" s="408"/>
    </row>
    <row r="348" spans="2:7">
      <c r="B348" s="408"/>
      <c r="C348" s="408"/>
      <c r="D348" s="408"/>
      <c r="E348" s="408"/>
      <c r="F348" s="408"/>
      <c r="G348" s="408"/>
    </row>
    <row r="349" spans="2:7">
      <c r="B349" s="408"/>
      <c r="C349" s="408"/>
      <c r="D349" s="408"/>
      <c r="E349" s="408"/>
      <c r="F349" s="408"/>
      <c r="G349" s="408"/>
    </row>
    <row r="350" spans="2:7">
      <c r="B350" s="408"/>
      <c r="C350" s="408"/>
      <c r="D350" s="408"/>
      <c r="E350" s="408"/>
      <c r="F350" s="408"/>
      <c r="G350" s="408"/>
    </row>
    <row r="351" spans="2:7">
      <c r="B351" s="408"/>
      <c r="C351" s="408"/>
      <c r="D351" s="408"/>
      <c r="E351" s="408"/>
      <c r="F351" s="408"/>
      <c r="G351" s="408"/>
    </row>
    <row r="352" spans="2:7">
      <c r="B352" s="408"/>
      <c r="C352" s="408"/>
      <c r="D352" s="408"/>
      <c r="E352" s="408"/>
      <c r="F352" s="408"/>
      <c r="G352" s="408"/>
    </row>
    <row r="353" spans="2:7">
      <c r="B353" s="408"/>
      <c r="C353" s="408"/>
      <c r="D353" s="408"/>
      <c r="E353" s="408"/>
      <c r="F353" s="408"/>
      <c r="G353" s="408"/>
    </row>
    <row r="354" spans="2:7">
      <c r="B354" s="408"/>
      <c r="C354" s="408"/>
      <c r="D354" s="408"/>
      <c r="E354" s="408"/>
      <c r="F354" s="408"/>
      <c r="G354" s="408"/>
    </row>
    <row r="355" spans="2:7">
      <c r="B355" s="408"/>
      <c r="C355" s="408"/>
      <c r="D355" s="408"/>
      <c r="E355" s="408"/>
      <c r="F355" s="408"/>
      <c r="G355" s="408"/>
    </row>
    <row r="356" spans="2:7">
      <c r="B356" s="408"/>
      <c r="C356" s="408"/>
      <c r="D356" s="408"/>
      <c r="E356" s="408"/>
      <c r="F356" s="408"/>
      <c r="G356" s="408"/>
    </row>
    <row r="357" spans="2:7">
      <c r="B357" s="408"/>
      <c r="C357" s="408"/>
      <c r="D357" s="408"/>
      <c r="E357" s="408"/>
      <c r="F357" s="408"/>
      <c r="G357" s="408"/>
    </row>
    <row r="358" spans="2:7">
      <c r="B358" s="408"/>
      <c r="C358" s="408"/>
      <c r="D358" s="408"/>
      <c r="E358" s="408"/>
      <c r="F358" s="408"/>
      <c r="G358" s="408"/>
    </row>
    <row r="359" spans="2:7">
      <c r="B359" s="408"/>
      <c r="C359" s="408"/>
      <c r="D359" s="408"/>
      <c r="E359" s="408"/>
      <c r="F359" s="408"/>
      <c r="G359" s="408"/>
    </row>
    <row r="360" spans="2:7">
      <c r="B360" s="408"/>
      <c r="C360" s="408"/>
      <c r="D360" s="408"/>
      <c r="E360" s="408"/>
      <c r="F360" s="408"/>
      <c r="G360" s="408"/>
    </row>
    <row r="361" spans="2:7">
      <c r="B361" s="408"/>
      <c r="C361" s="408"/>
      <c r="D361" s="408"/>
      <c r="E361" s="408"/>
      <c r="F361" s="408"/>
      <c r="G361" s="408"/>
    </row>
    <row r="362" spans="2:7">
      <c r="B362" s="408"/>
      <c r="C362" s="408"/>
      <c r="D362" s="408"/>
      <c r="E362" s="408"/>
      <c r="F362" s="408"/>
      <c r="G362" s="408"/>
    </row>
    <row r="363" spans="2:7">
      <c r="B363" s="408"/>
      <c r="C363" s="408"/>
      <c r="D363" s="408"/>
      <c r="E363" s="408"/>
      <c r="F363" s="408"/>
      <c r="G363" s="408"/>
    </row>
    <row r="364" spans="2:7">
      <c r="B364" s="408"/>
      <c r="C364" s="408"/>
      <c r="D364" s="408"/>
      <c r="E364" s="408"/>
      <c r="F364" s="408"/>
      <c r="G364" s="408"/>
    </row>
    <row r="365" spans="2:7">
      <c r="B365" s="408"/>
      <c r="C365" s="408"/>
      <c r="D365" s="408"/>
      <c r="E365" s="408"/>
      <c r="F365" s="408"/>
      <c r="G365" s="408"/>
    </row>
    <row r="366" spans="2:7">
      <c r="B366" s="408"/>
      <c r="C366" s="408"/>
      <c r="D366" s="408"/>
      <c r="E366" s="408"/>
      <c r="F366" s="408"/>
      <c r="G366" s="408"/>
    </row>
    <row r="367" spans="2:7">
      <c r="B367" s="408"/>
      <c r="C367" s="408"/>
      <c r="D367" s="408"/>
      <c r="E367" s="408"/>
      <c r="F367" s="408"/>
      <c r="G367" s="408"/>
    </row>
    <row r="368" spans="2:7">
      <c r="B368" s="408"/>
      <c r="C368" s="408"/>
      <c r="D368" s="408"/>
      <c r="E368" s="408"/>
      <c r="F368" s="408"/>
      <c r="G368" s="408"/>
    </row>
    <row r="369" spans="2:7">
      <c r="B369" s="408"/>
      <c r="C369" s="408"/>
      <c r="D369" s="408"/>
      <c r="E369" s="408"/>
      <c r="F369" s="408"/>
      <c r="G369" s="408"/>
    </row>
    <row r="370" spans="2:7">
      <c r="B370" s="408"/>
      <c r="C370" s="408"/>
      <c r="D370" s="408"/>
      <c r="E370" s="408"/>
      <c r="F370" s="408"/>
      <c r="G370" s="408"/>
    </row>
    <row r="371" spans="2:7">
      <c r="B371" s="408"/>
      <c r="C371" s="408"/>
      <c r="D371" s="408"/>
      <c r="E371" s="408"/>
      <c r="F371" s="408"/>
      <c r="G371" s="408"/>
    </row>
    <row r="372" spans="2:7">
      <c r="B372" s="408"/>
      <c r="C372" s="408"/>
      <c r="D372" s="408"/>
      <c r="E372" s="408"/>
      <c r="F372" s="408"/>
      <c r="G372" s="408"/>
    </row>
    <row r="373" spans="2:7">
      <c r="B373" s="408"/>
      <c r="C373" s="408"/>
      <c r="D373" s="408"/>
      <c r="E373" s="408"/>
      <c r="F373" s="408"/>
      <c r="G373" s="408"/>
    </row>
    <row r="374" spans="2:7">
      <c r="B374" s="408"/>
      <c r="C374" s="408"/>
      <c r="D374" s="408"/>
      <c r="E374" s="408"/>
      <c r="F374" s="408"/>
      <c r="G374" s="408"/>
    </row>
    <row r="375" spans="2:7">
      <c r="B375" s="408"/>
      <c r="C375" s="408"/>
      <c r="D375" s="408"/>
      <c r="E375" s="408"/>
      <c r="F375" s="408"/>
      <c r="G375" s="408"/>
    </row>
    <row r="376" spans="2:7">
      <c r="B376" s="408"/>
      <c r="C376" s="408"/>
      <c r="D376" s="408"/>
      <c r="E376" s="408"/>
      <c r="F376" s="408"/>
      <c r="G376" s="408"/>
    </row>
    <row r="377" spans="2:7">
      <c r="B377" s="408"/>
      <c r="C377" s="408"/>
      <c r="D377" s="408"/>
      <c r="E377" s="408"/>
      <c r="F377" s="408"/>
      <c r="G377" s="408"/>
    </row>
    <row r="378" spans="2:7">
      <c r="B378" s="408"/>
      <c r="C378" s="408"/>
      <c r="D378" s="408"/>
      <c r="E378" s="408"/>
      <c r="F378" s="408"/>
      <c r="G378" s="408"/>
    </row>
    <row r="379" spans="2:7">
      <c r="B379" s="408"/>
      <c r="C379" s="408"/>
      <c r="D379" s="408"/>
      <c r="E379" s="408"/>
      <c r="F379" s="408"/>
      <c r="G379" s="408"/>
    </row>
    <row r="380" spans="2:7">
      <c r="B380" s="408"/>
      <c r="C380" s="408"/>
      <c r="D380" s="408"/>
      <c r="E380" s="408"/>
      <c r="F380" s="408"/>
      <c r="G380" s="408"/>
    </row>
    <row r="381" spans="2:7">
      <c r="B381" s="408"/>
      <c r="C381" s="408"/>
      <c r="D381" s="408"/>
      <c r="E381" s="408"/>
      <c r="F381" s="408"/>
      <c r="G381" s="408"/>
    </row>
    <row r="382" spans="2:7">
      <c r="B382" s="408"/>
      <c r="C382" s="408"/>
      <c r="D382" s="408"/>
      <c r="E382" s="408"/>
      <c r="F382" s="408"/>
      <c r="G382" s="408"/>
    </row>
    <row r="383" spans="2:7">
      <c r="B383" s="408"/>
      <c r="C383" s="408"/>
      <c r="D383" s="408"/>
      <c r="E383" s="408"/>
      <c r="F383" s="408"/>
      <c r="G383" s="408"/>
    </row>
    <row r="384" spans="2:7">
      <c r="B384" s="408"/>
      <c r="C384" s="408"/>
      <c r="D384" s="408"/>
      <c r="E384" s="408"/>
      <c r="F384" s="408"/>
      <c r="G384" s="408"/>
    </row>
    <row r="385" spans="2:7">
      <c r="B385" s="408"/>
      <c r="C385" s="408"/>
      <c r="D385" s="408"/>
      <c r="E385" s="408"/>
      <c r="F385" s="408"/>
      <c r="G385" s="408"/>
    </row>
    <row r="386" spans="2:7">
      <c r="B386" s="408"/>
      <c r="C386" s="408"/>
      <c r="D386" s="408"/>
      <c r="E386" s="408"/>
      <c r="F386" s="408"/>
      <c r="G386" s="408"/>
    </row>
    <row r="387" spans="2:7">
      <c r="B387" s="408"/>
      <c r="C387" s="408"/>
      <c r="D387" s="408"/>
      <c r="E387" s="408"/>
      <c r="F387" s="408"/>
      <c r="G387" s="408"/>
    </row>
    <row r="388" spans="2:7">
      <c r="B388" s="408"/>
      <c r="C388" s="408"/>
      <c r="D388" s="408"/>
      <c r="E388" s="408"/>
      <c r="F388" s="408"/>
      <c r="G388" s="408"/>
    </row>
    <row r="389" spans="2:7">
      <c r="B389" s="408"/>
      <c r="C389" s="408"/>
      <c r="D389" s="408"/>
      <c r="E389" s="408"/>
      <c r="F389" s="408"/>
      <c r="G389" s="408"/>
    </row>
    <row r="390" spans="2:7">
      <c r="B390" s="408"/>
      <c r="C390" s="408"/>
      <c r="D390" s="408"/>
      <c r="E390" s="408"/>
      <c r="F390" s="408"/>
      <c r="G390" s="408"/>
    </row>
    <row r="391" spans="2:7">
      <c r="B391" s="408"/>
      <c r="C391" s="408"/>
      <c r="D391" s="408"/>
      <c r="E391" s="408"/>
      <c r="F391" s="408"/>
      <c r="G391" s="408"/>
    </row>
    <row r="392" spans="2:7">
      <c r="B392" s="408"/>
      <c r="C392" s="408"/>
      <c r="D392" s="408"/>
      <c r="E392" s="408"/>
      <c r="F392" s="408"/>
      <c r="G392" s="408"/>
    </row>
    <row r="393" spans="2:7">
      <c r="B393" s="408"/>
      <c r="C393" s="408"/>
      <c r="D393" s="408"/>
      <c r="E393" s="408"/>
      <c r="F393" s="408"/>
      <c r="G393" s="408"/>
    </row>
    <row r="394" spans="2:7">
      <c r="B394" s="408"/>
      <c r="C394" s="408"/>
      <c r="D394" s="408"/>
      <c r="E394" s="408"/>
      <c r="F394" s="408"/>
      <c r="G394" s="408"/>
    </row>
    <row r="395" spans="2:7">
      <c r="B395" s="408"/>
      <c r="C395" s="408"/>
      <c r="D395" s="408"/>
      <c r="E395" s="408"/>
      <c r="F395" s="408"/>
      <c r="G395" s="408"/>
    </row>
    <row r="396" spans="2:7">
      <c r="B396" s="408"/>
      <c r="C396" s="408"/>
      <c r="D396" s="408"/>
      <c r="E396" s="408"/>
      <c r="F396" s="408"/>
      <c r="G396" s="408"/>
    </row>
    <row r="397" spans="2:7">
      <c r="B397" s="408"/>
      <c r="C397" s="408"/>
      <c r="D397" s="408"/>
      <c r="E397" s="408"/>
      <c r="F397" s="408"/>
      <c r="G397" s="408"/>
    </row>
    <row r="398" spans="2:7">
      <c r="B398" s="408"/>
      <c r="C398" s="408"/>
      <c r="D398" s="408"/>
      <c r="E398" s="408"/>
      <c r="F398" s="408"/>
      <c r="G398" s="408"/>
    </row>
    <row r="399" spans="2:7">
      <c r="B399" s="408"/>
      <c r="C399" s="408"/>
      <c r="D399" s="408"/>
      <c r="E399" s="408"/>
      <c r="F399" s="408"/>
      <c r="G399" s="408"/>
    </row>
    <row r="400" spans="2:7">
      <c r="B400" s="408"/>
      <c r="C400" s="408"/>
      <c r="D400" s="408"/>
      <c r="E400" s="408"/>
      <c r="F400" s="408"/>
      <c r="G400" s="408"/>
    </row>
    <row r="401" spans="2:7">
      <c r="B401" s="408"/>
      <c r="C401" s="408"/>
      <c r="D401" s="408"/>
      <c r="E401" s="408"/>
      <c r="F401" s="408"/>
      <c r="G401" s="408"/>
    </row>
    <row r="402" spans="2:7">
      <c r="B402" s="408"/>
      <c r="C402" s="408"/>
      <c r="D402" s="408"/>
      <c r="E402" s="408"/>
      <c r="F402" s="408"/>
      <c r="G402" s="408"/>
    </row>
    <row r="403" spans="2:7">
      <c r="B403" s="408"/>
      <c r="C403" s="408"/>
      <c r="D403" s="408"/>
      <c r="E403" s="408"/>
      <c r="F403" s="408"/>
      <c r="G403" s="408"/>
    </row>
    <row r="404" spans="2:7">
      <c r="B404" s="408"/>
      <c r="C404" s="408"/>
      <c r="D404" s="408"/>
      <c r="E404" s="408"/>
      <c r="F404" s="408"/>
      <c r="G404" s="408"/>
    </row>
    <row r="405" spans="2:7">
      <c r="B405" s="408"/>
      <c r="C405" s="408"/>
      <c r="D405" s="408"/>
      <c r="E405" s="408"/>
      <c r="F405" s="408"/>
      <c r="G405" s="408"/>
    </row>
    <row r="406" spans="2:7">
      <c r="B406" s="408"/>
      <c r="C406" s="408"/>
      <c r="D406" s="408"/>
      <c r="E406" s="408"/>
      <c r="F406" s="408"/>
      <c r="G406" s="408"/>
    </row>
    <row r="407" spans="2:7">
      <c r="B407" s="408"/>
      <c r="C407" s="408"/>
      <c r="D407" s="408"/>
      <c r="E407" s="408"/>
      <c r="F407" s="408"/>
      <c r="G407" s="408"/>
    </row>
    <row r="408" spans="2:7">
      <c r="B408" s="408"/>
      <c r="C408" s="408"/>
      <c r="D408" s="408"/>
      <c r="E408" s="408"/>
      <c r="F408" s="408"/>
      <c r="G408" s="408"/>
    </row>
    <row r="409" spans="2:7">
      <c r="B409" s="408"/>
      <c r="C409" s="408"/>
      <c r="D409" s="408"/>
      <c r="E409" s="408"/>
      <c r="F409" s="408"/>
      <c r="G409" s="408"/>
    </row>
    <row r="410" spans="2:7">
      <c r="B410" s="408"/>
      <c r="C410" s="408"/>
      <c r="D410" s="408"/>
      <c r="E410" s="408"/>
      <c r="F410" s="408"/>
      <c r="G410" s="408"/>
    </row>
    <row r="411" spans="2:7">
      <c r="B411" s="408"/>
      <c r="C411" s="408"/>
      <c r="D411" s="408"/>
      <c r="E411" s="408"/>
      <c r="F411" s="408"/>
      <c r="G411" s="408"/>
    </row>
    <row r="412" spans="2:7">
      <c r="B412" s="408"/>
      <c r="C412" s="408"/>
      <c r="D412" s="408"/>
      <c r="E412" s="408"/>
      <c r="F412" s="408"/>
      <c r="G412" s="408"/>
    </row>
    <row r="413" spans="2:7">
      <c r="B413" s="408"/>
      <c r="C413" s="408"/>
      <c r="D413" s="408"/>
      <c r="E413" s="408"/>
      <c r="F413" s="408"/>
      <c r="G413" s="408"/>
    </row>
    <row r="414" spans="2:7">
      <c r="B414" s="408"/>
      <c r="C414" s="408"/>
      <c r="D414" s="408"/>
      <c r="E414" s="408"/>
      <c r="F414" s="408"/>
      <c r="G414" s="408"/>
    </row>
    <row r="415" spans="2:7">
      <c r="B415" s="408"/>
      <c r="C415" s="408"/>
      <c r="D415" s="408"/>
      <c r="E415" s="408"/>
      <c r="F415" s="408"/>
      <c r="G415" s="408"/>
    </row>
    <row r="416" spans="2:7">
      <c r="B416" s="408"/>
      <c r="C416" s="408"/>
      <c r="D416" s="408"/>
      <c r="E416" s="408"/>
      <c r="F416" s="408"/>
      <c r="G416" s="408"/>
    </row>
    <row r="417" spans="2:7">
      <c r="B417" s="408"/>
      <c r="C417" s="408"/>
      <c r="D417" s="408"/>
      <c r="E417" s="408"/>
      <c r="F417" s="408"/>
      <c r="G417" s="408"/>
    </row>
    <row r="418" spans="2:7">
      <c r="B418" s="408"/>
      <c r="C418" s="408"/>
      <c r="D418" s="408"/>
      <c r="E418" s="408"/>
      <c r="F418" s="408"/>
      <c r="G418" s="408"/>
    </row>
    <row r="419" spans="2:7">
      <c r="B419" s="408"/>
      <c r="C419" s="408"/>
      <c r="D419" s="408"/>
      <c r="E419" s="408"/>
      <c r="F419" s="408"/>
      <c r="G419" s="408"/>
    </row>
    <row r="420" spans="2:7">
      <c r="B420" s="408"/>
      <c r="C420" s="408"/>
      <c r="D420" s="408"/>
      <c r="E420" s="408"/>
      <c r="F420" s="408"/>
      <c r="G420" s="408"/>
    </row>
    <row r="421" spans="2:7">
      <c r="B421" s="408"/>
      <c r="C421" s="408"/>
      <c r="D421" s="408"/>
      <c r="E421" s="408"/>
      <c r="F421" s="408"/>
      <c r="G421" s="408"/>
    </row>
    <row r="422" spans="2:7">
      <c r="B422" s="408"/>
      <c r="C422" s="408"/>
      <c r="D422" s="408"/>
      <c r="E422" s="408"/>
      <c r="F422" s="408"/>
      <c r="G422" s="408"/>
    </row>
    <row r="423" spans="2:7">
      <c r="B423" s="408"/>
      <c r="C423" s="408"/>
      <c r="D423" s="408"/>
      <c r="E423" s="408"/>
      <c r="F423" s="408"/>
      <c r="G423" s="408"/>
    </row>
    <row r="424" spans="2:7">
      <c r="B424" s="408"/>
      <c r="C424" s="408"/>
      <c r="D424" s="408"/>
      <c r="E424" s="408"/>
      <c r="F424" s="408"/>
      <c r="G424" s="408"/>
    </row>
    <row r="425" spans="2:7">
      <c r="B425" s="408"/>
      <c r="C425" s="408"/>
      <c r="D425" s="408"/>
      <c r="E425" s="408"/>
      <c r="F425" s="408"/>
      <c r="G425" s="408"/>
    </row>
    <row r="426" spans="2:7">
      <c r="B426" s="408"/>
      <c r="C426" s="408"/>
      <c r="D426" s="408"/>
      <c r="E426" s="408"/>
      <c r="F426" s="408"/>
      <c r="G426" s="408"/>
    </row>
    <row r="427" spans="2:7">
      <c r="B427" s="408"/>
      <c r="C427" s="408"/>
      <c r="D427" s="408"/>
      <c r="E427" s="408"/>
      <c r="F427" s="408"/>
      <c r="G427" s="408"/>
    </row>
    <row r="428" spans="2:7">
      <c r="B428" s="408"/>
      <c r="C428" s="408"/>
      <c r="D428" s="408"/>
      <c r="E428" s="408"/>
      <c r="F428" s="408"/>
      <c r="G428" s="408"/>
    </row>
    <row r="429" spans="2:7">
      <c r="B429" s="408"/>
      <c r="C429" s="408"/>
      <c r="D429" s="408"/>
      <c r="E429" s="408"/>
      <c r="F429" s="408"/>
      <c r="G429" s="408"/>
    </row>
    <row r="430" spans="2:7">
      <c r="B430" s="408"/>
      <c r="C430" s="408"/>
      <c r="D430" s="408"/>
      <c r="E430" s="408"/>
      <c r="F430" s="408"/>
      <c r="G430" s="408"/>
    </row>
    <row r="431" spans="2:7">
      <c r="B431" s="408"/>
      <c r="C431" s="408"/>
      <c r="D431" s="408"/>
      <c r="E431" s="408"/>
      <c r="F431" s="408"/>
      <c r="G431" s="408"/>
    </row>
    <row r="432" spans="2:7">
      <c r="B432" s="408"/>
      <c r="C432" s="408"/>
      <c r="D432" s="408"/>
      <c r="E432" s="408"/>
      <c r="F432" s="408"/>
      <c r="G432" s="408"/>
    </row>
    <row r="433" spans="2:7">
      <c r="B433" s="408"/>
      <c r="C433" s="408"/>
      <c r="D433" s="408"/>
      <c r="E433" s="408"/>
      <c r="F433" s="408"/>
      <c r="G433" s="408"/>
    </row>
    <row r="434" spans="2:7">
      <c r="B434" s="408"/>
      <c r="C434" s="408"/>
      <c r="D434" s="408"/>
      <c r="E434" s="408"/>
      <c r="F434" s="408"/>
      <c r="G434" s="408"/>
    </row>
    <row r="435" spans="2:7">
      <c r="B435" s="408"/>
      <c r="C435" s="408"/>
      <c r="D435" s="408"/>
      <c r="E435" s="408"/>
      <c r="F435" s="408"/>
      <c r="G435" s="408"/>
    </row>
    <row r="436" spans="2:7">
      <c r="B436" s="408"/>
      <c r="C436" s="408"/>
      <c r="D436" s="408"/>
      <c r="E436" s="408"/>
      <c r="F436" s="408"/>
      <c r="G436" s="408"/>
    </row>
    <row r="437" spans="2:7">
      <c r="B437" s="408"/>
      <c r="C437" s="408"/>
      <c r="D437" s="408"/>
      <c r="E437" s="408"/>
      <c r="F437" s="408"/>
      <c r="G437" s="408"/>
    </row>
    <row r="438" spans="2:7">
      <c r="B438" s="408"/>
      <c r="C438" s="408"/>
      <c r="D438" s="408"/>
      <c r="E438" s="408"/>
      <c r="F438" s="408"/>
      <c r="G438" s="408"/>
    </row>
    <row r="439" spans="2:7">
      <c r="B439" s="408"/>
      <c r="C439" s="408"/>
      <c r="D439" s="408"/>
      <c r="E439" s="408"/>
      <c r="F439" s="408"/>
      <c r="G439" s="408"/>
    </row>
    <row r="440" spans="2:7">
      <c r="B440" s="408"/>
      <c r="C440" s="408"/>
      <c r="D440" s="408"/>
      <c r="E440" s="408"/>
      <c r="F440" s="408"/>
      <c r="G440" s="408"/>
    </row>
    <row r="441" spans="2:7">
      <c r="B441" s="408"/>
      <c r="C441" s="408"/>
      <c r="D441" s="408"/>
      <c r="E441" s="408"/>
      <c r="F441" s="408"/>
      <c r="G441" s="408"/>
    </row>
    <row r="442" spans="2:7">
      <c r="B442" s="408"/>
      <c r="C442" s="408"/>
      <c r="D442" s="408"/>
      <c r="E442" s="408"/>
      <c r="F442" s="408"/>
      <c r="G442" s="408"/>
    </row>
    <row r="443" spans="2:7">
      <c r="B443" s="408"/>
      <c r="C443" s="408"/>
      <c r="D443" s="408"/>
      <c r="E443" s="408"/>
      <c r="F443" s="408"/>
      <c r="G443" s="408"/>
    </row>
    <row r="444" spans="2:7">
      <c r="B444" s="408"/>
      <c r="C444" s="408"/>
      <c r="D444" s="408"/>
      <c r="E444" s="408"/>
      <c r="F444" s="408"/>
      <c r="G444" s="408"/>
    </row>
  </sheetData>
  <mergeCells count="7">
    <mergeCell ref="B1:F1"/>
    <mergeCell ref="B2:F2"/>
    <mergeCell ref="C11:E11"/>
    <mergeCell ref="F37:G37"/>
    <mergeCell ref="F38:G38"/>
    <mergeCell ref="A1:A35"/>
    <mergeCell ref="E8:E9"/>
  </mergeCells>
  <printOptions horizontalCentered="1"/>
  <pageMargins left="0.313888888888889" right="0.313888888888889" top="0.629166666666667" bottom="0.629166666666667" header="0.15625" footer="0.15625"/>
  <pageSetup paperSize="9" firstPageNumber="4" orientation="portrait" useFirstPageNumber="1"/>
  <headerFooter/>
  <drawing r:id="rId1"/>
  <legacyDrawing r:id="rId2"/>
  <mc:AlternateContent xmlns:mc="http://schemas.openxmlformats.org/markup-compatibility/2006">
    <mc:Choice Requires="x14">
      <controls>
        <mc:AlternateContent xmlns:mc="http://schemas.openxmlformats.org/markup-compatibility/2006">
          <mc:Choice Requires="x14">
            <control shapeId="26625" name="Check Box 1" r:id="rId3">
              <controlPr defaultSize="0">
                <anchor moveWithCells="1">
                  <from>
                    <xdr:col>4</xdr:col>
                    <xdr:colOff>228600</xdr:colOff>
                    <xdr:row>2</xdr:row>
                    <xdr:rowOff>9525</xdr:rowOff>
                  </from>
                  <to>
                    <xdr:col>4</xdr:col>
                    <xdr:colOff>533400</xdr:colOff>
                    <xdr:row>4</xdr:row>
                    <xdr:rowOff>9525</xdr:rowOff>
                  </to>
                </anchor>
              </controlPr>
            </control>
          </mc:Choice>
        </mc:AlternateContent>
        <mc:AlternateContent xmlns:mc="http://schemas.openxmlformats.org/markup-compatibility/2006">
          <mc:Choice Requires="x14">
            <control shapeId="26626" name="Check Box 2" r:id="rId4">
              <controlPr defaultSize="0">
                <anchor moveWithCells="1">
                  <from>
                    <xdr:col>5</xdr:col>
                    <xdr:colOff>0</xdr:colOff>
                    <xdr:row>2</xdr:row>
                    <xdr:rowOff>9525</xdr:rowOff>
                  </from>
                  <to>
                    <xdr:col>5</xdr:col>
                    <xdr:colOff>304800</xdr:colOff>
                    <xdr:row>4</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C000"/>
  </sheetPr>
  <dimension ref="A1:AC37"/>
  <sheetViews>
    <sheetView view="pageBreakPreview" zoomScale="85" zoomScaleNormal="70" workbookViewId="0">
      <selection activeCell="W8" sqref="W8:X8"/>
    </sheetView>
  </sheetViews>
  <sheetFormatPr defaultColWidth="9" defaultRowHeight="13.5"/>
  <cols>
    <col min="1" max="1" width="2.125" style="413" customWidth="1"/>
    <col min="2" max="2" width="7" style="413" customWidth="1"/>
    <col min="3" max="3" width="2.125" style="413" customWidth="1"/>
    <col min="4" max="4" width="2" style="413" customWidth="1"/>
    <col min="5" max="5" width="2.5" style="413" customWidth="1"/>
    <col min="6" max="6" width="1.875" style="413" customWidth="1"/>
    <col min="7" max="7" width="4.75" style="413" customWidth="1"/>
    <col min="8" max="8" width="10.125" style="413" customWidth="1"/>
    <col min="9" max="9" width="3.75" style="413" customWidth="1"/>
    <col min="10" max="10" width="4.5" style="413" customWidth="1"/>
    <col min="11" max="11" width="2.25" style="413" customWidth="1"/>
    <col min="12" max="12" width="14.375" style="413" customWidth="1"/>
    <col min="13" max="13" width="5.125" style="413" customWidth="1"/>
    <col min="14" max="14" width="11.125" style="413" customWidth="1"/>
    <col min="15" max="15" width="3.125" style="413" customWidth="1"/>
    <col min="16" max="16" width="7.125" style="413" customWidth="1"/>
    <col min="17" max="17" width="12" style="413" hidden="1" customWidth="1"/>
    <col min="18" max="18" width="2" style="413" customWidth="1"/>
    <col min="19" max="19" width="4.375" style="413" customWidth="1"/>
    <col min="20" max="20" width="1.5" style="413" customWidth="1"/>
    <col min="21" max="21" width="5.5" style="413" customWidth="1"/>
    <col min="22" max="22" width="4" style="413" customWidth="1"/>
    <col min="23" max="23" width="11.875" style="413" customWidth="1"/>
    <col min="24" max="24" width="20.5" style="413" customWidth="1"/>
    <col min="25" max="16384" width="9" style="413"/>
  </cols>
  <sheetData>
    <row r="1" ht="22.5" customHeight="1" spans="1:29">
      <c r="A1" s="827" t="s">
        <v>51</v>
      </c>
      <c r="B1" s="828" t="s">
        <v>52</v>
      </c>
      <c r="C1" s="828"/>
      <c r="D1" s="828"/>
      <c r="E1" s="828"/>
      <c r="F1" s="828"/>
      <c r="G1" s="828"/>
      <c r="H1" s="828"/>
      <c r="I1" s="828"/>
      <c r="J1" s="828"/>
      <c r="K1" s="828"/>
      <c r="L1" s="828"/>
      <c r="M1" s="828"/>
      <c r="N1" s="828"/>
      <c r="O1" s="828"/>
      <c r="P1" s="828"/>
      <c r="Q1" s="828"/>
      <c r="R1" s="828"/>
      <c r="S1" s="828"/>
      <c r="T1" s="828"/>
      <c r="U1" s="828"/>
      <c r="V1" s="828"/>
      <c r="W1" s="829"/>
      <c r="X1" s="829"/>
      <c r="Z1" s="830"/>
    </row>
    <row r="2" ht="19.5" spans="1:29">
      <c r="A2" s="831"/>
      <c r="B2" s="832" t="s">
        <v>53</v>
      </c>
      <c r="C2" s="832"/>
      <c r="D2" s="832"/>
      <c r="E2" s="832"/>
      <c r="F2" s="832"/>
      <c r="G2" s="832"/>
      <c r="H2" s="832"/>
      <c r="I2" s="833"/>
      <c r="J2" s="833"/>
      <c r="K2" s="833"/>
      <c r="L2" s="833"/>
      <c r="M2" s="833"/>
      <c r="N2" s="833"/>
      <c r="O2" s="833"/>
      <c r="P2" s="833"/>
      <c r="Q2" s="833"/>
      <c r="R2" s="833"/>
      <c r="S2" s="833"/>
      <c r="T2" s="833"/>
      <c r="U2" s="833"/>
      <c r="V2" s="833"/>
      <c r="W2" s="834"/>
      <c r="X2" s="834"/>
    </row>
    <row r="3" ht="9.75" customHeight="1" spans="1:29">
      <c r="A3" s="831"/>
      <c r="B3" s="835" t="s">
        <v>54</v>
      </c>
      <c r="C3" s="836"/>
      <c r="D3" s="836"/>
      <c r="E3" s="836"/>
      <c r="F3" s="836"/>
      <c r="G3" s="836"/>
      <c r="H3" s="836"/>
      <c r="I3" s="837"/>
      <c r="J3" s="837"/>
      <c r="K3" s="837"/>
      <c r="L3" s="837"/>
      <c r="M3" s="837"/>
      <c r="N3" s="837"/>
      <c r="O3" s="838"/>
      <c r="P3" s="839" t="s">
        <v>56</v>
      </c>
      <c r="Q3" s="837"/>
      <c r="R3" s="837"/>
      <c r="S3" s="837"/>
      <c r="T3" s="837"/>
      <c r="U3" s="838" t="s">
        <v>55</v>
      </c>
      <c r="V3" s="840" t="s">
        <v>57</v>
      </c>
      <c r="W3" s="841"/>
      <c r="X3" s="842"/>
    </row>
    <row r="4" ht="9" customHeight="1" spans="1:29">
      <c r="A4" s="831"/>
      <c r="B4" s="843" t="s">
        <v>58</v>
      </c>
      <c r="C4" s="836"/>
      <c r="D4" s="836"/>
      <c r="E4" s="836"/>
      <c r="F4" s="836"/>
      <c r="G4" s="836"/>
      <c r="H4" s="836"/>
      <c r="I4" s="837"/>
      <c r="J4" s="837"/>
      <c r="K4" s="837"/>
      <c r="L4" s="837"/>
      <c r="M4" s="837"/>
      <c r="N4" s="837"/>
      <c r="O4" s="844"/>
      <c r="P4" s="845" t="s">
        <v>59</v>
      </c>
      <c r="Q4" s="837"/>
      <c r="R4" s="837"/>
      <c r="S4" s="837"/>
      <c r="T4" s="837"/>
      <c r="U4" s="844"/>
      <c r="V4" s="846" t="s">
        <v>60</v>
      </c>
      <c r="W4" s="846"/>
      <c r="X4" s="842"/>
    </row>
    <row r="5" ht="5.25" customHeight="1" spans="1:29">
      <c r="A5" s="831"/>
      <c r="B5" s="410"/>
      <c r="C5" s="416"/>
      <c r="D5" s="416"/>
      <c r="E5" s="416"/>
      <c r="F5" s="416"/>
      <c r="G5" s="416"/>
      <c r="H5" s="416"/>
      <c r="I5" s="414"/>
      <c r="J5" s="414"/>
      <c r="K5" s="414"/>
      <c r="L5" s="414"/>
      <c r="M5" s="414"/>
      <c r="N5" s="414"/>
      <c r="O5" s="847"/>
      <c r="P5" s="410"/>
      <c r="Q5" s="414"/>
      <c r="R5" s="414"/>
      <c r="S5" s="414"/>
      <c r="T5" s="414"/>
      <c r="U5" s="847"/>
      <c r="V5" s="410"/>
      <c r="W5" s="414"/>
      <c r="X5" s="414"/>
    </row>
    <row r="6" ht="30" customHeight="1" spans="1:29">
      <c r="A6" s="831"/>
      <c r="B6" s="848" t="s">
        <v>188</v>
      </c>
      <c r="C6" s="849"/>
      <c r="D6" s="849"/>
      <c r="E6" s="849"/>
      <c r="F6" s="849"/>
      <c r="G6" s="849"/>
      <c r="H6" s="850"/>
      <c r="I6" s="851" t="str">
        <f>'Gen Inb'!I6</f>
        <v>马士基奋进</v>
      </c>
      <c r="J6" s="851"/>
      <c r="K6" s="851"/>
      <c r="L6" s="851"/>
      <c r="M6" s="852" t="str">
        <f>'Gen Inb'!M6:N6</f>
        <v>集装箱轮</v>
      </c>
      <c r="N6" s="853"/>
      <c r="O6" s="854" t="s">
        <v>189</v>
      </c>
      <c r="P6" s="855"/>
      <c r="Q6" s="850"/>
      <c r="R6" s="850"/>
      <c r="S6" s="856" t="str">
        <f>'Gen Inb'!S6</f>
        <v>南沙新港</v>
      </c>
      <c r="T6" s="856"/>
      <c r="U6" s="857"/>
      <c r="V6" s="858" t="s">
        <v>190</v>
      </c>
      <c r="W6" s="859"/>
      <c r="X6" s="860">
        <v>44160</v>
      </c>
    </row>
    <row r="7" ht="30" customHeight="1" spans="1:29">
      <c r="A7" s="831"/>
      <c r="B7" s="861" t="s">
        <v>64</v>
      </c>
      <c r="C7" s="429"/>
      <c r="D7" s="429"/>
      <c r="E7" s="429"/>
      <c r="F7" s="429"/>
      <c r="G7" s="429"/>
      <c r="H7" s="429"/>
      <c r="I7" s="862" t="str">
        <f>'Gen Inb'!I7</f>
        <v>ERASMUS EFFORT</v>
      </c>
      <c r="J7" s="862"/>
      <c r="K7" s="862"/>
      <c r="L7" s="862"/>
      <c r="M7" s="863" t="str">
        <f>'Gen Inb'!M7:N7</f>
        <v>Container</v>
      </c>
      <c r="N7" s="864"/>
      <c r="O7" s="865" t="s">
        <v>65</v>
      </c>
      <c r="P7" s="446"/>
      <c r="Q7" s="446"/>
      <c r="R7" s="446"/>
      <c r="S7" s="866" t="str">
        <f>'Gen Inb'!S7</f>
        <v>NANSHA NEW PORT</v>
      </c>
      <c r="T7" s="866"/>
      <c r="U7" s="867"/>
      <c r="V7" s="865" t="s">
        <v>67</v>
      </c>
      <c r="W7" s="868"/>
      <c r="X7" s="869"/>
    </row>
    <row r="8" ht="39" customHeight="1" spans="1:29">
      <c r="A8" s="831"/>
      <c r="B8" s="870" t="s">
        <v>191</v>
      </c>
      <c r="C8" s="871"/>
      <c r="D8" s="430"/>
      <c r="E8" s="430"/>
      <c r="F8" s="872" t="str">
        <f>'Gen Inb'!F8</f>
        <v>巴拿马</v>
      </c>
      <c r="G8" s="873"/>
      <c r="H8" s="874"/>
      <c r="I8" s="875" t="s">
        <v>192</v>
      </c>
      <c r="J8" s="876"/>
      <c r="K8" s="876"/>
      <c r="L8" s="876"/>
      <c r="M8" s="877" t="str">
        <f>'Crew Outb'!C11&amp;" "&amp;'Crew Outb'!D11</f>
        <v>BINKOVSKY ANDRIY </v>
      </c>
      <c r="N8" s="878"/>
      <c r="O8" s="879" t="s">
        <v>193</v>
      </c>
      <c r="P8" s="880"/>
      <c r="Q8" s="880"/>
      <c r="R8" s="880"/>
      <c r="S8" s="880"/>
      <c r="T8" s="880"/>
      <c r="U8" s="880"/>
      <c r="V8" s="880"/>
      <c r="W8" s="881" t="s">
        <v>71</v>
      </c>
      <c r="X8" s="882"/>
      <c r="AA8" s="413" t="s">
        <v>72</v>
      </c>
      <c r="AC8" s="413" t="s">
        <v>73</v>
      </c>
    </row>
    <row r="9" ht="39" customHeight="1" spans="1:29">
      <c r="A9" s="831"/>
      <c r="B9" s="861" t="s">
        <v>74</v>
      </c>
      <c r="C9" s="429"/>
      <c r="D9" s="429"/>
      <c r="E9" s="429"/>
      <c r="F9" s="883" t="str">
        <f>'Gen Inb'!F9</f>
        <v>PANAMA</v>
      </c>
      <c r="G9" s="884"/>
      <c r="H9" s="885"/>
      <c r="I9" s="886" t="s">
        <v>75</v>
      </c>
      <c r="J9" s="887"/>
      <c r="K9" s="887"/>
      <c r="L9" s="887"/>
      <c r="M9" s="888"/>
      <c r="N9" s="889"/>
      <c r="O9" s="429" t="s">
        <v>76</v>
      </c>
      <c r="P9" s="446"/>
      <c r="Q9" s="446"/>
      <c r="R9" s="446"/>
      <c r="S9" s="446"/>
      <c r="T9" s="446"/>
      <c r="U9" s="446"/>
      <c r="V9" s="446"/>
      <c r="W9" s="890" t="s">
        <v>77</v>
      </c>
      <c r="X9" s="891"/>
      <c r="AA9" s="806" t="s">
        <v>78</v>
      </c>
      <c r="AC9" s="413" t="s">
        <v>79</v>
      </c>
    </row>
    <row r="10" ht="30" customHeight="1" spans="1:29">
      <c r="A10" s="831"/>
      <c r="B10" s="892" t="s">
        <v>194</v>
      </c>
      <c r="C10" s="893"/>
      <c r="D10" s="893"/>
      <c r="E10" s="893"/>
      <c r="F10" s="893"/>
      <c r="G10" s="893"/>
      <c r="H10" s="894"/>
      <c r="I10" s="895" t="str">
        <f>'Gen Inb'!I10</f>
        <v>IMO:1032452</v>
      </c>
      <c r="J10" s="896"/>
      <c r="K10" s="896"/>
      <c r="L10" s="896"/>
      <c r="M10" s="896"/>
      <c r="N10" s="897"/>
      <c r="O10" s="879" t="s">
        <v>195</v>
      </c>
      <c r="P10" s="880"/>
      <c r="Q10" s="880"/>
      <c r="R10" s="880"/>
      <c r="S10" s="880"/>
      <c r="T10" s="880"/>
      <c r="U10" s="880"/>
      <c r="V10" s="880"/>
      <c r="W10" s="880"/>
      <c r="X10" s="898"/>
      <c r="AA10" s="806" t="s">
        <v>82</v>
      </c>
    </row>
    <row r="11" ht="30" customHeight="1" spans="1:29">
      <c r="A11" s="831"/>
      <c r="B11" s="899" t="s">
        <v>196</v>
      </c>
      <c r="C11" s="900"/>
      <c r="D11" s="900"/>
      <c r="E11" s="900"/>
      <c r="F11" s="900"/>
      <c r="G11" s="900"/>
      <c r="H11" s="901"/>
      <c r="I11" s="902"/>
      <c r="J11" s="903"/>
      <c r="K11" s="903"/>
      <c r="L11" s="903"/>
      <c r="M11" s="903"/>
      <c r="N11" s="904"/>
      <c r="O11" s="905" t="s">
        <v>84</v>
      </c>
      <c r="P11" s="906"/>
      <c r="Q11" s="906"/>
      <c r="R11" s="906"/>
      <c r="S11" s="906"/>
      <c r="T11" s="906"/>
      <c r="U11" s="906"/>
      <c r="V11" s="906"/>
      <c r="W11" s="906"/>
      <c r="X11" s="907"/>
      <c r="AA11" s="806" t="s">
        <v>85</v>
      </c>
    </row>
    <row r="12" ht="30" customHeight="1" spans="1:29">
      <c r="A12" s="831"/>
      <c r="B12" s="908" t="s">
        <v>197</v>
      </c>
      <c r="C12" s="435"/>
      <c r="D12" s="435"/>
      <c r="E12" s="909">
        <f>'Gen Inb'!E12</f>
        <v>9562</v>
      </c>
      <c r="F12" s="910"/>
      <c r="G12" s="910"/>
      <c r="H12" s="911"/>
      <c r="I12" s="912" t="s">
        <v>198</v>
      </c>
      <c r="J12" s="913"/>
      <c r="K12" s="430" t="s">
        <v>88</v>
      </c>
      <c r="L12" s="914">
        <f>'Gen Inb'!L12</f>
        <v>4523</v>
      </c>
      <c r="M12" s="915"/>
      <c r="N12" s="916"/>
      <c r="O12" s="917" t="s">
        <v>108</v>
      </c>
      <c r="P12" s="918">
        <f>'Gen Inb'!P12</f>
        <v>0</v>
      </c>
      <c r="Q12" s="918"/>
      <c r="R12" s="918"/>
      <c r="S12" s="918"/>
      <c r="T12" s="918"/>
      <c r="U12" s="918"/>
      <c r="V12" s="919" t="s">
        <v>199</v>
      </c>
      <c r="W12" s="919"/>
      <c r="X12" s="920"/>
      <c r="AA12" s="806" t="s">
        <v>91</v>
      </c>
    </row>
    <row r="13" ht="30" customHeight="1" spans="1:29">
      <c r="A13" s="831"/>
      <c r="B13" s="861" t="s">
        <v>92</v>
      </c>
      <c r="C13" s="429"/>
      <c r="D13" s="429"/>
      <c r="E13" s="921"/>
      <c r="F13" s="921"/>
      <c r="G13" s="921"/>
      <c r="H13" s="922"/>
      <c r="I13" s="886" t="s">
        <v>93</v>
      </c>
      <c r="J13" s="923"/>
      <c r="K13" s="924"/>
      <c r="L13" s="925"/>
      <c r="M13" s="925"/>
      <c r="N13" s="926"/>
      <c r="O13" s="927"/>
      <c r="P13" s="928"/>
      <c r="Q13" s="928"/>
      <c r="R13" s="928"/>
      <c r="S13" s="928"/>
      <c r="T13" s="928"/>
      <c r="U13" s="928"/>
      <c r="V13" s="929"/>
      <c r="W13" s="929"/>
      <c r="X13" s="930"/>
      <c r="AA13" s="806" t="s">
        <v>95</v>
      </c>
    </row>
    <row r="14" ht="30" customHeight="1" spans="1:29">
      <c r="A14" s="831"/>
      <c r="B14" s="931" t="s">
        <v>200</v>
      </c>
      <c r="C14" s="932"/>
      <c r="D14" s="932"/>
      <c r="E14" s="932"/>
      <c r="F14" s="933"/>
      <c r="G14" s="933"/>
      <c r="H14" s="933"/>
      <c r="I14" s="876"/>
      <c r="J14" s="876"/>
      <c r="K14" s="934" t="str">
        <f>'Gen Inb'!K14:N15</f>
        <v>二期W</v>
      </c>
      <c r="L14" s="934"/>
      <c r="M14" s="934"/>
      <c r="N14" s="935"/>
      <c r="O14" s="936"/>
      <c r="P14" s="937" t="str">
        <f>'Gen Inb'!O14</f>
        <v>91440101MA5AQA0F7M</v>
      </c>
      <c r="Q14" s="938"/>
      <c r="R14" s="938"/>
      <c r="S14" s="938"/>
      <c r="T14" s="938"/>
      <c r="U14" s="938"/>
      <c r="V14" s="939">
        <v>18825058579</v>
      </c>
      <c r="W14" s="940"/>
      <c r="X14" s="941"/>
      <c r="AA14" s="806" t="s">
        <v>99</v>
      </c>
    </row>
    <row r="15" ht="30" customHeight="1" spans="1:29">
      <c r="A15" s="831"/>
      <c r="B15" s="899" t="s">
        <v>100</v>
      </c>
      <c r="C15" s="900"/>
      <c r="D15" s="900"/>
      <c r="E15" s="900"/>
      <c r="F15" s="900"/>
      <c r="G15" s="900"/>
      <c r="H15" s="900"/>
      <c r="I15" s="924"/>
      <c r="J15" s="924"/>
      <c r="K15" s="942"/>
      <c r="L15" s="942"/>
      <c r="M15" s="942"/>
      <c r="N15" s="943"/>
      <c r="O15" s="944"/>
      <c r="P15" s="945"/>
      <c r="Q15" s="945"/>
      <c r="R15" s="945"/>
      <c r="S15" s="945"/>
      <c r="T15" s="945"/>
      <c r="U15" s="945"/>
      <c r="V15" s="946"/>
      <c r="W15" s="946"/>
      <c r="X15" s="947"/>
      <c r="AA15" s="806" t="s">
        <v>101</v>
      </c>
    </row>
    <row r="16" ht="15.75" spans="1:29">
      <c r="A16" s="831"/>
      <c r="B16" s="870" t="s">
        <v>201</v>
      </c>
      <c r="C16" s="871"/>
      <c r="D16" s="871"/>
      <c r="E16" s="871"/>
      <c r="F16" s="871"/>
      <c r="G16" s="871"/>
      <c r="H16" s="871"/>
      <c r="I16" s="948"/>
      <c r="J16" s="948"/>
      <c r="K16" s="948"/>
      <c r="L16" s="948"/>
      <c r="M16" s="948"/>
      <c r="N16" s="948"/>
      <c r="O16" s="948"/>
      <c r="P16" s="948"/>
      <c r="Q16" s="948"/>
      <c r="R16" s="948"/>
      <c r="S16" s="948"/>
      <c r="T16" s="948"/>
      <c r="U16" s="948"/>
      <c r="V16" s="948"/>
      <c r="W16" s="948"/>
      <c r="X16" s="949"/>
    </row>
    <row r="17" spans="1:24">
      <c r="A17" s="831"/>
      <c r="B17" s="950" t="s">
        <v>103</v>
      </c>
      <c r="C17" s="430"/>
      <c r="D17" s="430"/>
      <c r="E17" s="430"/>
      <c r="F17" s="430"/>
      <c r="G17" s="430"/>
      <c r="H17" s="430"/>
      <c r="I17" s="948"/>
      <c r="J17" s="948"/>
      <c r="K17" s="948"/>
      <c r="L17" s="948"/>
      <c r="M17" s="948"/>
      <c r="N17" s="948"/>
      <c r="O17" s="948"/>
      <c r="P17" s="948"/>
      <c r="Q17" s="948"/>
      <c r="R17" s="948"/>
      <c r="S17" s="948"/>
      <c r="T17" s="948"/>
      <c r="U17" s="948"/>
      <c r="V17" s="948"/>
      <c r="W17" s="948"/>
      <c r="X17" s="949"/>
    </row>
    <row r="18" ht="30" customHeight="1" spans="1:24">
      <c r="A18" s="831"/>
      <c r="B18" s="951"/>
      <c r="C18" s="952"/>
      <c r="D18" s="953"/>
      <c r="E18" s="953"/>
      <c r="F18" s="953"/>
      <c r="G18" s="954" t="str">
        <f>'Gen Inb'!W8</f>
        <v>胡志明市</v>
      </c>
      <c r="H18" s="954"/>
      <c r="I18" s="954"/>
      <c r="J18" s="954"/>
      <c r="K18" s="955" t="s">
        <v>13</v>
      </c>
      <c r="L18" s="955"/>
      <c r="M18" s="956" t="str">
        <f>S6</f>
        <v>南沙新港</v>
      </c>
      <c r="N18" s="956"/>
      <c r="O18" s="956"/>
      <c r="P18" s="956"/>
      <c r="Q18" s="957"/>
      <c r="R18" s="955" t="s">
        <v>13</v>
      </c>
      <c r="S18" s="955"/>
      <c r="T18" s="958" t="str">
        <f>W8</f>
        <v>胡志明市</v>
      </c>
      <c r="U18" s="958"/>
      <c r="V18" s="958"/>
      <c r="W18" s="958"/>
      <c r="X18" s="959"/>
    </row>
    <row r="19" ht="30" customHeight="1" spans="1:24">
      <c r="A19" s="831"/>
      <c r="B19" s="960" t="str">
        <f>'Gen Inb'!W9</f>
        <v>HO CHI MINH CITY</v>
      </c>
      <c r="C19" s="961"/>
      <c r="D19" s="961"/>
      <c r="E19" s="961"/>
      <c r="F19" s="961"/>
      <c r="G19" s="961" t="str">
        <f>'Gen Inb'!W9</f>
        <v>HO CHI MINH CITY</v>
      </c>
      <c r="H19" s="961"/>
      <c r="I19" s="961"/>
      <c r="J19" s="961"/>
      <c r="K19" s="962"/>
      <c r="L19" s="962"/>
      <c r="M19" s="963" t="str">
        <f>S7</f>
        <v>NANSHA NEW PORT</v>
      </c>
      <c r="N19" s="963"/>
      <c r="O19" s="963"/>
      <c r="P19" s="963"/>
      <c r="Q19" s="964"/>
      <c r="R19" s="962"/>
      <c r="S19" s="962"/>
      <c r="T19" s="965" t="str">
        <f>W9</f>
        <v>HO CHI MINH CITY</v>
      </c>
      <c r="U19" s="965"/>
      <c r="V19" s="965"/>
      <c r="W19" s="965"/>
      <c r="X19" s="966"/>
    </row>
    <row r="20" ht="30.75" customHeight="1" spans="1:24">
      <c r="A20" s="831"/>
      <c r="B20" s="967" t="s">
        <v>104</v>
      </c>
      <c r="C20" s="968"/>
      <c r="D20" s="968"/>
      <c r="E20" s="968"/>
      <c r="F20" s="968"/>
      <c r="G20" s="968"/>
      <c r="H20" s="968"/>
      <c r="I20" s="969"/>
      <c r="J20" s="969"/>
      <c r="K20" s="969"/>
      <c r="L20" s="969"/>
      <c r="M20" s="969"/>
      <c r="N20" s="969"/>
      <c r="O20" s="969"/>
      <c r="P20" s="969"/>
      <c r="Q20" s="969"/>
      <c r="R20" s="969"/>
      <c r="S20" s="969"/>
      <c r="T20" s="969"/>
      <c r="U20" s="969"/>
      <c r="V20" s="969"/>
      <c r="W20" s="969"/>
      <c r="X20" s="970"/>
    </row>
    <row r="21" ht="30.75" customHeight="1" spans="1:24">
      <c r="A21" s="831"/>
      <c r="B21" s="870" t="s">
        <v>105</v>
      </c>
      <c r="C21" s="871"/>
      <c r="D21" s="871"/>
      <c r="E21" s="871"/>
      <c r="F21" s="871"/>
      <c r="G21" s="871"/>
      <c r="H21" s="871"/>
      <c r="I21" s="948"/>
      <c r="J21" s="971" t="s">
        <v>106</v>
      </c>
      <c r="K21" s="972"/>
      <c r="L21" s="973">
        <f>W22+W23</f>
        <v>17396.5</v>
      </c>
      <c r="M21" s="973">
        <f>IF(AND(W22=0,W23=0),"NIL",W22+W23)</f>
        <v>17396.5</v>
      </c>
      <c r="N21" s="973"/>
      <c r="O21" s="974" t="s">
        <v>107</v>
      </c>
      <c r="P21" s="975" t="s">
        <v>108</v>
      </c>
      <c r="Q21" s="975"/>
      <c r="R21" s="975"/>
      <c r="S21" s="975"/>
      <c r="T21" s="975"/>
      <c r="U21" s="975"/>
      <c r="V21" s="975"/>
      <c r="W21" s="975"/>
      <c r="X21" s="976"/>
    </row>
    <row r="22" ht="30.75" customHeight="1" spans="1:24">
      <c r="A22" s="831"/>
      <c r="B22" s="977"/>
      <c r="C22" s="978"/>
      <c r="D22" s="979"/>
      <c r="E22" s="980" t="s">
        <v>202</v>
      </c>
      <c r="F22" s="981" t="str">
        <f>IF('Cstm Outb'!D8+'Cstm Outb'!E8=0,"NIL","20F×"&amp;'Cstm Outb'!D8&amp;", 40F×"&amp;'Cstm Outb'!E8&amp;", 20E×"&amp;'Cstm Outb'!H10&amp;", 40E×"&amp;'Cstm Outb'!I10)</f>
        <v>NIL</v>
      </c>
      <c r="G22" s="981"/>
      <c r="H22" s="981"/>
      <c r="I22" s="981"/>
      <c r="J22" s="981"/>
      <c r="K22" s="981"/>
      <c r="L22" s="981"/>
      <c r="M22" s="981"/>
      <c r="N22" s="981"/>
      <c r="O22" s="981"/>
      <c r="P22" s="982" t="s">
        <v>110</v>
      </c>
      <c r="Q22" s="983"/>
      <c r="R22" s="984">
        <f>'Cstm Outb'!D8+'Cstm Outb'!E8*2</f>
        <v>0</v>
      </c>
      <c r="S22" s="984"/>
      <c r="T22" s="985" t="s">
        <v>111</v>
      </c>
      <c r="U22" s="985"/>
      <c r="V22" s="986" t="s">
        <v>112</v>
      </c>
      <c r="W22" s="987">
        <v>8256.5</v>
      </c>
      <c r="X22" s="988" t="s">
        <v>113</v>
      </c>
    </row>
    <row r="23" ht="30.75" customHeight="1" spans="1:24">
      <c r="A23" s="831"/>
      <c r="B23" s="977"/>
      <c r="C23" s="978"/>
      <c r="D23" s="989"/>
      <c r="E23" s="990" t="s">
        <v>114</v>
      </c>
      <c r="F23" s="991" t="str">
        <f>'Gen Inb'!F23</f>
        <v>20F×133, 40F×324</v>
      </c>
      <c r="G23" s="991"/>
      <c r="H23" s="991"/>
      <c r="I23" s="991"/>
      <c r="J23" s="991"/>
      <c r="K23" s="991"/>
      <c r="L23" s="991"/>
      <c r="M23" s="991"/>
      <c r="N23" s="991"/>
      <c r="O23" s="991"/>
      <c r="P23" s="992" t="s">
        <v>110</v>
      </c>
      <c r="Q23" s="993"/>
      <c r="R23" s="994">
        <f>'Gen Inb'!R23</f>
        <v>781</v>
      </c>
      <c r="S23" s="994"/>
      <c r="T23" s="995" t="s">
        <v>111</v>
      </c>
      <c r="U23" s="995"/>
      <c r="V23" s="989" t="s">
        <v>112</v>
      </c>
      <c r="W23" s="996">
        <f>'Gen Inb'!W23</f>
        <v>9140</v>
      </c>
      <c r="X23" s="997" t="s">
        <v>113</v>
      </c>
    </row>
    <row r="24" ht="30" customHeight="1" spans="1:24">
      <c r="A24" s="831"/>
      <c r="B24" s="998" t="s">
        <v>203</v>
      </c>
      <c r="C24" s="435"/>
      <c r="D24" s="435"/>
      <c r="E24" s="435"/>
      <c r="F24" s="435"/>
      <c r="G24" s="435"/>
      <c r="H24" s="999">
        <v>17</v>
      </c>
      <c r="I24" s="435" t="s">
        <v>204</v>
      </c>
      <c r="J24" s="880"/>
      <c r="K24" s="435"/>
      <c r="L24" s="880"/>
      <c r="M24" s="880"/>
      <c r="N24" s="1000" t="str">
        <f>'Gen Inb'!N24</f>
        <v>nil</v>
      </c>
      <c r="O24" s="1001" t="s">
        <v>118</v>
      </c>
      <c r="P24" s="1002"/>
      <c r="Q24" s="1003"/>
      <c r="R24" s="1004" t="s">
        <v>119</v>
      </c>
      <c r="S24" s="1004"/>
      <c r="T24" s="1004"/>
      <c r="U24" s="1004"/>
      <c r="V24" s="1005"/>
      <c r="W24" s="1006" t="s">
        <v>120</v>
      </c>
      <c r="X24" s="1007"/>
    </row>
    <row r="25" ht="30" customHeight="1" spans="1:24">
      <c r="A25" s="831"/>
      <c r="B25" s="861" t="s">
        <v>121</v>
      </c>
      <c r="C25" s="429"/>
      <c r="D25" s="429"/>
      <c r="E25" s="429"/>
      <c r="F25" s="429"/>
      <c r="G25" s="429"/>
      <c r="H25" s="1008"/>
      <c r="I25" s="429" t="s">
        <v>122</v>
      </c>
      <c r="J25" s="446"/>
      <c r="K25" s="429"/>
      <c r="L25" s="446"/>
      <c r="M25" s="446"/>
      <c r="N25" s="1009"/>
      <c r="O25" s="1010" t="s">
        <v>123</v>
      </c>
      <c r="P25" s="1011"/>
      <c r="Q25" s="1012"/>
      <c r="R25" s="1013" t="s">
        <v>124</v>
      </c>
      <c r="S25" s="1013"/>
      <c r="T25" s="1013"/>
      <c r="U25" s="1013"/>
      <c r="V25" s="1014"/>
      <c r="W25" s="1015" t="s">
        <v>205</v>
      </c>
      <c r="X25" s="1016"/>
    </row>
    <row r="26" ht="30" customHeight="1" spans="1:24">
      <c r="A26" s="831"/>
      <c r="B26" s="1017" t="s">
        <v>206</v>
      </c>
      <c r="C26" s="1018"/>
      <c r="D26" s="1018"/>
      <c r="E26" s="1018"/>
      <c r="F26" s="1018"/>
      <c r="G26" s="1018"/>
      <c r="H26" s="1018"/>
      <c r="I26" s="464"/>
      <c r="J26" s="464"/>
      <c r="K26" s="1018"/>
      <c r="L26" s="1018"/>
      <c r="M26" s="1018"/>
      <c r="N26" s="1019"/>
      <c r="O26" s="1020" t="s">
        <v>128</v>
      </c>
      <c r="P26" s="1021"/>
      <c r="Q26" s="876"/>
      <c r="R26" s="1013" t="s">
        <v>207</v>
      </c>
      <c r="S26" s="1013"/>
      <c r="T26" s="1013"/>
      <c r="U26" s="1013"/>
      <c r="V26" s="1014"/>
      <c r="W26" s="1015" t="s">
        <v>208</v>
      </c>
      <c r="X26" s="1016"/>
    </row>
    <row r="27" ht="30" customHeight="1" spans="1:24">
      <c r="A27" s="831"/>
      <c r="B27" s="1022" t="s">
        <v>130</v>
      </c>
      <c r="C27" s="463"/>
      <c r="D27" s="463"/>
      <c r="E27" s="463"/>
      <c r="F27" s="463"/>
      <c r="G27" s="463"/>
      <c r="H27" s="463"/>
      <c r="I27" s="1023"/>
      <c r="J27" s="1023"/>
      <c r="K27" s="1023"/>
      <c r="L27" s="1023"/>
      <c r="M27" s="1023"/>
      <c r="N27" s="1024"/>
      <c r="O27" s="1025" t="s">
        <v>131</v>
      </c>
      <c r="P27" s="1021"/>
      <c r="Q27" s="876"/>
      <c r="R27" s="1013">
        <v>305060000</v>
      </c>
      <c r="S27" s="1013"/>
      <c r="T27" s="1013"/>
      <c r="U27" s="1013"/>
      <c r="V27" s="1014"/>
      <c r="W27" s="1015" t="s">
        <v>209</v>
      </c>
      <c r="X27" s="1016"/>
    </row>
    <row r="28" ht="30" customHeight="1" spans="1:24">
      <c r="A28" s="831"/>
      <c r="B28" s="950" t="s">
        <v>210</v>
      </c>
      <c r="C28" s="430"/>
      <c r="D28" s="430"/>
      <c r="E28" s="430"/>
      <c r="F28" s="430"/>
      <c r="G28" s="430"/>
      <c r="H28" s="1026"/>
      <c r="I28" s="430" t="s">
        <v>211</v>
      </c>
      <c r="J28" s="438"/>
      <c r="K28" s="438"/>
      <c r="L28" s="438"/>
      <c r="M28" s="438"/>
      <c r="N28" s="1027"/>
      <c r="O28" s="1020" t="s">
        <v>135</v>
      </c>
      <c r="P28" s="1028"/>
      <c r="Q28" s="1029"/>
      <c r="R28" s="958" t="s">
        <v>212</v>
      </c>
      <c r="S28" s="1013"/>
      <c r="T28" s="1013"/>
      <c r="U28" s="1013"/>
      <c r="V28" s="1014"/>
      <c r="W28" s="1015"/>
      <c r="X28" s="1016"/>
    </row>
    <row r="29" ht="30" customHeight="1" spans="1:24">
      <c r="A29" s="831"/>
      <c r="B29" s="861" t="s">
        <v>138</v>
      </c>
      <c r="C29" s="429"/>
      <c r="D29" s="429"/>
      <c r="E29" s="429"/>
      <c r="F29" s="429"/>
      <c r="G29" s="429"/>
      <c r="H29" s="1026"/>
      <c r="I29" s="472" t="s">
        <v>139</v>
      </c>
      <c r="J29" s="446"/>
      <c r="K29" s="446"/>
      <c r="L29" s="446"/>
      <c r="M29" s="446"/>
      <c r="N29" s="1027"/>
      <c r="O29" s="1030" t="s">
        <v>140</v>
      </c>
      <c r="P29" s="1031"/>
      <c r="Q29" s="1031"/>
      <c r="R29" s="1032" t="s">
        <v>213</v>
      </c>
      <c r="S29" s="1032"/>
      <c r="T29" s="1032"/>
      <c r="U29" s="1032"/>
      <c r="V29" s="1033"/>
      <c r="W29" s="1034"/>
      <c r="X29" s="1035"/>
    </row>
    <row r="30" ht="30" customHeight="1" spans="1:24">
      <c r="A30" s="831"/>
      <c r="B30" s="950" t="s">
        <v>214</v>
      </c>
      <c r="C30" s="430"/>
      <c r="D30" s="430"/>
      <c r="E30" s="430"/>
      <c r="F30" s="430"/>
      <c r="G30" s="430"/>
      <c r="H30" s="1036">
        <v>1</v>
      </c>
      <c r="I30" s="430" t="s">
        <v>215</v>
      </c>
      <c r="J30" s="438"/>
      <c r="K30" s="438"/>
      <c r="L30" s="438"/>
      <c r="M30" s="438"/>
      <c r="N30" s="1037" t="s">
        <v>145</v>
      </c>
      <c r="O30" s="435" t="s">
        <v>146</v>
      </c>
      <c r="P30" s="435"/>
      <c r="Q30" s="435"/>
      <c r="R30" s="435"/>
      <c r="S30" s="435"/>
      <c r="T30" s="435"/>
      <c r="U30" s="435"/>
      <c r="V30" s="435"/>
      <c r="W30" s="435"/>
      <c r="X30" s="1038"/>
    </row>
    <row r="31" ht="30" customHeight="1" spans="1:24">
      <c r="A31" s="831"/>
      <c r="B31" s="861" t="s">
        <v>147</v>
      </c>
      <c r="C31" s="429"/>
      <c r="D31" s="429"/>
      <c r="E31" s="429"/>
      <c r="F31" s="429"/>
      <c r="G31" s="429"/>
      <c r="H31" s="1039"/>
      <c r="I31" s="429" t="s">
        <v>148</v>
      </c>
      <c r="J31" s="446"/>
      <c r="K31" s="446"/>
      <c r="L31" s="446"/>
      <c r="M31" s="446"/>
      <c r="N31" s="1037"/>
      <c r="O31" s="430" t="s">
        <v>149</v>
      </c>
      <c r="P31" s="438"/>
      <c r="Q31" s="438"/>
      <c r="R31" s="438"/>
      <c r="S31" s="438"/>
      <c r="T31" s="438"/>
      <c r="U31" s="438"/>
      <c r="V31" s="438"/>
      <c r="W31" s="438"/>
      <c r="X31" s="1040"/>
    </row>
    <row r="32" ht="30" customHeight="1" spans="1:24">
      <c r="A32" s="831"/>
      <c r="B32" s="950" t="s">
        <v>216</v>
      </c>
      <c r="C32" s="430"/>
      <c r="D32" s="430"/>
      <c r="E32" s="430"/>
      <c r="F32" s="430"/>
      <c r="G32" s="430"/>
      <c r="H32" s="1026"/>
      <c r="I32" s="430" t="s">
        <v>217</v>
      </c>
      <c r="J32" s="438"/>
      <c r="K32" s="438"/>
      <c r="L32" s="438"/>
      <c r="M32" s="438"/>
      <c r="N32" s="1027"/>
      <c r="O32" s="1041"/>
      <c r="P32"/>
      <c r="Q32"/>
      <c r="R32"/>
      <c r="S32"/>
      <c r="T32"/>
      <c r="U32"/>
      <c r="V32"/>
      <c r="W32"/>
      <c r="X32" s="1042"/>
    </row>
    <row r="33" ht="30" customHeight="1" spans="1:24">
      <c r="A33" s="831"/>
      <c r="B33" s="1043" t="s">
        <v>152</v>
      </c>
      <c r="C33" s="1044"/>
      <c r="D33" s="1044"/>
      <c r="E33" s="1044"/>
      <c r="F33" s="1044"/>
      <c r="G33" s="1044"/>
      <c r="H33" s="1045"/>
      <c r="I33" s="1046" t="s">
        <v>153</v>
      </c>
      <c r="J33" s="1047"/>
      <c r="K33" s="1047"/>
      <c r="L33" s="1047"/>
      <c r="M33" s="1047"/>
      <c r="N33" s="1048"/>
      <c r="O33" s="1049"/>
      <c r="P33" s="1050"/>
      <c r="Q33" s="1050"/>
      <c r="R33" s="1050"/>
      <c r="S33" s="1050"/>
      <c r="T33" s="1050"/>
      <c r="U33" s="1050"/>
      <c r="V33" s="1050"/>
      <c r="W33" s="1050"/>
      <c r="X33" s="1051"/>
    </row>
    <row r="34" ht="11.25" customHeight="1" spans="1:24">
      <c r="A34" s="831"/>
      <c r="B34" s="1052" t="s">
        <v>154</v>
      </c>
      <c r="C34" s="1052"/>
      <c r="D34" s="1052"/>
      <c r="E34" s="1052"/>
      <c r="F34" s="1052"/>
      <c r="G34" s="1052"/>
      <c r="H34" s="1052"/>
      <c r="I34" s="1052"/>
      <c r="J34" s="1053"/>
      <c r="K34" s="1054"/>
      <c r="L34" s="1054"/>
      <c r="M34" s="1054"/>
      <c r="N34" s="1054"/>
      <c r="O34" s="1054"/>
      <c r="P34" s="1054"/>
      <c r="Q34" s="1054"/>
      <c r="R34" s="1054"/>
      <c r="S34" s="1054"/>
      <c r="T34" s="1054"/>
      <c r="U34" s="1054"/>
      <c r="V34" s="1054"/>
      <c r="W34" s="1054"/>
      <c r="X34" s="1054"/>
    </row>
    <row r="35" ht="11.25" customHeight="1" spans="1:24">
      <c r="A35" s="831"/>
      <c r="B35" s="416" t="s">
        <v>155</v>
      </c>
      <c r="C35" s="416"/>
      <c r="D35" s="416"/>
      <c r="E35" s="416"/>
      <c r="F35" s="416"/>
      <c r="G35" s="416"/>
      <c r="H35" s="416"/>
      <c r="I35" s="414"/>
      <c r="J35" s="414"/>
      <c r="K35" s="822"/>
      <c r="L35" s="822"/>
      <c r="M35" s="822"/>
      <c r="N35" s="822"/>
      <c r="O35" s="822"/>
      <c r="P35" s="822"/>
      <c r="Q35" s="822"/>
      <c r="R35" s="822"/>
      <c r="S35" s="822"/>
      <c r="T35" s="822"/>
      <c r="U35" s="822"/>
      <c r="V35" s="1055"/>
      <c r="W35" s="1056"/>
      <c r="X35" s="1056"/>
    </row>
    <row r="36" ht="11.25" customHeight="1" spans="1:24">
      <c r="A36" s="1057"/>
      <c r="B36" s="410"/>
      <c r="C36" s="410"/>
      <c r="D36" s="410"/>
      <c r="E36" s="410"/>
      <c r="F36" s="410"/>
      <c r="G36" s="410"/>
      <c r="H36" s="822"/>
      <c r="I36" s="822"/>
      <c r="J36" s="822"/>
      <c r="K36" s="822"/>
      <c r="L36" s="822"/>
      <c r="M36" s="822"/>
      <c r="N36" s="822"/>
      <c r="O36" s="822"/>
      <c r="P36" s="822" t="s">
        <v>108</v>
      </c>
      <c r="Q36" s="822"/>
      <c r="R36" s="822"/>
      <c r="S36" s="822"/>
      <c r="T36" s="822"/>
      <c r="U36" s="822"/>
      <c r="V36" s="822"/>
      <c r="W36" s="822"/>
      <c r="X36" s="822"/>
    </row>
    <row r="37" ht="11.25" customHeight="1" spans="1:24">
      <c r="A37" s="1057"/>
      <c r="B37" s="410"/>
      <c r="C37" s="410"/>
      <c r="D37" s="410"/>
      <c r="E37" s="410"/>
      <c r="F37" s="410"/>
      <c r="G37" s="410"/>
      <c r="H37" s="822"/>
      <c r="I37" s="822"/>
      <c r="J37" s="822"/>
      <c r="K37" s="822"/>
      <c r="L37" s="822"/>
      <c r="M37" s="822"/>
      <c r="N37" s="822"/>
      <c r="O37" s="822"/>
      <c r="P37" s="822"/>
      <c r="Q37" s="822"/>
      <c r="R37" s="822"/>
      <c r="S37" s="822"/>
      <c r="T37" s="822"/>
      <c r="U37" s="822"/>
      <c r="V37" s="822"/>
      <c r="W37" s="822"/>
      <c r="X37" s="822"/>
    </row>
  </sheetData>
  <mergeCells count="71">
    <mergeCell ref="B1:X1"/>
    <mergeCell ref="B2:X2"/>
    <mergeCell ref="V3:W3"/>
    <mergeCell ref="V4:W4"/>
    <mergeCell ref="I6:L6"/>
    <mergeCell ref="M6:N6"/>
    <mergeCell ref="S6:U6"/>
    <mergeCell ref="V6:W6"/>
    <mergeCell ref="I7:L7"/>
    <mergeCell ref="M7:N7"/>
    <mergeCell ref="S7:U7"/>
    <mergeCell ref="F8:H8"/>
    <mergeCell ref="I8:L8"/>
    <mergeCell ref="W8:X8"/>
    <mergeCell ref="F9:H9"/>
    <mergeCell ref="I9:L9"/>
    <mergeCell ref="W9:X9"/>
    <mergeCell ref="B10:H10"/>
    <mergeCell ref="I10:N10"/>
    <mergeCell ref="I11:N11"/>
    <mergeCell ref="I12:J12"/>
    <mergeCell ref="I13:K13"/>
    <mergeCell ref="B16:X16"/>
    <mergeCell ref="B17:X17"/>
    <mergeCell ref="G18:J18"/>
    <mergeCell ref="M18:P18"/>
    <mergeCell ref="T18:W18"/>
    <mergeCell ref="B19:J19"/>
    <mergeCell ref="M19:P19"/>
    <mergeCell ref="L21:N21"/>
    <mergeCell ref="F22:O22"/>
    <mergeCell ref="R22:S22"/>
    <mergeCell ref="T22:U22"/>
    <mergeCell ref="F23:O23"/>
    <mergeCell ref="R23:S23"/>
    <mergeCell ref="T23:U23"/>
    <mergeCell ref="R24:V24"/>
    <mergeCell ref="W24:X24"/>
    <mergeCell ref="O25:P25"/>
    <mergeCell ref="R25:V25"/>
    <mergeCell ref="B26:N26"/>
    <mergeCell ref="R26:V26"/>
    <mergeCell ref="B27:N27"/>
    <mergeCell ref="R27:V27"/>
    <mergeCell ref="R28:V28"/>
    <mergeCell ref="O29:Q29"/>
    <mergeCell ref="R29:V29"/>
    <mergeCell ref="O30:X30"/>
    <mergeCell ref="O31:X31"/>
    <mergeCell ref="A1:A37"/>
    <mergeCell ref="H24:H25"/>
    <mergeCell ref="H28:H29"/>
    <mergeCell ref="H30:H31"/>
    <mergeCell ref="H32:H33"/>
    <mergeCell ref="N24:N25"/>
    <mergeCell ref="N28:N29"/>
    <mergeCell ref="N30:N31"/>
    <mergeCell ref="N32:N33"/>
    <mergeCell ref="O3:O4"/>
    <mergeCell ref="U3:U4"/>
    <mergeCell ref="K18:L19"/>
    <mergeCell ref="R18:S19"/>
    <mergeCell ref="K14:N15"/>
    <mergeCell ref="V14:X15"/>
    <mergeCell ref="V12:X13"/>
    <mergeCell ref="L12:N13"/>
    <mergeCell ref="P12:U13"/>
    <mergeCell ref="E12:H13"/>
    <mergeCell ref="O32:X33"/>
    <mergeCell ref="M8:N9"/>
    <mergeCell ref="P14:U15"/>
  </mergeCells>
  <conditionalFormatting sqref="F23:O23 R23:S23 W23">
    <cfRule type="cellIs" dxfId="1" priority="1" operator="equal">
      <formula>0</formula>
    </cfRule>
  </conditionalFormatting>
  <pageMargins left="0.826388888888889" right="0.235416666666667" top="0.747916666666667" bottom="0.747916666666667" header="0.313888888888889" footer="0.313888888888889"/>
  <pageSetup paperSize="9" scale="65" firstPageNumber="6" orientation="portrait" useFirstPageNumber="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J444"/>
  <sheetViews>
    <sheetView view="pageBreakPreview" zoomScaleNormal="100" workbookViewId="0">
      <selection activeCell="F23" sqref="F23"/>
    </sheetView>
  </sheetViews>
  <sheetFormatPr defaultColWidth="9" defaultRowHeight="13.5"/>
  <cols>
    <col min="1" max="1" width="2.625" style="413" customWidth="1"/>
    <col min="2" max="2" width="15" style="413" customWidth="1"/>
    <col min="3" max="3" width="12.5" style="413" customWidth="1"/>
    <col min="4" max="4" width="12.875" style="413" customWidth="1"/>
    <col min="5" max="5" width="15.125" style="413" customWidth="1"/>
    <col min="6" max="6" width="22.5" style="413" customWidth="1"/>
    <col min="7" max="7" width="13.75" style="413" customWidth="1"/>
    <col min="8" max="16384" width="9" style="248"/>
  </cols>
  <sheetData>
    <row r="1" s="413" customFormat="1" ht="23.25" customHeight="1" spans="1:10">
      <c r="A1" s="759" t="s">
        <v>51</v>
      </c>
      <c r="B1" s="760" t="s">
        <v>156</v>
      </c>
      <c r="C1" s="760"/>
      <c r="D1" s="760"/>
      <c r="E1" s="760"/>
      <c r="F1" s="760"/>
      <c r="G1" s="761"/>
    </row>
    <row r="2" s="413" customFormat="1" ht="15" customHeight="1" spans="1:10">
      <c r="A2" s="759"/>
      <c r="B2" s="762" t="s">
        <v>157</v>
      </c>
      <c r="C2" s="762"/>
      <c r="D2" s="762"/>
      <c r="E2" s="762"/>
      <c r="F2" s="762"/>
      <c r="G2" s="763" t="s">
        <v>158</v>
      </c>
    </row>
    <row r="3" s="413" customFormat="1" customHeight="1" spans="1:10">
      <c r="A3" s="759"/>
      <c r="B3" s="764" t="s">
        <v>159</v>
      </c>
      <c r="C3" s="765"/>
      <c r="D3" s="765"/>
      <c r="E3" s="766" t="s">
        <v>56</v>
      </c>
      <c r="F3" s="767" t="s">
        <v>160</v>
      </c>
      <c r="G3" s="768" t="s">
        <v>161</v>
      </c>
    </row>
    <row r="4" s="413" customFormat="1" ht="12" customHeight="1" spans="1:10">
      <c r="A4" s="759"/>
      <c r="B4" s="769" t="s">
        <v>162</v>
      </c>
      <c r="C4" s="761"/>
      <c r="D4" s="761"/>
      <c r="E4" s="770" t="s">
        <v>163</v>
      </c>
      <c r="F4" s="771" t="s">
        <v>164</v>
      </c>
      <c r="G4" s="772" t="s">
        <v>165</v>
      </c>
    </row>
    <row r="5" s="413" customFormat="1" ht="3.75" customHeight="1" spans="1:10">
      <c r="A5" s="759"/>
      <c r="B5" s="769"/>
      <c r="C5" s="761"/>
      <c r="D5" s="761"/>
      <c r="E5" s="770"/>
      <c r="F5" s="771"/>
      <c r="G5" s="773"/>
    </row>
    <row r="6" s="443" customFormat="1" customHeight="1" spans="1:10">
      <c r="A6" s="759"/>
      <c r="B6" s="774" t="s">
        <v>166</v>
      </c>
      <c r="C6" s="775" t="str">
        <f>'Gen Inb'!I6</f>
        <v>马士基奋进</v>
      </c>
      <c r="D6" s="776"/>
      <c r="E6" s="777"/>
      <c r="F6" s="778" t="s">
        <v>167</v>
      </c>
      <c r="G6" s="779" t="str">
        <f>'Gen Outb'!S6</f>
        <v>南沙新港</v>
      </c>
    </row>
    <row r="7" s="443" customFormat="1" customHeight="1" spans="1:10">
      <c r="A7" s="759"/>
      <c r="B7" s="780" t="s">
        <v>168</v>
      </c>
      <c r="C7" s="781" t="str">
        <f>'Gen Inb'!I7</f>
        <v>ERASMUS EFFORT</v>
      </c>
      <c r="D7" s="782"/>
      <c r="E7" s="783"/>
      <c r="F7" s="784" t="s">
        <v>169</v>
      </c>
      <c r="G7" s="785" t="str">
        <f>'Gen Outb'!S7</f>
        <v>NANSHA NEW PORT</v>
      </c>
    </row>
    <row r="8" s="443" customFormat="1" customHeight="1" spans="1:10">
      <c r="A8" s="759"/>
      <c r="B8" s="774" t="s">
        <v>170</v>
      </c>
      <c r="C8" s="786" t="str">
        <f>'Gen Outb'!F8</f>
        <v>巴拿马</v>
      </c>
      <c r="D8" s="787" t="s">
        <v>171</v>
      </c>
      <c r="E8" s="788" t="str">
        <f>'Gen Inb'!M8</f>
        <v>李继祥</v>
      </c>
      <c r="F8" s="778" t="s">
        <v>172</v>
      </c>
      <c r="G8" s="789" t="str">
        <f>'Gen Outb'!S6</f>
        <v>南沙新港</v>
      </c>
    </row>
    <row r="9" s="443" customFormat="1" customHeight="1" spans="1:10">
      <c r="A9" s="759"/>
      <c r="B9" s="790" t="s">
        <v>173</v>
      </c>
      <c r="C9" s="791" t="str">
        <f>'Gen Outb'!F9</f>
        <v>PANAMA</v>
      </c>
      <c r="D9" s="784" t="s">
        <v>174</v>
      </c>
      <c r="E9" s="792"/>
      <c r="F9" s="793" t="s">
        <v>175</v>
      </c>
      <c r="G9" s="794" t="str">
        <f>'Gen Outb'!S7</f>
        <v>NANSHA NEW PORT</v>
      </c>
    </row>
    <row r="10" s="443" customFormat="1" customHeight="1" spans="1:10">
      <c r="A10" s="759"/>
      <c r="B10" s="795" t="s">
        <v>176</v>
      </c>
      <c r="C10" s="777" t="s">
        <v>177</v>
      </c>
      <c r="D10" s="796"/>
      <c r="E10" s="777"/>
      <c r="F10" s="774" t="s">
        <v>178</v>
      </c>
      <c r="G10" s="795" t="s">
        <v>179</v>
      </c>
    </row>
    <row r="11" s="427" customFormat="1" customHeight="1" spans="1:10">
      <c r="A11" s="759"/>
      <c r="B11" s="797" t="s">
        <v>180</v>
      </c>
      <c r="C11" s="798" t="s">
        <v>181</v>
      </c>
      <c r="D11" s="798"/>
      <c r="E11" s="798"/>
      <c r="F11" s="799" t="s">
        <v>182</v>
      </c>
      <c r="G11" s="800" t="s">
        <v>183</v>
      </c>
    </row>
    <row r="12" s="413" customFormat="1" ht="23.45" customHeight="1" spans="1:10">
      <c r="A12" s="759"/>
      <c r="B12" s="801"/>
      <c r="C12" s="802"/>
      <c r="D12" s="802"/>
      <c r="E12" s="802"/>
      <c r="F12" s="801"/>
      <c r="G12" s="801"/>
    </row>
    <row r="13" s="413" customFormat="1" ht="23.45" customHeight="1" spans="1:10">
      <c r="A13" s="759"/>
      <c r="B13" s="801"/>
      <c r="C13" s="802"/>
      <c r="D13" s="802"/>
      <c r="E13" s="802"/>
      <c r="F13" s="801" t="s">
        <v>108</v>
      </c>
      <c r="G13" s="803" t="s">
        <v>108</v>
      </c>
    </row>
    <row r="14" s="413" customFormat="1" ht="23.45" customHeight="1" spans="1:10">
      <c r="A14" s="759"/>
      <c r="B14" s="801"/>
      <c r="C14" s="802"/>
      <c r="D14" s="802"/>
      <c r="E14" s="802"/>
      <c r="F14" s="801"/>
      <c r="G14" s="804" t="s">
        <v>108</v>
      </c>
    </row>
    <row r="15" s="413" customFormat="1" ht="23.45" customHeight="1" spans="1:10">
      <c r="A15" s="759"/>
      <c r="B15" s="801"/>
      <c r="C15" s="802"/>
      <c r="D15" s="805" t="str">
        <f>'Gen Outb'!J21&amp;'Gen Outb'!M21&amp;" "&amp;'Gen Outb'!O21</f>
        <v>总重量：17396.5 吨</v>
      </c>
      <c r="E15" s="802"/>
      <c r="F15" s="801"/>
      <c r="G15" s="801"/>
    </row>
    <row r="16" s="413" customFormat="1" ht="23.45" customHeight="1" spans="1:10">
      <c r="A16" s="759"/>
      <c r="B16" s="801"/>
      <c r="C16" s="802"/>
      <c r="D16" s="802"/>
      <c r="E16" s="802"/>
      <c r="F16" s="801"/>
      <c r="G16" s="801"/>
      <c r="J16" s="806" t="s">
        <v>218</v>
      </c>
    </row>
    <row r="17" s="413" customFormat="1" ht="23.45" customHeight="1" spans="1:7">
      <c r="A17" s="759"/>
      <c r="B17" s="801"/>
      <c r="C17" s="807" t="str">
        <f>'Gen Outb'!E22&amp;'Gen Outb'!F22</f>
        <v>出口柜：NIL</v>
      </c>
      <c r="D17" s="802"/>
      <c r="E17" s="802"/>
      <c r="F17" s="801"/>
      <c r="G17" s="801"/>
    </row>
    <row r="18" s="413" customFormat="1" ht="23.45" customHeight="1" spans="1:7">
      <c r="A18" s="759"/>
      <c r="B18" s="801"/>
      <c r="C18" s="802"/>
      <c r="D18" s="807" t="str">
        <f>'Gen Outb'!P22&amp;'Gen Outb'!R22&amp;" "&amp;'Gen Outb'!T22&amp;'Gen Outb'!V22&amp;'Gen Outb'!W22&amp;" "&amp;'Gen Outb'!X22</f>
        <v>总共：0 TEU，8256.5 吨；</v>
      </c>
      <c r="E18" s="802"/>
      <c r="F18" s="801"/>
      <c r="G18" s="801"/>
    </row>
    <row r="19" s="413" customFormat="1" ht="23.45" customHeight="1" spans="1:7">
      <c r="A19" s="759"/>
      <c r="B19" s="801"/>
      <c r="C19" s="807" t="str">
        <f>'Gen Inb'!E23&amp;'Gen Inb'!F23</f>
        <v>过境柜：20F×133, 40F×324</v>
      </c>
      <c r="D19" s="802"/>
      <c r="E19" s="802"/>
      <c r="F19" s="801"/>
      <c r="G19" s="801"/>
    </row>
    <row r="20" s="413" customFormat="1" ht="23.45" customHeight="1" spans="1:7">
      <c r="A20" s="759"/>
      <c r="B20" s="801"/>
      <c r="C20" s="802"/>
      <c r="D20" s="807" t="str">
        <f>'Gen Inb'!P23&amp;'Gen Inb'!R23&amp;" "&amp;'Gen Inb'!T23&amp;'Gen Inb'!V23&amp;'Gen Inb'!W23&amp;" "&amp;'Gen Inb'!X23</f>
        <v>总共：781 TEU，9140 吨；</v>
      </c>
      <c r="E20" s="802"/>
      <c r="F20" s="801"/>
      <c r="G20" s="801"/>
    </row>
    <row r="21" s="413" customFormat="1" ht="23.45" customHeight="1" spans="1:7">
      <c r="A21" s="759"/>
      <c r="B21" s="801"/>
      <c r="C21" s="802"/>
      <c r="D21" s="802"/>
      <c r="E21" s="802"/>
      <c r="F21" s="801"/>
      <c r="G21" s="801"/>
    </row>
    <row r="22" s="413" customFormat="1" ht="23.45" customHeight="1" spans="1:7">
      <c r="A22" s="759"/>
      <c r="B22" s="801"/>
      <c r="C22" s="802"/>
      <c r="D22" s="802"/>
      <c r="E22" s="802"/>
      <c r="F22" s="801"/>
      <c r="G22" s="801"/>
    </row>
    <row r="23" s="413" customFormat="1" ht="23.45" customHeight="1" spans="1:7">
      <c r="A23" s="759"/>
      <c r="B23" s="801"/>
      <c r="C23" s="802"/>
      <c r="D23" s="802"/>
      <c r="E23" s="802"/>
      <c r="F23" s="801"/>
      <c r="G23" s="801"/>
    </row>
    <row r="24" s="413" customFormat="1" ht="23.45" customHeight="1" spans="1:7">
      <c r="A24" s="759"/>
      <c r="B24" s="801"/>
      <c r="C24" s="802"/>
      <c r="D24" s="802"/>
      <c r="E24" s="802"/>
      <c r="F24" s="801"/>
      <c r="G24" s="801"/>
    </row>
    <row r="25" s="413" customFormat="1" ht="23.45" customHeight="1" spans="1:7">
      <c r="A25" s="759"/>
      <c r="B25" s="801"/>
      <c r="C25" s="802"/>
      <c r="D25" s="802"/>
      <c r="E25" s="802"/>
      <c r="F25" s="801"/>
      <c r="G25" s="801"/>
    </row>
    <row r="26" s="413" customFormat="1" ht="23.45" customHeight="1" spans="1:7">
      <c r="A26" s="759"/>
      <c r="B26" s="808"/>
      <c r="C26" s="809" t="str">
        <f>'Gen Inb'!P12&amp;"："&amp;'Gen Inb'!V12</f>
        <v>：</v>
      </c>
      <c r="D26" s="810"/>
      <c r="E26" s="802"/>
      <c r="F26" s="801"/>
      <c r="G26" s="801"/>
    </row>
    <row r="27" s="413" customFormat="1" ht="23.45" customHeight="1" spans="1:7">
      <c r="A27" s="759"/>
      <c r="B27" s="811"/>
      <c r="C27" s="802"/>
      <c r="D27" s="812">
        <f>'Gen Inb'!V14</f>
        <v>0</v>
      </c>
      <c r="E27" s="802"/>
      <c r="F27" s="801"/>
      <c r="G27" s="801"/>
    </row>
    <row r="28" s="413" customFormat="1" ht="23.45" customHeight="1" spans="1:7">
      <c r="A28" s="759"/>
      <c r="B28" s="801"/>
      <c r="C28" s="802"/>
      <c r="D28" s="802"/>
      <c r="E28" s="802"/>
      <c r="F28" s="801"/>
      <c r="G28" s="801"/>
    </row>
    <row r="29" s="413" customFormat="1" ht="23.45" customHeight="1" spans="1:7">
      <c r="A29" s="759"/>
      <c r="B29" s="801"/>
      <c r="C29" s="802"/>
      <c r="D29" s="802"/>
      <c r="E29" s="802"/>
      <c r="F29" s="801"/>
      <c r="G29" s="801"/>
    </row>
    <row r="30" s="413" customFormat="1" ht="23.45" customHeight="1" spans="1:7">
      <c r="A30" s="759"/>
      <c r="B30" s="813"/>
      <c r="C30" s="814"/>
      <c r="D30" s="814"/>
      <c r="E30" s="814"/>
      <c r="F30" s="813"/>
      <c r="G30" s="813"/>
    </row>
    <row r="31" s="413" customFormat="1" ht="23.45" customHeight="1" spans="1:7">
      <c r="A31" s="759"/>
      <c r="B31" s="813"/>
      <c r="C31" s="814"/>
      <c r="D31" s="814"/>
      <c r="E31" s="814"/>
      <c r="F31" s="813"/>
      <c r="G31" s="813"/>
    </row>
    <row r="32" s="413" customFormat="1" ht="24" customHeight="1" spans="1:7">
      <c r="A32" s="759"/>
      <c r="B32" s="813"/>
      <c r="C32" s="814"/>
      <c r="D32" s="814"/>
      <c r="E32" s="814"/>
      <c r="F32" s="813"/>
      <c r="G32" s="813"/>
    </row>
    <row r="33" s="413" customFormat="1" ht="24.75" customHeight="1" spans="1:7">
      <c r="A33" s="759"/>
      <c r="B33" s="815"/>
      <c r="C33" s="816"/>
      <c r="D33" s="816"/>
      <c r="E33" s="816"/>
      <c r="F33" s="815"/>
      <c r="G33" s="815"/>
    </row>
    <row r="34" s="413" customFormat="1" ht="12" customHeight="1" spans="1:7">
      <c r="A34" s="759"/>
      <c r="B34" s="817" t="s">
        <v>184</v>
      </c>
      <c r="C34" s="818"/>
      <c r="D34" s="818"/>
      <c r="E34" s="818"/>
      <c r="F34" s="818"/>
      <c r="G34" s="818"/>
    </row>
    <row r="35" s="413" customFormat="1" ht="10.5" customHeight="1" spans="1:7">
      <c r="A35" s="759"/>
      <c r="B35" s="819" t="s">
        <v>185</v>
      </c>
      <c r="C35" s="820"/>
      <c r="D35" s="820"/>
      <c r="E35" s="820"/>
    </row>
    <row r="36" s="413" customFormat="1" ht="10.5" customHeight="1" spans="1:7">
      <c r="A36" s="821"/>
      <c r="B36" s="822"/>
      <c r="C36" s="822"/>
      <c r="D36" s="822"/>
      <c r="E36" s="822"/>
    </row>
    <row r="37" customHeight="1" spans="1:7">
      <c r="A37" s="823"/>
      <c r="B37" s="824"/>
      <c r="C37" s="408"/>
      <c r="D37" s="408"/>
      <c r="E37" s="408"/>
      <c r="F37" s="825" t="s">
        <v>186</v>
      </c>
      <c r="G37" s="825"/>
    </row>
    <row r="38" ht="14.25" customHeight="1" spans="1:7">
      <c r="B38" s="408"/>
      <c r="C38" s="408"/>
      <c r="D38" s="408"/>
      <c r="E38" s="408"/>
      <c r="F38" s="826" t="s">
        <v>187</v>
      </c>
      <c r="G38" s="826"/>
    </row>
    <row r="39" spans="1:7">
      <c r="B39" s="408"/>
      <c r="C39" s="408"/>
      <c r="D39" s="408"/>
      <c r="E39" s="408"/>
      <c r="F39" s="408"/>
      <c r="G39" s="408"/>
    </row>
    <row r="40" spans="1:7">
      <c r="B40" s="408"/>
      <c r="C40" s="408"/>
      <c r="D40" s="408"/>
      <c r="E40" s="408"/>
      <c r="F40" s="408"/>
      <c r="G40" s="408"/>
    </row>
    <row r="41" spans="1:7">
      <c r="B41" s="408"/>
      <c r="C41" s="408"/>
      <c r="D41" s="408"/>
      <c r="E41" s="408"/>
      <c r="F41" s="408"/>
      <c r="G41" s="408"/>
    </row>
    <row r="42" spans="1:7">
      <c r="B42" s="408"/>
      <c r="C42" s="408"/>
      <c r="D42" s="408"/>
      <c r="E42" s="408"/>
      <c r="F42" s="408"/>
      <c r="G42" s="408"/>
    </row>
    <row r="43" spans="1:7">
      <c r="B43" s="408"/>
      <c r="C43" s="408"/>
      <c r="D43" s="408"/>
      <c r="E43" s="408"/>
      <c r="F43" s="408"/>
      <c r="G43" s="408"/>
    </row>
    <row r="44" spans="1:7">
      <c r="B44" s="408"/>
      <c r="C44" s="408"/>
      <c r="D44" s="408"/>
      <c r="E44" s="408"/>
      <c r="F44" s="408"/>
      <c r="G44" s="408"/>
    </row>
    <row r="45" spans="1:7">
      <c r="B45" s="408"/>
      <c r="C45" s="408"/>
      <c r="D45" s="408"/>
      <c r="E45" s="408"/>
      <c r="F45" s="408"/>
      <c r="G45" s="408"/>
    </row>
    <row r="46" spans="1:7">
      <c r="B46" s="408"/>
      <c r="C46" s="408"/>
      <c r="D46" s="408"/>
      <c r="E46" s="408"/>
      <c r="F46" s="408"/>
      <c r="G46" s="408"/>
    </row>
    <row r="47" spans="1:7">
      <c r="B47" s="408"/>
      <c r="C47" s="408"/>
      <c r="D47" s="408"/>
      <c r="E47" s="408"/>
      <c r="F47" s="408"/>
      <c r="G47" s="408"/>
    </row>
    <row r="48" spans="1:7">
      <c r="B48" s="408"/>
      <c r="C48" s="408"/>
      <c r="D48" s="408"/>
      <c r="E48" s="408"/>
      <c r="F48" s="408"/>
      <c r="G48" s="408"/>
    </row>
    <row r="49" spans="2:7">
      <c r="B49" s="408"/>
      <c r="C49" s="408"/>
      <c r="D49" s="408"/>
      <c r="E49" s="408"/>
      <c r="F49" s="408"/>
      <c r="G49" s="408"/>
    </row>
    <row r="50" spans="2:7">
      <c r="B50" s="408"/>
      <c r="C50" s="408"/>
      <c r="D50" s="408"/>
      <c r="E50" s="408"/>
      <c r="F50" s="408"/>
      <c r="G50" s="408"/>
    </row>
    <row r="51" spans="2:7">
      <c r="B51" s="408"/>
      <c r="C51" s="408"/>
      <c r="D51" s="408"/>
      <c r="E51" s="408"/>
      <c r="F51" s="408"/>
      <c r="G51" s="408"/>
    </row>
    <row r="52" spans="2:7">
      <c r="B52" s="408"/>
      <c r="C52" s="408"/>
      <c r="D52" s="408"/>
      <c r="E52" s="408"/>
      <c r="F52" s="408"/>
      <c r="G52" s="408"/>
    </row>
    <row r="53" spans="2:7">
      <c r="B53" s="408"/>
      <c r="C53" s="408"/>
      <c r="D53" s="408"/>
      <c r="E53" s="408"/>
      <c r="F53" s="408"/>
      <c r="G53" s="408"/>
    </row>
    <row r="54" spans="2:7">
      <c r="B54" s="408"/>
      <c r="C54" s="408"/>
      <c r="D54" s="408"/>
      <c r="E54" s="408"/>
      <c r="F54" s="408"/>
      <c r="G54" s="408"/>
    </row>
    <row r="55" spans="2:7">
      <c r="B55" s="408"/>
      <c r="C55" s="408"/>
      <c r="D55" s="408"/>
      <c r="E55" s="408"/>
      <c r="F55" s="408"/>
      <c r="G55" s="408"/>
    </row>
    <row r="56" spans="2:7">
      <c r="B56" s="408"/>
      <c r="C56" s="408"/>
      <c r="D56" s="408"/>
      <c r="E56" s="408"/>
      <c r="F56" s="408"/>
      <c r="G56" s="408"/>
    </row>
    <row r="57" spans="2:7">
      <c r="B57" s="408"/>
      <c r="C57" s="408"/>
      <c r="D57" s="408"/>
      <c r="E57" s="408"/>
      <c r="F57" s="408"/>
      <c r="G57" s="408"/>
    </row>
    <row r="58" spans="2:7">
      <c r="B58" s="408"/>
      <c r="C58" s="408"/>
      <c r="D58" s="408"/>
      <c r="E58" s="408"/>
      <c r="F58" s="408"/>
      <c r="G58" s="408"/>
    </row>
    <row r="59" spans="2:7">
      <c r="B59" s="408"/>
      <c r="C59" s="408"/>
      <c r="D59" s="408"/>
      <c r="E59" s="408"/>
      <c r="F59" s="408"/>
      <c r="G59" s="408"/>
    </row>
    <row r="60" spans="2:7">
      <c r="B60" s="408"/>
      <c r="C60" s="408"/>
      <c r="D60" s="408"/>
      <c r="E60" s="408"/>
      <c r="F60" s="408"/>
      <c r="G60" s="408"/>
    </row>
    <row r="61" spans="2:7">
      <c r="B61" s="408"/>
      <c r="C61" s="408"/>
      <c r="D61" s="408"/>
      <c r="E61" s="408"/>
      <c r="F61" s="408"/>
      <c r="G61" s="408"/>
    </row>
    <row r="62" spans="2:7">
      <c r="B62" s="408"/>
      <c r="C62" s="408"/>
      <c r="D62" s="408"/>
      <c r="E62" s="408"/>
      <c r="F62" s="408"/>
      <c r="G62" s="408"/>
    </row>
    <row r="63" spans="2:7">
      <c r="B63" s="408"/>
      <c r="C63" s="408"/>
      <c r="D63" s="408"/>
      <c r="E63" s="408"/>
      <c r="F63" s="408"/>
      <c r="G63" s="408"/>
    </row>
    <row r="64" spans="2:7">
      <c r="B64" s="408"/>
      <c r="C64" s="408"/>
      <c r="D64" s="408"/>
      <c r="E64" s="408"/>
      <c r="F64" s="408"/>
      <c r="G64" s="408"/>
    </row>
    <row r="65" spans="2:7">
      <c r="B65" s="408"/>
      <c r="C65" s="408"/>
      <c r="D65" s="408"/>
      <c r="E65" s="408"/>
      <c r="F65" s="408"/>
      <c r="G65" s="408"/>
    </row>
    <row r="66" spans="2:7">
      <c r="B66" s="408"/>
      <c r="C66" s="408"/>
      <c r="D66" s="408"/>
      <c r="E66" s="408"/>
      <c r="F66" s="408"/>
      <c r="G66" s="408"/>
    </row>
    <row r="67" spans="2:7">
      <c r="B67" s="408"/>
      <c r="C67" s="408"/>
      <c r="D67" s="408"/>
      <c r="E67" s="408"/>
      <c r="F67" s="408"/>
      <c r="G67" s="408"/>
    </row>
    <row r="68" spans="2:7">
      <c r="B68" s="408"/>
      <c r="C68" s="408"/>
      <c r="D68" s="408"/>
      <c r="E68" s="408"/>
      <c r="F68" s="408"/>
      <c r="G68" s="408"/>
    </row>
    <row r="69" spans="2:7">
      <c r="B69" s="408"/>
      <c r="C69" s="408"/>
      <c r="D69" s="408"/>
      <c r="E69" s="408"/>
      <c r="F69" s="408"/>
      <c r="G69" s="408"/>
    </row>
    <row r="70" spans="2:7">
      <c r="B70" s="408"/>
      <c r="C70" s="408"/>
      <c r="D70" s="408"/>
      <c r="E70" s="408"/>
      <c r="F70" s="408"/>
      <c r="G70" s="408"/>
    </row>
    <row r="71" spans="2:7">
      <c r="B71" s="408"/>
      <c r="C71" s="408"/>
      <c r="D71" s="408"/>
      <c r="E71" s="408"/>
      <c r="F71" s="408"/>
      <c r="G71" s="408"/>
    </row>
    <row r="72" spans="2:7">
      <c r="B72" s="408"/>
      <c r="C72" s="408"/>
      <c r="D72" s="408"/>
      <c r="E72" s="408"/>
      <c r="F72" s="408"/>
      <c r="G72" s="408"/>
    </row>
    <row r="73" spans="2:7">
      <c r="B73" s="408"/>
      <c r="C73" s="408"/>
      <c r="D73" s="408"/>
      <c r="E73" s="408"/>
      <c r="F73" s="408"/>
      <c r="G73" s="408"/>
    </row>
    <row r="74" spans="2:7">
      <c r="B74" s="408"/>
      <c r="C74" s="408"/>
      <c r="D74" s="408"/>
      <c r="E74" s="408"/>
      <c r="F74" s="408"/>
      <c r="G74" s="408"/>
    </row>
    <row r="75" spans="2:7">
      <c r="B75" s="408"/>
      <c r="C75" s="408"/>
      <c r="D75" s="408"/>
      <c r="E75" s="408"/>
      <c r="F75" s="408"/>
      <c r="G75" s="408"/>
    </row>
    <row r="76" spans="2:7">
      <c r="B76" s="408"/>
      <c r="C76" s="408"/>
      <c r="D76" s="408"/>
      <c r="E76" s="408"/>
      <c r="F76" s="408"/>
      <c r="G76" s="408"/>
    </row>
    <row r="77" spans="2:7">
      <c r="B77" s="408"/>
      <c r="C77" s="408"/>
      <c r="D77" s="408"/>
      <c r="E77" s="408"/>
      <c r="F77" s="408"/>
      <c r="G77" s="408"/>
    </row>
    <row r="78" spans="2:7">
      <c r="B78" s="408"/>
      <c r="C78" s="408"/>
      <c r="D78" s="408"/>
      <c r="E78" s="408"/>
      <c r="F78" s="408"/>
      <c r="G78" s="408"/>
    </row>
    <row r="79" spans="2:7">
      <c r="B79" s="408"/>
      <c r="C79" s="408"/>
      <c r="D79" s="408"/>
      <c r="E79" s="408"/>
      <c r="F79" s="408"/>
      <c r="G79" s="408"/>
    </row>
    <row r="80" spans="2:7">
      <c r="B80" s="408"/>
      <c r="C80" s="408"/>
      <c r="D80" s="408"/>
      <c r="E80" s="408"/>
      <c r="F80" s="408"/>
      <c r="G80" s="408"/>
    </row>
    <row r="81" spans="2:7">
      <c r="B81" s="408"/>
      <c r="C81" s="408"/>
      <c r="D81" s="408"/>
      <c r="E81" s="408"/>
      <c r="F81" s="408"/>
      <c r="G81" s="408"/>
    </row>
    <row r="82" spans="2:7">
      <c r="B82" s="408"/>
      <c r="C82" s="408"/>
      <c r="D82" s="408"/>
      <c r="E82" s="408"/>
      <c r="F82" s="408"/>
      <c r="G82" s="408"/>
    </row>
    <row r="83" spans="2:7">
      <c r="B83" s="408"/>
      <c r="C83" s="408"/>
      <c r="D83" s="408"/>
      <c r="E83" s="408"/>
      <c r="F83" s="408"/>
      <c r="G83" s="408"/>
    </row>
    <row r="84" spans="2:7">
      <c r="B84" s="408"/>
      <c r="C84" s="408"/>
      <c r="D84" s="408"/>
      <c r="E84" s="408"/>
      <c r="F84" s="408"/>
      <c r="G84" s="408"/>
    </row>
    <row r="85" spans="2:7">
      <c r="B85" s="408"/>
      <c r="C85" s="408"/>
      <c r="D85" s="408"/>
      <c r="E85" s="408"/>
      <c r="F85" s="408"/>
      <c r="G85" s="408"/>
    </row>
    <row r="86" spans="2:7">
      <c r="B86" s="408"/>
      <c r="C86" s="408"/>
      <c r="D86" s="408"/>
      <c r="E86" s="408"/>
      <c r="F86" s="408"/>
      <c r="G86" s="408"/>
    </row>
    <row r="87" spans="2:7">
      <c r="B87" s="408"/>
      <c r="C87" s="408"/>
      <c r="D87" s="408"/>
      <c r="E87" s="408"/>
      <c r="F87" s="408"/>
      <c r="G87" s="408"/>
    </row>
    <row r="88" spans="2:7">
      <c r="B88" s="408"/>
      <c r="C88" s="408"/>
      <c r="D88" s="408"/>
      <c r="E88" s="408"/>
      <c r="F88" s="408"/>
      <c r="G88" s="408"/>
    </row>
    <row r="89" spans="2:7">
      <c r="B89" s="408"/>
      <c r="C89" s="408"/>
      <c r="D89" s="408"/>
      <c r="E89" s="408"/>
      <c r="F89" s="408"/>
      <c r="G89" s="408"/>
    </row>
    <row r="90" spans="2:7">
      <c r="B90" s="408"/>
      <c r="C90" s="408"/>
      <c r="D90" s="408"/>
      <c r="E90" s="408"/>
      <c r="F90" s="408"/>
      <c r="G90" s="408"/>
    </row>
    <row r="91" spans="2:7">
      <c r="B91" s="408"/>
      <c r="C91" s="408"/>
      <c r="D91" s="408"/>
      <c r="E91" s="408"/>
      <c r="F91" s="408"/>
      <c r="G91" s="408"/>
    </row>
    <row r="92" spans="2:7">
      <c r="B92" s="408"/>
      <c r="C92" s="408"/>
      <c r="D92" s="408"/>
      <c r="E92" s="408"/>
      <c r="F92" s="408"/>
      <c r="G92" s="408"/>
    </row>
    <row r="93" spans="2:7">
      <c r="B93" s="408"/>
      <c r="C93" s="408"/>
      <c r="D93" s="408"/>
      <c r="E93" s="408"/>
      <c r="F93" s="408"/>
      <c r="G93" s="408"/>
    </row>
    <row r="94" spans="2:7">
      <c r="B94" s="408"/>
      <c r="C94" s="408"/>
      <c r="D94" s="408"/>
      <c r="E94" s="408"/>
      <c r="F94" s="408"/>
      <c r="G94" s="408"/>
    </row>
    <row r="95" spans="2:7">
      <c r="B95" s="408"/>
      <c r="C95" s="408"/>
      <c r="D95" s="408"/>
      <c r="E95" s="408"/>
      <c r="F95" s="408"/>
      <c r="G95" s="408"/>
    </row>
    <row r="96" spans="2:7">
      <c r="B96" s="408"/>
      <c r="C96" s="408"/>
      <c r="D96" s="408"/>
      <c r="E96" s="408"/>
      <c r="F96" s="408"/>
      <c r="G96" s="408"/>
    </row>
    <row r="97" spans="2:7">
      <c r="B97" s="408"/>
      <c r="C97" s="408"/>
      <c r="D97" s="408"/>
      <c r="E97" s="408"/>
      <c r="F97" s="408"/>
      <c r="G97" s="408"/>
    </row>
    <row r="98" spans="2:7">
      <c r="B98" s="408"/>
      <c r="C98" s="408"/>
      <c r="D98" s="408"/>
      <c r="E98" s="408"/>
      <c r="F98" s="408"/>
      <c r="G98" s="408"/>
    </row>
    <row r="99" spans="2:7">
      <c r="B99" s="408"/>
      <c r="C99" s="408"/>
      <c r="D99" s="408"/>
      <c r="E99" s="408"/>
      <c r="F99" s="408"/>
      <c r="G99" s="408"/>
    </row>
    <row r="100" spans="2:7">
      <c r="B100" s="408"/>
      <c r="C100" s="408"/>
      <c r="D100" s="408"/>
      <c r="E100" s="408"/>
      <c r="F100" s="408"/>
      <c r="G100" s="408"/>
    </row>
    <row r="101" spans="2:7">
      <c r="B101" s="408"/>
      <c r="C101" s="408"/>
      <c r="D101" s="408"/>
      <c r="E101" s="408"/>
      <c r="F101" s="408"/>
      <c r="G101" s="408"/>
    </row>
    <row r="102" spans="2:7">
      <c r="B102" s="408"/>
      <c r="C102" s="408"/>
      <c r="D102" s="408"/>
      <c r="E102" s="408"/>
      <c r="F102" s="408"/>
      <c r="G102" s="408"/>
    </row>
    <row r="103" spans="2:7">
      <c r="B103" s="408"/>
      <c r="C103" s="408"/>
      <c r="D103" s="408"/>
      <c r="E103" s="408"/>
      <c r="F103" s="408"/>
      <c r="G103" s="408"/>
    </row>
    <row r="104" spans="2:7">
      <c r="B104" s="408"/>
      <c r="C104" s="408"/>
      <c r="D104" s="408"/>
      <c r="E104" s="408"/>
      <c r="F104" s="408"/>
      <c r="G104" s="408"/>
    </row>
    <row r="105" spans="2:7">
      <c r="B105" s="408"/>
      <c r="C105" s="408"/>
      <c r="D105" s="408"/>
      <c r="E105" s="408"/>
      <c r="F105" s="408"/>
      <c r="G105" s="408"/>
    </row>
    <row r="106" spans="2:7">
      <c r="B106" s="408"/>
      <c r="C106" s="408"/>
      <c r="D106" s="408"/>
      <c r="E106" s="408"/>
      <c r="F106" s="408"/>
      <c r="G106" s="408"/>
    </row>
    <row r="107" spans="2:7">
      <c r="B107" s="408"/>
      <c r="C107" s="408"/>
      <c r="D107" s="408"/>
      <c r="E107" s="408"/>
      <c r="F107" s="408"/>
      <c r="G107" s="408"/>
    </row>
    <row r="108" spans="2:7">
      <c r="B108" s="408"/>
      <c r="C108" s="408"/>
      <c r="D108" s="408"/>
      <c r="E108" s="408"/>
      <c r="F108" s="408"/>
      <c r="G108" s="408"/>
    </row>
    <row r="109" spans="2:7">
      <c r="B109" s="408"/>
      <c r="C109" s="408"/>
      <c r="D109" s="408"/>
      <c r="E109" s="408"/>
      <c r="F109" s="408"/>
      <c r="G109" s="408"/>
    </row>
    <row r="110" spans="2:7">
      <c r="B110" s="408"/>
      <c r="C110" s="408"/>
      <c r="D110" s="408"/>
      <c r="E110" s="408"/>
      <c r="F110" s="408"/>
      <c r="G110" s="408"/>
    </row>
    <row r="111" spans="2:7">
      <c r="B111" s="408"/>
      <c r="C111" s="408"/>
      <c r="D111" s="408"/>
      <c r="E111" s="408"/>
      <c r="F111" s="408"/>
      <c r="G111" s="408"/>
    </row>
    <row r="112" spans="2:7">
      <c r="B112" s="408"/>
      <c r="C112" s="408"/>
      <c r="D112" s="408"/>
      <c r="E112" s="408"/>
      <c r="F112" s="408"/>
      <c r="G112" s="408"/>
    </row>
    <row r="113" spans="2:7">
      <c r="B113" s="408"/>
      <c r="C113" s="408"/>
      <c r="D113" s="408"/>
      <c r="E113" s="408"/>
      <c r="F113" s="408"/>
      <c r="G113" s="408"/>
    </row>
    <row r="114" spans="2:7">
      <c r="B114" s="408"/>
      <c r="C114" s="408"/>
      <c r="D114" s="408"/>
      <c r="E114" s="408"/>
      <c r="F114" s="408"/>
      <c r="G114" s="408"/>
    </row>
    <row r="115" spans="2:7">
      <c r="B115" s="408"/>
      <c r="C115" s="408"/>
      <c r="D115" s="408"/>
      <c r="E115" s="408"/>
      <c r="F115" s="408"/>
      <c r="G115" s="408"/>
    </row>
    <row r="116" spans="2:7">
      <c r="B116" s="408"/>
      <c r="C116" s="408"/>
      <c r="D116" s="408"/>
      <c r="E116" s="408"/>
      <c r="F116" s="408"/>
      <c r="G116" s="408"/>
    </row>
    <row r="117" spans="2:7">
      <c r="B117" s="408"/>
      <c r="C117" s="408"/>
      <c r="D117" s="408"/>
      <c r="E117" s="408"/>
      <c r="F117" s="408"/>
      <c r="G117" s="408"/>
    </row>
    <row r="118" spans="2:7">
      <c r="B118" s="408"/>
      <c r="C118" s="408"/>
      <c r="D118" s="408"/>
      <c r="E118" s="408"/>
      <c r="F118" s="408"/>
      <c r="G118" s="408"/>
    </row>
    <row r="119" spans="2:7">
      <c r="B119" s="408"/>
      <c r="C119" s="408"/>
      <c r="D119" s="408"/>
      <c r="E119" s="408"/>
      <c r="F119" s="408"/>
      <c r="G119" s="408"/>
    </row>
    <row r="120" spans="2:7">
      <c r="B120" s="408"/>
      <c r="C120" s="408"/>
      <c r="D120" s="408"/>
      <c r="E120" s="408"/>
      <c r="F120" s="408"/>
      <c r="G120" s="408"/>
    </row>
    <row r="121" spans="2:7">
      <c r="B121" s="408"/>
      <c r="C121" s="408"/>
      <c r="D121" s="408"/>
      <c r="E121" s="408"/>
      <c r="F121" s="408"/>
      <c r="G121" s="408"/>
    </row>
    <row r="122" spans="2:7">
      <c r="B122" s="408"/>
      <c r="C122" s="408"/>
      <c r="D122" s="408"/>
      <c r="E122" s="408"/>
      <c r="F122" s="408"/>
      <c r="G122" s="408"/>
    </row>
    <row r="123" spans="2:7">
      <c r="B123" s="408"/>
      <c r="C123" s="408"/>
      <c r="D123" s="408"/>
      <c r="E123" s="408"/>
      <c r="F123" s="408"/>
      <c r="G123" s="408"/>
    </row>
    <row r="124" spans="2:7">
      <c r="B124" s="408"/>
      <c r="C124" s="408"/>
      <c r="D124" s="408"/>
      <c r="E124" s="408"/>
      <c r="F124" s="408"/>
      <c r="G124" s="408"/>
    </row>
    <row r="125" spans="2:7">
      <c r="B125" s="408"/>
      <c r="C125" s="408"/>
      <c r="D125" s="408"/>
      <c r="E125" s="408"/>
      <c r="F125" s="408"/>
      <c r="G125" s="408"/>
    </row>
    <row r="126" spans="2:7">
      <c r="B126" s="408"/>
      <c r="C126" s="408"/>
      <c r="D126" s="408"/>
      <c r="E126" s="408"/>
      <c r="F126" s="408"/>
      <c r="G126" s="408"/>
    </row>
    <row r="127" spans="2:7">
      <c r="B127" s="408"/>
      <c r="C127" s="408"/>
      <c r="D127" s="408"/>
      <c r="E127" s="408"/>
      <c r="F127" s="408"/>
      <c r="G127" s="408"/>
    </row>
    <row r="128" spans="2:7">
      <c r="B128" s="408"/>
      <c r="C128" s="408"/>
      <c r="D128" s="408"/>
      <c r="E128" s="408"/>
      <c r="F128" s="408"/>
      <c r="G128" s="408"/>
    </row>
    <row r="129" spans="2:7">
      <c r="B129" s="408"/>
      <c r="C129" s="408"/>
      <c r="D129" s="408"/>
      <c r="E129" s="408"/>
      <c r="F129" s="408"/>
      <c r="G129" s="408"/>
    </row>
    <row r="130" spans="2:7">
      <c r="B130" s="408"/>
      <c r="C130" s="408"/>
      <c r="D130" s="408"/>
      <c r="E130" s="408"/>
      <c r="F130" s="408"/>
      <c r="G130" s="408"/>
    </row>
    <row r="131" spans="2:7">
      <c r="B131" s="408"/>
      <c r="C131" s="408"/>
      <c r="D131" s="408"/>
      <c r="E131" s="408"/>
      <c r="F131" s="408"/>
      <c r="G131" s="408"/>
    </row>
    <row r="132" spans="2:7">
      <c r="B132" s="408"/>
      <c r="C132" s="408"/>
      <c r="D132" s="408"/>
      <c r="E132" s="408"/>
      <c r="F132" s="408"/>
      <c r="G132" s="408"/>
    </row>
    <row r="133" spans="2:7">
      <c r="B133" s="408"/>
      <c r="C133" s="408"/>
      <c r="D133" s="408"/>
      <c r="E133" s="408"/>
      <c r="F133" s="408"/>
      <c r="G133" s="408"/>
    </row>
    <row r="134" spans="2:7">
      <c r="B134" s="408"/>
      <c r="C134" s="408"/>
      <c r="D134" s="408"/>
      <c r="E134" s="408"/>
      <c r="F134" s="408"/>
      <c r="G134" s="408"/>
    </row>
    <row r="135" spans="2:7">
      <c r="B135" s="408"/>
      <c r="C135" s="408"/>
      <c r="D135" s="408"/>
      <c r="E135" s="408"/>
      <c r="F135" s="408"/>
      <c r="G135" s="408"/>
    </row>
    <row r="136" spans="2:7">
      <c r="B136" s="408"/>
      <c r="C136" s="408"/>
      <c r="D136" s="408"/>
      <c r="E136" s="408"/>
      <c r="F136" s="408"/>
      <c r="G136" s="408"/>
    </row>
    <row r="137" spans="2:7">
      <c r="B137" s="408"/>
      <c r="C137" s="408"/>
      <c r="D137" s="408"/>
      <c r="E137" s="408"/>
      <c r="F137" s="408"/>
      <c r="G137" s="408"/>
    </row>
    <row r="138" spans="2:7">
      <c r="B138" s="408"/>
      <c r="C138" s="408"/>
      <c r="D138" s="408"/>
      <c r="E138" s="408"/>
      <c r="F138" s="408"/>
      <c r="G138" s="408"/>
    </row>
    <row r="139" spans="2:7">
      <c r="B139" s="408"/>
      <c r="C139" s="408"/>
      <c r="D139" s="408"/>
      <c r="E139" s="408"/>
      <c r="F139" s="408"/>
      <c r="G139" s="408"/>
    </row>
    <row r="140" spans="2:7">
      <c r="B140" s="408"/>
      <c r="C140" s="408"/>
      <c r="D140" s="408"/>
      <c r="E140" s="408"/>
      <c r="F140" s="408"/>
      <c r="G140" s="408"/>
    </row>
    <row r="141" spans="2:7">
      <c r="B141" s="408"/>
      <c r="C141" s="408"/>
      <c r="D141" s="408"/>
      <c r="E141" s="408"/>
      <c r="F141" s="408"/>
      <c r="G141" s="408"/>
    </row>
    <row r="142" spans="2:7">
      <c r="B142" s="408"/>
      <c r="C142" s="408"/>
      <c r="D142" s="408"/>
      <c r="E142" s="408"/>
      <c r="F142" s="408"/>
      <c r="G142" s="408"/>
    </row>
    <row r="143" spans="2:7">
      <c r="B143" s="408"/>
      <c r="C143" s="408"/>
      <c r="D143" s="408"/>
      <c r="E143" s="408"/>
      <c r="F143" s="408"/>
      <c r="G143" s="408"/>
    </row>
    <row r="144" spans="2:7">
      <c r="B144" s="408"/>
      <c r="C144" s="408"/>
      <c r="D144" s="408"/>
      <c r="E144" s="408"/>
      <c r="F144" s="408"/>
      <c r="G144" s="408"/>
    </row>
    <row r="145" spans="2:7">
      <c r="B145" s="408"/>
      <c r="C145" s="408"/>
      <c r="D145" s="408"/>
      <c r="E145" s="408"/>
      <c r="F145" s="408"/>
      <c r="G145" s="408"/>
    </row>
    <row r="146" spans="2:7">
      <c r="B146" s="408"/>
      <c r="C146" s="408"/>
      <c r="D146" s="408"/>
      <c r="E146" s="408"/>
      <c r="F146" s="408"/>
      <c r="G146" s="408"/>
    </row>
    <row r="147" spans="2:7">
      <c r="B147" s="408"/>
      <c r="C147" s="408"/>
      <c r="D147" s="408"/>
      <c r="E147" s="408"/>
      <c r="F147" s="408"/>
      <c r="G147" s="408"/>
    </row>
    <row r="148" spans="2:7">
      <c r="B148" s="408"/>
      <c r="C148" s="408"/>
      <c r="D148" s="408"/>
      <c r="E148" s="408"/>
      <c r="F148" s="408"/>
      <c r="G148" s="408"/>
    </row>
    <row r="149" spans="2:7">
      <c r="B149" s="408"/>
      <c r="C149" s="408"/>
      <c r="D149" s="408"/>
      <c r="E149" s="408"/>
      <c r="F149" s="408"/>
      <c r="G149" s="408"/>
    </row>
    <row r="150" spans="2:7">
      <c r="B150" s="408"/>
      <c r="C150" s="408"/>
      <c r="D150" s="408"/>
      <c r="E150" s="408"/>
      <c r="F150" s="408"/>
      <c r="G150" s="408"/>
    </row>
    <row r="151" spans="2:7">
      <c r="B151" s="408"/>
      <c r="C151" s="408"/>
      <c r="D151" s="408"/>
      <c r="E151" s="408"/>
      <c r="F151" s="408"/>
      <c r="G151" s="408"/>
    </row>
    <row r="152" spans="2:7">
      <c r="B152" s="408"/>
      <c r="C152" s="408"/>
      <c r="D152" s="408"/>
      <c r="E152" s="408"/>
      <c r="F152" s="408"/>
      <c r="G152" s="408"/>
    </row>
    <row r="153" spans="2:7">
      <c r="B153" s="408"/>
      <c r="C153" s="408"/>
      <c r="D153" s="408"/>
      <c r="E153" s="408"/>
      <c r="F153" s="408"/>
      <c r="G153" s="408"/>
    </row>
    <row r="154" spans="2:7">
      <c r="B154" s="408"/>
      <c r="C154" s="408"/>
      <c r="D154" s="408"/>
      <c r="E154" s="408"/>
      <c r="F154" s="408"/>
      <c r="G154" s="408"/>
    </row>
    <row r="155" spans="2:7">
      <c r="B155" s="408"/>
      <c r="C155" s="408"/>
      <c r="D155" s="408"/>
      <c r="E155" s="408"/>
      <c r="F155" s="408"/>
      <c r="G155" s="408"/>
    </row>
    <row r="156" spans="2:7">
      <c r="B156" s="408"/>
      <c r="C156" s="408"/>
      <c r="D156" s="408"/>
      <c r="E156" s="408"/>
      <c r="F156" s="408"/>
      <c r="G156" s="408"/>
    </row>
    <row r="157" spans="2:7">
      <c r="B157" s="408"/>
      <c r="C157" s="408"/>
      <c r="D157" s="408"/>
      <c r="E157" s="408"/>
      <c r="F157" s="408"/>
      <c r="G157" s="408"/>
    </row>
    <row r="158" spans="2:7">
      <c r="B158" s="408"/>
      <c r="C158" s="408"/>
      <c r="D158" s="408"/>
      <c r="E158" s="408"/>
      <c r="F158" s="408"/>
      <c r="G158" s="408"/>
    </row>
    <row r="159" spans="2:7">
      <c r="B159" s="408"/>
      <c r="C159" s="408"/>
      <c r="D159" s="408"/>
      <c r="E159" s="408"/>
      <c r="F159" s="408"/>
      <c r="G159" s="408"/>
    </row>
    <row r="160" spans="2:7">
      <c r="B160" s="408"/>
      <c r="C160" s="408"/>
      <c r="D160" s="408"/>
      <c r="E160" s="408"/>
      <c r="F160" s="408"/>
      <c r="G160" s="408"/>
    </row>
    <row r="161" spans="2:7">
      <c r="B161" s="408"/>
      <c r="C161" s="408"/>
      <c r="D161" s="408"/>
      <c r="E161" s="408"/>
      <c r="F161" s="408"/>
      <c r="G161" s="408"/>
    </row>
    <row r="162" spans="2:7">
      <c r="B162" s="408"/>
      <c r="C162" s="408"/>
      <c r="D162" s="408"/>
      <c r="E162" s="408"/>
      <c r="F162" s="408"/>
      <c r="G162" s="408"/>
    </row>
    <row r="163" spans="2:7">
      <c r="B163" s="408"/>
      <c r="C163" s="408"/>
      <c r="D163" s="408"/>
      <c r="E163" s="408"/>
      <c r="F163" s="408"/>
      <c r="G163" s="408"/>
    </row>
    <row r="164" spans="2:7">
      <c r="B164" s="408"/>
      <c r="C164" s="408"/>
      <c r="D164" s="408"/>
      <c r="E164" s="408"/>
      <c r="F164" s="408"/>
      <c r="G164" s="408"/>
    </row>
    <row r="165" spans="2:7">
      <c r="B165" s="408"/>
      <c r="C165" s="408"/>
      <c r="D165" s="408"/>
      <c r="E165" s="408"/>
      <c r="F165" s="408"/>
      <c r="G165" s="408"/>
    </row>
    <row r="166" spans="2:7">
      <c r="B166" s="408"/>
      <c r="C166" s="408"/>
      <c r="D166" s="408"/>
      <c r="E166" s="408"/>
      <c r="F166" s="408"/>
      <c r="G166" s="408"/>
    </row>
    <row r="167" spans="2:7">
      <c r="B167" s="408"/>
      <c r="C167" s="408"/>
      <c r="D167" s="408"/>
      <c r="E167" s="408"/>
      <c r="F167" s="408"/>
      <c r="G167" s="408"/>
    </row>
    <row r="168" spans="2:7">
      <c r="B168" s="408"/>
      <c r="C168" s="408"/>
      <c r="D168" s="408"/>
      <c r="E168" s="408"/>
      <c r="F168" s="408"/>
      <c r="G168" s="408"/>
    </row>
    <row r="169" spans="2:7">
      <c r="B169" s="408"/>
      <c r="C169" s="408"/>
      <c r="D169" s="408"/>
      <c r="E169" s="408"/>
      <c r="F169" s="408"/>
      <c r="G169" s="408"/>
    </row>
    <row r="170" spans="2:7">
      <c r="B170" s="408"/>
      <c r="C170" s="408"/>
      <c r="D170" s="408"/>
      <c r="E170" s="408"/>
      <c r="F170" s="408"/>
      <c r="G170" s="408"/>
    </row>
    <row r="171" spans="2:7">
      <c r="B171" s="408"/>
      <c r="C171" s="408"/>
      <c r="D171" s="408"/>
      <c r="E171" s="408"/>
      <c r="F171" s="408"/>
      <c r="G171" s="408"/>
    </row>
    <row r="172" spans="2:7">
      <c r="B172" s="408"/>
      <c r="C172" s="408"/>
      <c r="D172" s="408"/>
      <c r="E172" s="408"/>
      <c r="F172" s="408"/>
      <c r="G172" s="408"/>
    </row>
    <row r="173" spans="2:7">
      <c r="B173" s="408"/>
      <c r="C173" s="408"/>
      <c r="D173" s="408"/>
      <c r="E173" s="408"/>
      <c r="F173" s="408"/>
      <c r="G173" s="408"/>
    </row>
    <row r="174" spans="2:7">
      <c r="B174" s="408"/>
      <c r="C174" s="408"/>
      <c r="D174" s="408"/>
      <c r="E174" s="408"/>
      <c r="F174" s="408"/>
      <c r="G174" s="408"/>
    </row>
    <row r="175" spans="2:7">
      <c r="B175" s="408"/>
      <c r="C175" s="408"/>
      <c r="D175" s="408"/>
      <c r="E175" s="408"/>
      <c r="F175" s="408"/>
      <c r="G175" s="408"/>
    </row>
    <row r="176" spans="2:7">
      <c r="B176" s="408"/>
      <c r="C176" s="408"/>
      <c r="D176" s="408"/>
      <c r="E176" s="408"/>
      <c r="F176" s="408"/>
      <c r="G176" s="408"/>
    </row>
    <row r="177" spans="2:7">
      <c r="B177" s="408"/>
      <c r="C177" s="408"/>
      <c r="D177" s="408"/>
      <c r="E177" s="408"/>
      <c r="F177" s="408"/>
      <c r="G177" s="408"/>
    </row>
    <row r="178" spans="2:7">
      <c r="B178" s="408"/>
      <c r="C178" s="408"/>
      <c r="D178" s="408"/>
      <c r="E178" s="408"/>
      <c r="F178" s="408"/>
      <c r="G178" s="408"/>
    </row>
    <row r="179" spans="2:7">
      <c r="B179" s="408"/>
      <c r="C179" s="408"/>
      <c r="D179" s="408"/>
      <c r="E179" s="408"/>
      <c r="F179" s="408"/>
      <c r="G179" s="408"/>
    </row>
    <row r="180" spans="2:7">
      <c r="B180" s="408"/>
      <c r="C180" s="408"/>
      <c r="D180" s="408"/>
      <c r="E180" s="408"/>
      <c r="F180" s="408"/>
      <c r="G180" s="408"/>
    </row>
    <row r="181" spans="2:7">
      <c r="B181" s="408"/>
      <c r="C181" s="408"/>
      <c r="D181" s="408"/>
      <c r="E181" s="408"/>
      <c r="F181" s="408"/>
      <c r="G181" s="408"/>
    </row>
    <row r="182" spans="2:7">
      <c r="B182" s="408"/>
      <c r="C182" s="408"/>
      <c r="D182" s="408"/>
      <c r="E182" s="408"/>
      <c r="F182" s="408"/>
      <c r="G182" s="408"/>
    </row>
    <row r="183" spans="2:7">
      <c r="B183" s="408"/>
      <c r="C183" s="408"/>
      <c r="D183" s="408"/>
      <c r="E183" s="408"/>
      <c r="F183" s="408"/>
      <c r="G183" s="408"/>
    </row>
    <row r="184" spans="2:7">
      <c r="B184" s="408"/>
      <c r="C184" s="408"/>
      <c r="D184" s="408"/>
      <c r="E184" s="408"/>
      <c r="F184" s="408"/>
      <c r="G184" s="408"/>
    </row>
    <row r="185" spans="2:7">
      <c r="B185" s="408"/>
      <c r="C185" s="408"/>
      <c r="D185" s="408"/>
      <c r="E185" s="408"/>
      <c r="F185" s="408"/>
      <c r="G185" s="408"/>
    </row>
    <row r="186" spans="2:7">
      <c r="B186" s="408"/>
      <c r="C186" s="408"/>
      <c r="D186" s="408"/>
      <c r="E186" s="408"/>
      <c r="F186" s="408"/>
      <c r="G186" s="408"/>
    </row>
    <row r="187" spans="2:7">
      <c r="B187" s="408"/>
      <c r="C187" s="408"/>
      <c r="D187" s="408"/>
      <c r="E187" s="408"/>
      <c r="F187" s="408"/>
      <c r="G187" s="408"/>
    </row>
    <row r="188" spans="2:7">
      <c r="B188" s="408"/>
      <c r="C188" s="408"/>
      <c r="D188" s="408"/>
      <c r="E188" s="408"/>
      <c r="F188" s="408"/>
      <c r="G188" s="408"/>
    </row>
    <row r="189" spans="2:7">
      <c r="B189" s="408"/>
      <c r="C189" s="408"/>
      <c r="D189" s="408"/>
      <c r="E189" s="408"/>
      <c r="F189" s="408"/>
      <c r="G189" s="408"/>
    </row>
    <row r="190" spans="2:7">
      <c r="B190" s="408"/>
      <c r="C190" s="408"/>
      <c r="D190" s="408"/>
      <c r="E190" s="408"/>
      <c r="F190" s="408"/>
      <c r="G190" s="408"/>
    </row>
    <row r="191" spans="2:7">
      <c r="B191" s="408"/>
      <c r="C191" s="408"/>
      <c r="D191" s="408"/>
      <c r="E191" s="408"/>
      <c r="F191" s="408"/>
      <c r="G191" s="408"/>
    </row>
    <row r="192" spans="2:7">
      <c r="B192" s="408"/>
      <c r="C192" s="408"/>
      <c r="D192" s="408"/>
      <c r="E192" s="408"/>
      <c r="F192" s="408"/>
      <c r="G192" s="408"/>
    </row>
    <row r="193" spans="2:7">
      <c r="B193" s="408"/>
      <c r="C193" s="408"/>
      <c r="D193" s="408"/>
      <c r="E193" s="408"/>
      <c r="F193" s="408"/>
      <c r="G193" s="408"/>
    </row>
    <row r="194" spans="2:7">
      <c r="B194" s="408"/>
      <c r="C194" s="408"/>
      <c r="D194" s="408"/>
      <c r="E194" s="408"/>
      <c r="F194" s="408"/>
      <c r="G194" s="408"/>
    </row>
    <row r="195" spans="2:7">
      <c r="B195" s="408"/>
      <c r="C195" s="408"/>
      <c r="D195" s="408"/>
      <c r="E195" s="408"/>
      <c r="F195" s="408"/>
      <c r="G195" s="408"/>
    </row>
    <row r="196" spans="2:7">
      <c r="B196" s="408"/>
      <c r="C196" s="408"/>
      <c r="D196" s="408"/>
      <c r="E196" s="408"/>
      <c r="F196" s="408"/>
      <c r="G196" s="408"/>
    </row>
    <row r="197" spans="2:7">
      <c r="B197" s="408"/>
      <c r="C197" s="408"/>
      <c r="D197" s="408"/>
      <c r="E197" s="408"/>
      <c r="F197" s="408"/>
      <c r="G197" s="408"/>
    </row>
    <row r="198" spans="2:7">
      <c r="B198" s="408"/>
      <c r="C198" s="408"/>
      <c r="D198" s="408"/>
      <c r="E198" s="408"/>
      <c r="F198" s="408"/>
      <c r="G198" s="408"/>
    </row>
    <row r="199" spans="2:7">
      <c r="B199" s="408"/>
      <c r="C199" s="408"/>
      <c r="D199" s="408"/>
      <c r="E199" s="408"/>
      <c r="F199" s="408"/>
      <c r="G199" s="408"/>
    </row>
    <row r="200" spans="2:7">
      <c r="B200" s="408"/>
      <c r="C200" s="408"/>
      <c r="D200" s="408"/>
      <c r="E200" s="408"/>
      <c r="F200" s="408"/>
      <c r="G200" s="408"/>
    </row>
    <row r="201" spans="2:7">
      <c r="B201" s="408"/>
      <c r="C201" s="408"/>
      <c r="D201" s="408"/>
      <c r="E201" s="408"/>
      <c r="F201" s="408"/>
      <c r="G201" s="408"/>
    </row>
    <row r="202" spans="2:7">
      <c r="B202" s="408"/>
      <c r="C202" s="408"/>
      <c r="D202" s="408"/>
      <c r="E202" s="408"/>
      <c r="F202" s="408"/>
      <c r="G202" s="408"/>
    </row>
    <row r="203" spans="2:7">
      <c r="B203" s="408"/>
      <c r="C203" s="408"/>
      <c r="D203" s="408"/>
      <c r="E203" s="408"/>
      <c r="F203" s="408"/>
      <c r="G203" s="408"/>
    </row>
    <row r="204" spans="2:7">
      <c r="B204" s="408"/>
      <c r="C204" s="408"/>
      <c r="D204" s="408"/>
      <c r="E204" s="408"/>
      <c r="F204" s="408"/>
      <c r="G204" s="408"/>
    </row>
    <row r="205" spans="2:7">
      <c r="B205" s="408"/>
      <c r="C205" s="408"/>
      <c r="D205" s="408"/>
      <c r="E205" s="408"/>
      <c r="F205" s="408"/>
      <c r="G205" s="408"/>
    </row>
    <row r="206" spans="2:7">
      <c r="B206" s="408"/>
      <c r="C206" s="408"/>
      <c r="D206" s="408"/>
      <c r="E206" s="408"/>
      <c r="F206" s="408"/>
      <c r="G206" s="408"/>
    </row>
    <row r="207" spans="2:7">
      <c r="B207" s="408"/>
      <c r="C207" s="408"/>
      <c r="D207" s="408"/>
      <c r="E207" s="408"/>
      <c r="F207" s="408"/>
      <c r="G207" s="408"/>
    </row>
    <row r="208" spans="2:7">
      <c r="B208" s="408"/>
      <c r="C208" s="408"/>
      <c r="D208" s="408"/>
      <c r="E208" s="408"/>
      <c r="F208" s="408"/>
      <c r="G208" s="408"/>
    </row>
    <row r="209" spans="2:7">
      <c r="B209" s="408"/>
      <c r="C209" s="408"/>
      <c r="D209" s="408"/>
      <c r="E209" s="408"/>
      <c r="F209" s="408"/>
      <c r="G209" s="408"/>
    </row>
    <row r="210" spans="2:7">
      <c r="B210" s="408"/>
      <c r="C210" s="408"/>
      <c r="D210" s="408"/>
      <c r="E210" s="408"/>
      <c r="F210" s="408"/>
      <c r="G210" s="408"/>
    </row>
    <row r="211" spans="2:7">
      <c r="B211" s="408"/>
      <c r="C211" s="408"/>
      <c r="D211" s="408"/>
      <c r="E211" s="408"/>
      <c r="F211" s="408"/>
      <c r="G211" s="408"/>
    </row>
    <row r="212" spans="2:7">
      <c r="B212" s="408"/>
      <c r="C212" s="408"/>
      <c r="D212" s="408"/>
      <c r="E212" s="408"/>
      <c r="F212" s="408"/>
      <c r="G212" s="408"/>
    </row>
    <row r="213" spans="2:7">
      <c r="B213" s="408"/>
      <c r="C213" s="408"/>
      <c r="D213" s="408"/>
      <c r="E213" s="408"/>
      <c r="F213" s="408"/>
      <c r="G213" s="408"/>
    </row>
    <row r="214" spans="2:7">
      <c r="B214" s="408"/>
      <c r="C214" s="408"/>
      <c r="D214" s="408"/>
      <c r="E214" s="408"/>
      <c r="F214" s="408"/>
      <c r="G214" s="408"/>
    </row>
    <row r="215" spans="2:7">
      <c r="B215" s="408"/>
      <c r="C215" s="408"/>
      <c r="D215" s="408"/>
      <c r="E215" s="408"/>
      <c r="F215" s="408"/>
      <c r="G215" s="408"/>
    </row>
    <row r="216" spans="2:7">
      <c r="B216" s="408"/>
      <c r="C216" s="408"/>
      <c r="D216" s="408"/>
      <c r="E216" s="408"/>
      <c r="F216" s="408"/>
      <c r="G216" s="408"/>
    </row>
    <row r="217" spans="2:7">
      <c r="B217" s="408"/>
      <c r="C217" s="408"/>
      <c r="D217" s="408"/>
      <c r="E217" s="408"/>
      <c r="F217" s="408"/>
      <c r="G217" s="408"/>
    </row>
    <row r="218" spans="2:7">
      <c r="B218" s="408"/>
      <c r="C218" s="408"/>
      <c r="D218" s="408"/>
      <c r="E218" s="408"/>
      <c r="F218" s="408"/>
      <c r="G218" s="408"/>
    </row>
    <row r="219" spans="2:7">
      <c r="B219" s="408"/>
      <c r="C219" s="408"/>
      <c r="D219" s="408"/>
      <c r="E219" s="408"/>
      <c r="F219" s="408"/>
      <c r="G219" s="408"/>
    </row>
    <row r="220" spans="2:7">
      <c r="B220" s="408"/>
      <c r="C220" s="408"/>
      <c r="D220" s="408"/>
      <c r="E220" s="408"/>
      <c r="F220" s="408"/>
      <c r="G220" s="408"/>
    </row>
    <row r="221" spans="2:7">
      <c r="B221" s="408"/>
      <c r="C221" s="408"/>
      <c r="D221" s="408"/>
      <c r="E221" s="408"/>
      <c r="F221" s="408"/>
      <c r="G221" s="408"/>
    </row>
    <row r="222" spans="2:7">
      <c r="B222" s="408"/>
      <c r="C222" s="408"/>
      <c r="D222" s="408"/>
      <c r="E222" s="408"/>
      <c r="F222" s="408"/>
      <c r="G222" s="408"/>
    </row>
    <row r="223" spans="2:7">
      <c r="B223" s="408"/>
      <c r="C223" s="408"/>
      <c r="D223" s="408"/>
      <c r="E223" s="408"/>
      <c r="F223" s="408"/>
      <c r="G223" s="408"/>
    </row>
    <row r="224" spans="2:7">
      <c r="B224" s="408"/>
      <c r="C224" s="408"/>
      <c r="D224" s="408"/>
      <c r="E224" s="408"/>
      <c r="F224" s="408"/>
      <c r="G224" s="408"/>
    </row>
    <row r="225" spans="2:7">
      <c r="B225" s="408"/>
      <c r="C225" s="408"/>
      <c r="D225" s="408"/>
      <c r="E225" s="408"/>
      <c r="F225" s="408"/>
      <c r="G225" s="408"/>
    </row>
    <row r="226" spans="2:7">
      <c r="B226" s="408"/>
      <c r="C226" s="408"/>
      <c r="D226" s="408"/>
      <c r="E226" s="408"/>
      <c r="F226" s="408"/>
      <c r="G226" s="408"/>
    </row>
    <row r="227" spans="2:7">
      <c r="B227" s="408"/>
      <c r="C227" s="408"/>
      <c r="D227" s="408"/>
      <c r="E227" s="408"/>
      <c r="F227" s="408"/>
      <c r="G227" s="408"/>
    </row>
    <row r="228" spans="2:7">
      <c r="B228" s="408"/>
      <c r="C228" s="408"/>
      <c r="D228" s="408"/>
      <c r="E228" s="408"/>
      <c r="F228" s="408"/>
      <c r="G228" s="408"/>
    </row>
    <row r="229" spans="2:7">
      <c r="B229" s="408"/>
      <c r="C229" s="408"/>
      <c r="D229" s="408"/>
      <c r="E229" s="408"/>
      <c r="F229" s="408"/>
      <c r="G229" s="408"/>
    </row>
    <row r="230" spans="2:7">
      <c r="B230" s="408"/>
      <c r="C230" s="408"/>
      <c r="D230" s="408"/>
      <c r="E230" s="408"/>
      <c r="F230" s="408"/>
      <c r="G230" s="408"/>
    </row>
    <row r="231" spans="2:7">
      <c r="B231" s="408"/>
      <c r="C231" s="408"/>
      <c r="D231" s="408"/>
      <c r="E231" s="408"/>
      <c r="F231" s="408"/>
      <c r="G231" s="408"/>
    </row>
    <row r="232" spans="2:7">
      <c r="B232" s="408"/>
      <c r="C232" s="408"/>
      <c r="D232" s="408"/>
      <c r="E232" s="408"/>
      <c r="F232" s="408"/>
      <c r="G232" s="408"/>
    </row>
    <row r="233" spans="2:7">
      <c r="B233" s="408"/>
      <c r="C233" s="408"/>
      <c r="D233" s="408"/>
      <c r="E233" s="408"/>
      <c r="F233" s="408"/>
      <c r="G233" s="408"/>
    </row>
    <row r="234" spans="2:7">
      <c r="B234" s="408"/>
      <c r="C234" s="408"/>
      <c r="D234" s="408"/>
      <c r="E234" s="408"/>
      <c r="F234" s="408"/>
      <c r="G234" s="408"/>
    </row>
    <row r="235" spans="2:7">
      <c r="B235" s="408"/>
      <c r="C235" s="408"/>
      <c r="D235" s="408"/>
      <c r="E235" s="408"/>
      <c r="F235" s="408"/>
      <c r="G235" s="408"/>
    </row>
    <row r="236" spans="2:7">
      <c r="B236" s="408"/>
      <c r="C236" s="408"/>
      <c r="D236" s="408"/>
      <c r="E236" s="408"/>
      <c r="F236" s="408"/>
      <c r="G236" s="408"/>
    </row>
    <row r="237" spans="2:7">
      <c r="B237" s="408"/>
      <c r="C237" s="408"/>
      <c r="D237" s="408"/>
      <c r="E237" s="408"/>
      <c r="F237" s="408"/>
      <c r="G237" s="408"/>
    </row>
    <row r="238" spans="2:7">
      <c r="B238" s="408"/>
      <c r="C238" s="408"/>
      <c r="D238" s="408"/>
      <c r="E238" s="408"/>
      <c r="F238" s="408"/>
      <c r="G238" s="408"/>
    </row>
    <row r="239" spans="2:7">
      <c r="B239" s="408"/>
      <c r="C239" s="408"/>
      <c r="D239" s="408"/>
      <c r="E239" s="408"/>
      <c r="F239" s="408"/>
      <c r="G239" s="408"/>
    </row>
    <row r="240" spans="2:7">
      <c r="B240" s="408"/>
      <c r="C240" s="408"/>
      <c r="D240" s="408"/>
      <c r="E240" s="408"/>
      <c r="F240" s="408"/>
      <c r="G240" s="408"/>
    </row>
    <row r="241" spans="2:7">
      <c r="B241" s="408"/>
      <c r="C241" s="408"/>
      <c r="D241" s="408"/>
      <c r="E241" s="408"/>
      <c r="F241" s="408"/>
      <c r="G241" s="408"/>
    </row>
    <row r="242" spans="2:7">
      <c r="B242" s="408"/>
      <c r="C242" s="408"/>
      <c r="D242" s="408"/>
      <c r="E242" s="408"/>
      <c r="F242" s="408"/>
      <c r="G242" s="408"/>
    </row>
    <row r="243" spans="2:7">
      <c r="B243" s="408"/>
      <c r="C243" s="408"/>
      <c r="D243" s="408"/>
      <c r="E243" s="408"/>
      <c r="F243" s="408"/>
      <c r="G243" s="408"/>
    </row>
    <row r="244" spans="2:7">
      <c r="B244" s="408"/>
      <c r="C244" s="408"/>
      <c r="D244" s="408"/>
      <c r="E244" s="408"/>
      <c r="F244" s="408"/>
      <c r="G244" s="408"/>
    </row>
    <row r="245" spans="2:7">
      <c r="B245" s="408"/>
      <c r="C245" s="408"/>
      <c r="D245" s="408"/>
      <c r="E245" s="408"/>
      <c r="F245" s="408"/>
      <c r="G245" s="408"/>
    </row>
    <row r="246" spans="2:7">
      <c r="B246" s="408"/>
      <c r="C246" s="408"/>
      <c r="D246" s="408"/>
      <c r="E246" s="408"/>
      <c r="F246" s="408"/>
      <c r="G246" s="408"/>
    </row>
    <row r="247" spans="2:7">
      <c r="B247" s="408"/>
      <c r="C247" s="408"/>
      <c r="D247" s="408"/>
      <c r="E247" s="408"/>
      <c r="F247" s="408"/>
      <c r="G247" s="408"/>
    </row>
    <row r="248" spans="2:7">
      <c r="B248" s="408"/>
      <c r="C248" s="408"/>
      <c r="D248" s="408"/>
      <c r="E248" s="408"/>
      <c r="F248" s="408"/>
      <c r="G248" s="408"/>
    </row>
    <row r="249" spans="2:7">
      <c r="B249" s="408"/>
      <c r="C249" s="408"/>
      <c r="D249" s="408"/>
      <c r="E249" s="408"/>
      <c r="F249" s="408"/>
      <c r="G249" s="408"/>
    </row>
    <row r="250" spans="2:7">
      <c r="B250" s="408"/>
      <c r="C250" s="408"/>
      <c r="D250" s="408"/>
      <c r="E250" s="408"/>
      <c r="F250" s="408"/>
      <c r="G250" s="408"/>
    </row>
    <row r="251" spans="2:7">
      <c r="B251" s="408"/>
      <c r="C251" s="408"/>
      <c r="D251" s="408"/>
      <c r="E251" s="408"/>
      <c r="F251" s="408"/>
      <c r="G251" s="408"/>
    </row>
    <row r="252" spans="2:7">
      <c r="B252" s="408"/>
      <c r="C252" s="408"/>
      <c r="D252" s="408"/>
      <c r="E252" s="408"/>
      <c r="F252" s="408"/>
      <c r="G252" s="408"/>
    </row>
    <row r="253" spans="2:7">
      <c r="B253" s="408"/>
      <c r="C253" s="408"/>
      <c r="D253" s="408"/>
      <c r="E253" s="408"/>
      <c r="F253" s="408"/>
      <c r="G253" s="408"/>
    </row>
    <row r="254" spans="2:7">
      <c r="B254" s="408"/>
      <c r="C254" s="408"/>
      <c r="D254" s="408"/>
      <c r="E254" s="408"/>
      <c r="F254" s="408"/>
      <c r="G254" s="408"/>
    </row>
    <row r="255" spans="2:7">
      <c r="B255" s="408"/>
      <c r="C255" s="408"/>
      <c r="D255" s="408"/>
      <c r="E255" s="408"/>
      <c r="F255" s="408"/>
      <c r="G255" s="408"/>
    </row>
    <row r="256" spans="2:7">
      <c r="B256" s="408"/>
      <c r="C256" s="408"/>
      <c r="D256" s="408"/>
      <c r="E256" s="408"/>
      <c r="F256" s="408"/>
      <c r="G256" s="408"/>
    </row>
    <row r="257" spans="2:7">
      <c r="B257" s="408"/>
      <c r="C257" s="408"/>
      <c r="D257" s="408"/>
      <c r="E257" s="408"/>
      <c r="F257" s="408"/>
      <c r="G257" s="408"/>
    </row>
    <row r="258" spans="2:7">
      <c r="B258" s="408"/>
      <c r="C258" s="408"/>
      <c r="D258" s="408"/>
      <c r="E258" s="408"/>
      <c r="F258" s="408"/>
      <c r="G258" s="408"/>
    </row>
    <row r="259" spans="2:7">
      <c r="B259" s="408"/>
      <c r="C259" s="408"/>
      <c r="D259" s="408"/>
      <c r="E259" s="408"/>
      <c r="F259" s="408"/>
      <c r="G259" s="408"/>
    </row>
    <row r="260" spans="2:7">
      <c r="B260" s="408"/>
      <c r="C260" s="408"/>
      <c r="D260" s="408"/>
      <c r="E260" s="408"/>
      <c r="F260" s="408"/>
      <c r="G260" s="408"/>
    </row>
    <row r="261" spans="2:7">
      <c r="B261" s="408"/>
      <c r="C261" s="408"/>
      <c r="D261" s="408"/>
      <c r="E261" s="408"/>
      <c r="F261" s="408"/>
      <c r="G261" s="408"/>
    </row>
    <row r="262" spans="2:7">
      <c r="B262" s="408"/>
      <c r="C262" s="408"/>
      <c r="D262" s="408"/>
      <c r="E262" s="408"/>
      <c r="F262" s="408"/>
      <c r="G262" s="408"/>
    </row>
    <row r="263" spans="2:7">
      <c r="B263" s="408"/>
      <c r="C263" s="408"/>
      <c r="D263" s="408"/>
      <c r="E263" s="408"/>
      <c r="F263" s="408"/>
      <c r="G263" s="408"/>
    </row>
    <row r="264" spans="2:7">
      <c r="B264" s="408"/>
      <c r="C264" s="408"/>
      <c r="D264" s="408"/>
      <c r="E264" s="408"/>
      <c r="F264" s="408"/>
      <c r="G264" s="408"/>
    </row>
    <row r="265" spans="2:7">
      <c r="B265" s="408"/>
      <c r="C265" s="408"/>
      <c r="D265" s="408"/>
      <c r="E265" s="408"/>
      <c r="F265" s="408"/>
      <c r="G265" s="408"/>
    </row>
    <row r="266" spans="2:7">
      <c r="B266" s="408"/>
      <c r="C266" s="408"/>
      <c r="D266" s="408"/>
      <c r="E266" s="408"/>
      <c r="F266" s="408"/>
      <c r="G266" s="408"/>
    </row>
    <row r="267" spans="2:7">
      <c r="B267" s="408"/>
      <c r="C267" s="408"/>
      <c r="D267" s="408"/>
      <c r="E267" s="408"/>
      <c r="F267" s="408"/>
      <c r="G267" s="408"/>
    </row>
    <row r="268" spans="2:7">
      <c r="B268" s="408"/>
      <c r="C268" s="408"/>
      <c r="D268" s="408"/>
      <c r="E268" s="408"/>
      <c r="F268" s="408"/>
      <c r="G268" s="408"/>
    </row>
    <row r="269" spans="2:7">
      <c r="B269" s="408"/>
      <c r="C269" s="408"/>
      <c r="D269" s="408"/>
      <c r="E269" s="408"/>
      <c r="F269" s="408"/>
      <c r="G269" s="408"/>
    </row>
    <row r="270" spans="2:7">
      <c r="B270" s="408"/>
      <c r="C270" s="408"/>
      <c r="D270" s="408"/>
      <c r="E270" s="408"/>
      <c r="F270" s="408"/>
      <c r="G270" s="408"/>
    </row>
    <row r="271" spans="2:7">
      <c r="B271" s="408"/>
      <c r="C271" s="408"/>
      <c r="D271" s="408"/>
      <c r="E271" s="408"/>
      <c r="F271" s="408"/>
      <c r="G271" s="408"/>
    </row>
    <row r="272" spans="2:7">
      <c r="B272" s="408"/>
      <c r="C272" s="408"/>
      <c r="D272" s="408"/>
      <c r="E272" s="408"/>
      <c r="F272" s="408"/>
      <c r="G272" s="408"/>
    </row>
    <row r="273" spans="2:7">
      <c r="B273" s="408"/>
      <c r="C273" s="408"/>
      <c r="D273" s="408"/>
      <c r="E273" s="408"/>
      <c r="F273" s="408"/>
      <c r="G273" s="408"/>
    </row>
    <row r="274" spans="2:7">
      <c r="B274" s="408"/>
      <c r="C274" s="408"/>
      <c r="D274" s="408"/>
      <c r="E274" s="408"/>
      <c r="F274" s="408"/>
      <c r="G274" s="408"/>
    </row>
    <row r="275" spans="2:7">
      <c r="B275" s="408"/>
      <c r="C275" s="408"/>
      <c r="D275" s="408"/>
      <c r="E275" s="408"/>
      <c r="F275" s="408"/>
      <c r="G275" s="408"/>
    </row>
    <row r="276" spans="2:7">
      <c r="B276" s="408"/>
      <c r="C276" s="408"/>
      <c r="D276" s="408"/>
      <c r="E276" s="408"/>
      <c r="F276" s="408"/>
      <c r="G276" s="408"/>
    </row>
    <row r="277" spans="2:7">
      <c r="B277" s="408"/>
      <c r="C277" s="408"/>
      <c r="D277" s="408"/>
      <c r="E277" s="408"/>
      <c r="F277" s="408"/>
      <c r="G277" s="408"/>
    </row>
    <row r="278" spans="2:7">
      <c r="B278" s="408"/>
      <c r="C278" s="408"/>
      <c r="D278" s="408"/>
      <c r="E278" s="408"/>
      <c r="F278" s="408"/>
      <c r="G278" s="408"/>
    </row>
    <row r="279" spans="2:7">
      <c r="B279" s="408"/>
      <c r="C279" s="408"/>
      <c r="D279" s="408"/>
      <c r="E279" s="408"/>
      <c r="F279" s="408"/>
      <c r="G279" s="408"/>
    </row>
    <row r="280" spans="2:7">
      <c r="B280" s="408"/>
      <c r="C280" s="408"/>
      <c r="D280" s="408"/>
      <c r="E280" s="408"/>
      <c r="F280" s="408"/>
      <c r="G280" s="408"/>
    </row>
    <row r="281" spans="2:7">
      <c r="B281" s="408"/>
      <c r="C281" s="408"/>
      <c r="D281" s="408"/>
      <c r="E281" s="408"/>
      <c r="F281" s="408"/>
      <c r="G281" s="408"/>
    </row>
    <row r="282" spans="2:7">
      <c r="B282" s="408"/>
      <c r="C282" s="408"/>
      <c r="D282" s="408"/>
      <c r="E282" s="408"/>
      <c r="F282" s="408"/>
      <c r="G282" s="408"/>
    </row>
    <row r="283" spans="2:7">
      <c r="B283" s="408"/>
      <c r="C283" s="408"/>
      <c r="D283" s="408"/>
      <c r="E283" s="408"/>
      <c r="F283" s="408"/>
      <c r="G283" s="408"/>
    </row>
    <row r="284" spans="2:7">
      <c r="B284" s="408"/>
      <c r="C284" s="408"/>
      <c r="D284" s="408"/>
      <c r="E284" s="408"/>
      <c r="F284" s="408"/>
      <c r="G284" s="408"/>
    </row>
    <row r="285" spans="2:7">
      <c r="B285" s="408"/>
      <c r="C285" s="408"/>
      <c r="D285" s="408"/>
      <c r="E285" s="408"/>
      <c r="F285" s="408"/>
      <c r="G285" s="408"/>
    </row>
    <row r="286" spans="2:7">
      <c r="B286" s="408"/>
      <c r="C286" s="408"/>
      <c r="D286" s="408"/>
      <c r="E286" s="408"/>
      <c r="F286" s="408"/>
      <c r="G286" s="408"/>
    </row>
    <row r="287" spans="2:7">
      <c r="B287" s="408"/>
      <c r="C287" s="408"/>
      <c r="D287" s="408"/>
      <c r="E287" s="408"/>
      <c r="F287" s="408"/>
      <c r="G287" s="408"/>
    </row>
    <row r="288" spans="2:7">
      <c r="B288" s="408"/>
      <c r="C288" s="408"/>
      <c r="D288" s="408"/>
      <c r="E288" s="408"/>
      <c r="F288" s="408"/>
      <c r="G288" s="408"/>
    </row>
    <row r="289" spans="2:7">
      <c r="B289" s="408"/>
      <c r="C289" s="408"/>
      <c r="D289" s="408"/>
      <c r="E289" s="408"/>
      <c r="F289" s="408"/>
      <c r="G289" s="408"/>
    </row>
    <row r="290" spans="2:7">
      <c r="B290" s="408"/>
      <c r="C290" s="408"/>
      <c r="D290" s="408"/>
      <c r="E290" s="408"/>
      <c r="F290" s="408"/>
      <c r="G290" s="408"/>
    </row>
    <row r="291" spans="2:7">
      <c r="B291" s="408"/>
      <c r="C291" s="408"/>
      <c r="D291" s="408"/>
      <c r="E291" s="408"/>
      <c r="F291" s="408"/>
      <c r="G291" s="408"/>
    </row>
    <row r="292" spans="2:7">
      <c r="B292" s="408"/>
      <c r="C292" s="408"/>
      <c r="D292" s="408"/>
      <c r="E292" s="408"/>
      <c r="F292" s="408"/>
      <c r="G292" s="408"/>
    </row>
    <row r="293" spans="2:7">
      <c r="B293" s="408"/>
      <c r="C293" s="408"/>
      <c r="D293" s="408"/>
      <c r="E293" s="408"/>
      <c r="F293" s="408"/>
      <c r="G293" s="408"/>
    </row>
    <row r="294" spans="2:7">
      <c r="B294" s="408"/>
      <c r="C294" s="408"/>
      <c r="D294" s="408"/>
      <c r="E294" s="408"/>
      <c r="F294" s="408"/>
      <c r="G294" s="408"/>
    </row>
    <row r="295" spans="2:7">
      <c r="B295" s="408"/>
      <c r="C295" s="408"/>
      <c r="D295" s="408"/>
      <c r="E295" s="408"/>
      <c r="F295" s="408"/>
      <c r="G295" s="408"/>
    </row>
    <row r="296" spans="2:7">
      <c r="B296" s="408"/>
      <c r="C296" s="408"/>
      <c r="D296" s="408"/>
      <c r="E296" s="408"/>
      <c r="F296" s="408"/>
      <c r="G296" s="408"/>
    </row>
    <row r="297" spans="2:7">
      <c r="B297" s="408"/>
      <c r="C297" s="408"/>
      <c r="D297" s="408"/>
      <c r="E297" s="408"/>
      <c r="F297" s="408"/>
      <c r="G297" s="408"/>
    </row>
    <row r="298" spans="2:7">
      <c r="B298" s="408"/>
      <c r="C298" s="408"/>
      <c r="D298" s="408"/>
      <c r="E298" s="408"/>
      <c r="F298" s="408"/>
      <c r="G298" s="408"/>
    </row>
    <row r="299" spans="2:7">
      <c r="B299" s="408"/>
      <c r="C299" s="408"/>
      <c r="D299" s="408"/>
      <c r="E299" s="408"/>
      <c r="F299" s="408"/>
      <c r="G299" s="408"/>
    </row>
    <row r="300" spans="2:7">
      <c r="B300" s="408"/>
      <c r="C300" s="408"/>
      <c r="D300" s="408"/>
      <c r="E300" s="408"/>
      <c r="F300" s="408"/>
      <c r="G300" s="408"/>
    </row>
    <row r="301" spans="2:7">
      <c r="B301" s="408"/>
      <c r="C301" s="408"/>
      <c r="D301" s="408"/>
      <c r="E301" s="408"/>
      <c r="F301" s="408"/>
      <c r="G301" s="408"/>
    </row>
    <row r="302" spans="2:7">
      <c r="B302" s="408"/>
      <c r="C302" s="408"/>
      <c r="D302" s="408"/>
      <c r="E302" s="408"/>
      <c r="F302" s="408"/>
      <c r="G302" s="408"/>
    </row>
    <row r="303" spans="2:7">
      <c r="B303" s="408"/>
      <c r="C303" s="408"/>
      <c r="D303" s="408"/>
      <c r="E303" s="408"/>
      <c r="F303" s="408"/>
      <c r="G303" s="408"/>
    </row>
    <row r="304" spans="2:7">
      <c r="B304" s="408"/>
      <c r="C304" s="408"/>
      <c r="D304" s="408"/>
      <c r="E304" s="408"/>
      <c r="F304" s="408"/>
      <c r="G304" s="408"/>
    </row>
    <row r="305" spans="2:7">
      <c r="B305" s="408"/>
      <c r="C305" s="408"/>
      <c r="D305" s="408"/>
      <c r="E305" s="408"/>
      <c r="F305" s="408"/>
      <c r="G305" s="408"/>
    </row>
    <row r="306" spans="2:7">
      <c r="B306" s="408"/>
      <c r="C306" s="408"/>
      <c r="D306" s="408"/>
      <c r="E306" s="408"/>
      <c r="F306" s="408"/>
      <c r="G306" s="408"/>
    </row>
    <row r="307" spans="2:7">
      <c r="B307" s="408"/>
      <c r="C307" s="408"/>
      <c r="D307" s="408"/>
      <c r="E307" s="408"/>
      <c r="F307" s="408"/>
      <c r="G307" s="408"/>
    </row>
    <row r="308" spans="2:7">
      <c r="B308" s="408"/>
      <c r="C308" s="408"/>
      <c r="D308" s="408"/>
      <c r="E308" s="408"/>
      <c r="F308" s="408"/>
      <c r="G308" s="408"/>
    </row>
    <row r="309" spans="2:7">
      <c r="B309" s="408"/>
      <c r="C309" s="408"/>
      <c r="D309" s="408"/>
      <c r="E309" s="408"/>
      <c r="F309" s="408"/>
      <c r="G309" s="408"/>
    </row>
    <row r="310" spans="2:7">
      <c r="B310" s="408"/>
      <c r="C310" s="408"/>
      <c r="D310" s="408"/>
      <c r="E310" s="408"/>
      <c r="F310" s="408"/>
      <c r="G310" s="408"/>
    </row>
    <row r="311" spans="2:7">
      <c r="B311" s="408"/>
      <c r="C311" s="408"/>
      <c r="D311" s="408"/>
      <c r="E311" s="408"/>
      <c r="F311" s="408"/>
      <c r="G311" s="408"/>
    </row>
    <row r="312" spans="2:7">
      <c r="B312" s="408"/>
      <c r="C312" s="408"/>
      <c r="D312" s="408"/>
      <c r="E312" s="408"/>
      <c r="F312" s="408"/>
      <c r="G312" s="408"/>
    </row>
    <row r="313" spans="2:7">
      <c r="B313" s="408"/>
      <c r="C313" s="408"/>
      <c r="D313" s="408"/>
      <c r="E313" s="408"/>
      <c r="F313" s="408"/>
      <c r="G313" s="408"/>
    </row>
    <row r="314" spans="2:7">
      <c r="B314" s="408"/>
      <c r="C314" s="408"/>
      <c r="D314" s="408"/>
      <c r="E314" s="408"/>
      <c r="F314" s="408"/>
      <c r="G314" s="408"/>
    </row>
    <row r="315" spans="2:7">
      <c r="B315" s="408"/>
      <c r="C315" s="408"/>
      <c r="D315" s="408"/>
      <c r="E315" s="408"/>
      <c r="F315" s="408"/>
      <c r="G315" s="408"/>
    </row>
    <row r="316" spans="2:7">
      <c r="B316" s="408"/>
      <c r="C316" s="408"/>
      <c r="D316" s="408"/>
      <c r="E316" s="408"/>
      <c r="F316" s="408"/>
      <c r="G316" s="408"/>
    </row>
    <row r="317" spans="2:7">
      <c r="B317" s="408"/>
      <c r="C317" s="408"/>
      <c r="D317" s="408"/>
      <c r="E317" s="408"/>
      <c r="F317" s="408"/>
      <c r="G317" s="408"/>
    </row>
    <row r="318" spans="2:7">
      <c r="B318" s="408"/>
      <c r="C318" s="408"/>
      <c r="D318" s="408"/>
      <c r="E318" s="408"/>
      <c r="F318" s="408"/>
      <c r="G318" s="408"/>
    </row>
    <row r="319" spans="2:7">
      <c r="B319" s="408"/>
      <c r="C319" s="408"/>
      <c r="D319" s="408"/>
      <c r="E319" s="408"/>
      <c r="F319" s="408"/>
      <c r="G319" s="408"/>
    </row>
    <row r="320" spans="2:7">
      <c r="B320" s="408"/>
      <c r="C320" s="408"/>
      <c r="D320" s="408"/>
      <c r="E320" s="408"/>
      <c r="F320" s="408"/>
      <c r="G320" s="408"/>
    </row>
    <row r="321" spans="2:7">
      <c r="B321" s="408"/>
      <c r="C321" s="408"/>
      <c r="D321" s="408"/>
      <c r="E321" s="408"/>
      <c r="F321" s="408"/>
      <c r="G321" s="408"/>
    </row>
    <row r="322" spans="2:7">
      <c r="B322" s="408"/>
      <c r="C322" s="408"/>
      <c r="D322" s="408"/>
      <c r="E322" s="408"/>
      <c r="F322" s="408"/>
      <c r="G322" s="408"/>
    </row>
    <row r="323" spans="2:7">
      <c r="B323" s="408"/>
      <c r="C323" s="408"/>
      <c r="D323" s="408"/>
      <c r="E323" s="408"/>
      <c r="F323" s="408"/>
      <c r="G323" s="408"/>
    </row>
    <row r="324" spans="2:7">
      <c r="B324" s="408"/>
      <c r="C324" s="408"/>
      <c r="D324" s="408"/>
      <c r="E324" s="408"/>
      <c r="F324" s="408"/>
      <c r="G324" s="408"/>
    </row>
    <row r="325" spans="2:7">
      <c r="B325" s="408"/>
      <c r="C325" s="408"/>
      <c r="D325" s="408"/>
      <c r="E325" s="408"/>
      <c r="F325" s="408"/>
      <c r="G325" s="408"/>
    </row>
    <row r="326" spans="2:7">
      <c r="B326" s="408"/>
      <c r="C326" s="408"/>
      <c r="D326" s="408"/>
      <c r="E326" s="408"/>
      <c r="F326" s="408"/>
      <c r="G326" s="408"/>
    </row>
    <row r="327" spans="2:7">
      <c r="B327" s="408"/>
      <c r="C327" s="408"/>
      <c r="D327" s="408"/>
      <c r="E327" s="408"/>
      <c r="F327" s="408"/>
      <c r="G327" s="408"/>
    </row>
    <row r="328" spans="2:7">
      <c r="B328" s="408"/>
      <c r="C328" s="408"/>
      <c r="D328" s="408"/>
      <c r="E328" s="408"/>
      <c r="F328" s="408"/>
      <c r="G328" s="408"/>
    </row>
    <row r="329" spans="2:7">
      <c r="B329" s="408"/>
      <c r="C329" s="408"/>
      <c r="D329" s="408"/>
      <c r="E329" s="408"/>
      <c r="F329" s="408"/>
      <c r="G329" s="408"/>
    </row>
    <row r="330" spans="2:7">
      <c r="B330" s="408"/>
      <c r="C330" s="408"/>
      <c r="D330" s="408"/>
      <c r="E330" s="408"/>
      <c r="F330" s="408"/>
      <c r="G330" s="408"/>
    </row>
    <row r="331" spans="2:7">
      <c r="B331" s="408"/>
      <c r="C331" s="408"/>
      <c r="D331" s="408"/>
      <c r="E331" s="408"/>
      <c r="F331" s="408"/>
      <c r="G331" s="408"/>
    </row>
    <row r="332" spans="2:7">
      <c r="B332" s="408"/>
      <c r="C332" s="408"/>
      <c r="D332" s="408"/>
      <c r="E332" s="408"/>
      <c r="F332" s="408"/>
      <c r="G332" s="408"/>
    </row>
    <row r="333" spans="2:7">
      <c r="B333" s="408"/>
      <c r="C333" s="408"/>
      <c r="D333" s="408"/>
      <c r="E333" s="408"/>
      <c r="F333" s="408"/>
      <c r="G333" s="408"/>
    </row>
    <row r="334" spans="2:7">
      <c r="B334" s="408"/>
      <c r="C334" s="408"/>
      <c r="D334" s="408"/>
      <c r="E334" s="408"/>
      <c r="F334" s="408"/>
      <c r="G334" s="408"/>
    </row>
    <row r="335" spans="2:7">
      <c r="B335" s="408"/>
      <c r="C335" s="408"/>
      <c r="D335" s="408"/>
      <c r="E335" s="408"/>
      <c r="F335" s="408"/>
      <c r="G335" s="408"/>
    </row>
    <row r="336" spans="2:7">
      <c r="B336" s="408"/>
      <c r="C336" s="408"/>
      <c r="D336" s="408"/>
      <c r="E336" s="408"/>
      <c r="F336" s="408"/>
      <c r="G336" s="408"/>
    </row>
    <row r="337" spans="2:7">
      <c r="B337" s="408"/>
      <c r="C337" s="408"/>
      <c r="D337" s="408"/>
      <c r="E337" s="408"/>
      <c r="F337" s="408"/>
      <c r="G337" s="408"/>
    </row>
    <row r="338" spans="2:7">
      <c r="B338" s="408"/>
      <c r="C338" s="408"/>
      <c r="D338" s="408"/>
      <c r="E338" s="408"/>
      <c r="F338" s="408"/>
      <c r="G338" s="408"/>
    </row>
    <row r="339" spans="2:7">
      <c r="B339" s="408"/>
      <c r="C339" s="408"/>
      <c r="D339" s="408"/>
      <c r="E339" s="408"/>
      <c r="F339" s="408"/>
      <c r="G339" s="408"/>
    </row>
    <row r="340" spans="2:7">
      <c r="B340" s="408"/>
      <c r="C340" s="408"/>
      <c r="D340" s="408"/>
      <c r="E340" s="408"/>
      <c r="F340" s="408"/>
      <c r="G340" s="408"/>
    </row>
    <row r="341" spans="2:7">
      <c r="B341" s="408"/>
      <c r="C341" s="408"/>
      <c r="D341" s="408"/>
      <c r="E341" s="408"/>
      <c r="F341" s="408"/>
      <c r="G341" s="408"/>
    </row>
    <row r="342" spans="2:7">
      <c r="B342" s="408"/>
      <c r="C342" s="408"/>
      <c r="D342" s="408"/>
      <c r="E342" s="408"/>
      <c r="F342" s="408"/>
      <c r="G342" s="408"/>
    </row>
    <row r="343" spans="2:7">
      <c r="B343" s="408"/>
      <c r="C343" s="408"/>
      <c r="D343" s="408"/>
      <c r="E343" s="408"/>
      <c r="F343" s="408"/>
      <c r="G343" s="408"/>
    </row>
    <row r="344" spans="2:7">
      <c r="B344" s="408"/>
      <c r="C344" s="408"/>
      <c r="D344" s="408"/>
      <c r="E344" s="408"/>
      <c r="F344" s="408"/>
      <c r="G344" s="408"/>
    </row>
    <row r="345" spans="2:7">
      <c r="B345" s="408"/>
      <c r="C345" s="408"/>
      <c r="D345" s="408"/>
      <c r="E345" s="408"/>
      <c r="F345" s="408"/>
      <c r="G345" s="408"/>
    </row>
    <row r="346" spans="2:7">
      <c r="B346" s="408"/>
      <c r="C346" s="408"/>
      <c r="D346" s="408"/>
      <c r="E346" s="408"/>
      <c r="F346" s="408"/>
      <c r="G346" s="408"/>
    </row>
    <row r="347" spans="2:7">
      <c r="B347" s="408"/>
      <c r="C347" s="408"/>
      <c r="D347" s="408"/>
      <c r="E347" s="408"/>
      <c r="F347" s="408"/>
      <c r="G347" s="408"/>
    </row>
    <row r="348" spans="2:7">
      <c r="B348" s="408"/>
      <c r="C348" s="408"/>
      <c r="D348" s="408"/>
      <c r="E348" s="408"/>
      <c r="F348" s="408"/>
      <c r="G348" s="408"/>
    </row>
    <row r="349" spans="2:7">
      <c r="B349" s="408"/>
      <c r="C349" s="408"/>
      <c r="D349" s="408"/>
      <c r="E349" s="408"/>
      <c r="F349" s="408"/>
      <c r="G349" s="408"/>
    </row>
    <row r="350" spans="2:7">
      <c r="B350" s="408"/>
      <c r="C350" s="408"/>
      <c r="D350" s="408"/>
      <c r="E350" s="408"/>
      <c r="F350" s="408"/>
      <c r="G350" s="408"/>
    </row>
    <row r="351" spans="2:7">
      <c r="B351" s="408"/>
      <c r="C351" s="408"/>
      <c r="D351" s="408"/>
      <c r="E351" s="408"/>
      <c r="F351" s="408"/>
      <c r="G351" s="408"/>
    </row>
    <row r="352" spans="2:7">
      <c r="B352" s="408"/>
      <c r="C352" s="408"/>
      <c r="D352" s="408"/>
      <c r="E352" s="408"/>
      <c r="F352" s="408"/>
      <c r="G352" s="408"/>
    </row>
    <row r="353" spans="2:7">
      <c r="B353" s="408"/>
      <c r="C353" s="408"/>
      <c r="D353" s="408"/>
      <c r="E353" s="408"/>
      <c r="F353" s="408"/>
      <c r="G353" s="408"/>
    </row>
    <row r="354" spans="2:7">
      <c r="B354" s="408"/>
      <c r="C354" s="408"/>
      <c r="D354" s="408"/>
      <c r="E354" s="408"/>
      <c r="F354" s="408"/>
      <c r="G354" s="408"/>
    </row>
    <row r="355" spans="2:7">
      <c r="B355" s="408"/>
      <c r="C355" s="408"/>
      <c r="D355" s="408"/>
      <c r="E355" s="408"/>
      <c r="F355" s="408"/>
      <c r="G355" s="408"/>
    </row>
    <row r="356" spans="2:7">
      <c r="B356" s="408"/>
      <c r="C356" s="408"/>
      <c r="D356" s="408"/>
      <c r="E356" s="408"/>
      <c r="F356" s="408"/>
      <c r="G356" s="408"/>
    </row>
    <row r="357" spans="2:7">
      <c r="B357" s="408"/>
      <c r="C357" s="408"/>
      <c r="D357" s="408"/>
      <c r="E357" s="408"/>
      <c r="F357" s="408"/>
      <c r="G357" s="408"/>
    </row>
    <row r="358" spans="2:7">
      <c r="B358" s="408"/>
      <c r="C358" s="408"/>
      <c r="D358" s="408"/>
      <c r="E358" s="408"/>
      <c r="F358" s="408"/>
      <c r="G358" s="408"/>
    </row>
    <row r="359" spans="2:7">
      <c r="B359" s="408"/>
      <c r="C359" s="408"/>
      <c r="D359" s="408"/>
      <c r="E359" s="408"/>
      <c r="F359" s="408"/>
      <c r="G359" s="408"/>
    </row>
    <row r="360" spans="2:7">
      <c r="B360" s="408"/>
      <c r="C360" s="408"/>
      <c r="D360" s="408"/>
      <c r="E360" s="408"/>
      <c r="F360" s="408"/>
      <c r="G360" s="408"/>
    </row>
    <row r="361" spans="2:7">
      <c r="B361" s="408"/>
      <c r="C361" s="408"/>
      <c r="D361" s="408"/>
      <c r="E361" s="408"/>
      <c r="F361" s="408"/>
      <c r="G361" s="408"/>
    </row>
    <row r="362" spans="2:7">
      <c r="B362" s="408"/>
      <c r="C362" s="408"/>
      <c r="D362" s="408"/>
      <c r="E362" s="408"/>
      <c r="F362" s="408"/>
      <c r="G362" s="408"/>
    </row>
    <row r="363" spans="2:7">
      <c r="B363" s="408"/>
      <c r="C363" s="408"/>
      <c r="D363" s="408"/>
      <c r="E363" s="408"/>
      <c r="F363" s="408"/>
      <c r="G363" s="408"/>
    </row>
    <row r="364" spans="2:7">
      <c r="B364" s="408"/>
      <c r="C364" s="408"/>
      <c r="D364" s="408"/>
      <c r="E364" s="408"/>
      <c r="F364" s="408"/>
      <c r="G364" s="408"/>
    </row>
    <row r="365" spans="2:7">
      <c r="B365" s="408"/>
      <c r="C365" s="408"/>
      <c r="D365" s="408"/>
      <c r="E365" s="408"/>
      <c r="F365" s="408"/>
      <c r="G365" s="408"/>
    </row>
    <row r="366" spans="2:7">
      <c r="B366" s="408"/>
      <c r="C366" s="408"/>
      <c r="D366" s="408"/>
      <c r="E366" s="408"/>
      <c r="F366" s="408"/>
      <c r="G366" s="408"/>
    </row>
    <row r="367" spans="2:7">
      <c r="B367" s="408"/>
      <c r="C367" s="408"/>
      <c r="D367" s="408"/>
      <c r="E367" s="408"/>
      <c r="F367" s="408"/>
      <c r="G367" s="408"/>
    </row>
    <row r="368" spans="2:7">
      <c r="B368" s="408"/>
      <c r="C368" s="408"/>
      <c r="D368" s="408"/>
      <c r="E368" s="408"/>
      <c r="F368" s="408"/>
      <c r="G368" s="408"/>
    </row>
    <row r="369" spans="2:7">
      <c r="B369" s="408"/>
      <c r="C369" s="408"/>
      <c r="D369" s="408"/>
      <c r="E369" s="408"/>
      <c r="F369" s="408"/>
      <c r="G369" s="408"/>
    </row>
    <row r="370" spans="2:7">
      <c r="B370" s="408"/>
      <c r="C370" s="408"/>
      <c r="D370" s="408"/>
      <c r="E370" s="408"/>
      <c r="F370" s="408"/>
      <c r="G370" s="408"/>
    </row>
    <row r="371" spans="2:7">
      <c r="B371" s="408"/>
      <c r="C371" s="408"/>
      <c r="D371" s="408"/>
      <c r="E371" s="408"/>
      <c r="F371" s="408"/>
      <c r="G371" s="408"/>
    </row>
    <row r="372" spans="2:7">
      <c r="B372" s="408"/>
      <c r="C372" s="408"/>
      <c r="D372" s="408"/>
      <c r="E372" s="408"/>
      <c r="F372" s="408"/>
      <c r="G372" s="408"/>
    </row>
    <row r="373" spans="2:7">
      <c r="B373" s="408"/>
      <c r="C373" s="408"/>
      <c r="D373" s="408"/>
      <c r="E373" s="408"/>
      <c r="F373" s="408"/>
      <c r="G373" s="408"/>
    </row>
    <row r="374" spans="2:7">
      <c r="B374" s="408"/>
      <c r="C374" s="408"/>
      <c r="D374" s="408"/>
      <c r="E374" s="408"/>
      <c r="F374" s="408"/>
      <c r="G374" s="408"/>
    </row>
    <row r="375" spans="2:7">
      <c r="B375" s="408"/>
      <c r="C375" s="408"/>
      <c r="D375" s="408"/>
      <c r="E375" s="408"/>
      <c r="F375" s="408"/>
      <c r="G375" s="408"/>
    </row>
    <row r="376" spans="2:7">
      <c r="B376" s="408"/>
      <c r="C376" s="408"/>
      <c r="D376" s="408"/>
      <c r="E376" s="408"/>
      <c r="F376" s="408"/>
      <c r="G376" s="408"/>
    </row>
    <row r="377" spans="2:7">
      <c r="B377" s="408"/>
      <c r="C377" s="408"/>
      <c r="D377" s="408"/>
      <c r="E377" s="408"/>
      <c r="F377" s="408"/>
      <c r="G377" s="408"/>
    </row>
    <row r="378" spans="2:7">
      <c r="B378" s="408"/>
      <c r="C378" s="408"/>
      <c r="D378" s="408"/>
      <c r="E378" s="408"/>
      <c r="F378" s="408"/>
      <c r="G378" s="408"/>
    </row>
    <row r="379" spans="2:7">
      <c r="B379" s="408"/>
      <c r="C379" s="408"/>
      <c r="D379" s="408"/>
      <c r="E379" s="408"/>
      <c r="F379" s="408"/>
      <c r="G379" s="408"/>
    </row>
    <row r="380" spans="2:7">
      <c r="B380" s="408"/>
      <c r="C380" s="408"/>
      <c r="D380" s="408"/>
      <c r="E380" s="408"/>
      <c r="F380" s="408"/>
      <c r="G380" s="408"/>
    </row>
    <row r="381" spans="2:7">
      <c r="B381" s="408"/>
      <c r="C381" s="408"/>
      <c r="D381" s="408"/>
      <c r="E381" s="408"/>
      <c r="F381" s="408"/>
      <c r="G381" s="408"/>
    </row>
    <row r="382" spans="2:7">
      <c r="B382" s="408"/>
      <c r="C382" s="408"/>
      <c r="D382" s="408"/>
      <c r="E382" s="408"/>
      <c r="F382" s="408"/>
      <c r="G382" s="408"/>
    </row>
    <row r="383" spans="2:7">
      <c r="B383" s="408"/>
      <c r="C383" s="408"/>
      <c r="D383" s="408"/>
      <c r="E383" s="408"/>
      <c r="F383" s="408"/>
      <c r="G383" s="408"/>
    </row>
    <row r="384" spans="2:7">
      <c r="B384" s="408"/>
      <c r="C384" s="408"/>
      <c r="D384" s="408"/>
      <c r="E384" s="408"/>
      <c r="F384" s="408"/>
      <c r="G384" s="408"/>
    </row>
    <row r="385" spans="2:7">
      <c r="B385" s="408"/>
      <c r="C385" s="408"/>
      <c r="D385" s="408"/>
      <c r="E385" s="408"/>
      <c r="F385" s="408"/>
      <c r="G385" s="408"/>
    </row>
    <row r="386" spans="2:7">
      <c r="B386" s="408"/>
      <c r="C386" s="408"/>
      <c r="D386" s="408"/>
      <c r="E386" s="408"/>
      <c r="F386" s="408"/>
      <c r="G386" s="408"/>
    </row>
    <row r="387" spans="2:7">
      <c r="B387" s="408"/>
      <c r="C387" s="408"/>
      <c r="D387" s="408"/>
      <c r="E387" s="408"/>
      <c r="F387" s="408"/>
      <c r="G387" s="408"/>
    </row>
    <row r="388" spans="2:7">
      <c r="B388" s="408"/>
      <c r="C388" s="408"/>
      <c r="D388" s="408"/>
      <c r="E388" s="408"/>
      <c r="F388" s="408"/>
      <c r="G388" s="408"/>
    </row>
    <row r="389" spans="2:7">
      <c r="B389" s="408"/>
      <c r="C389" s="408"/>
      <c r="D389" s="408"/>
      <c r="E389" s="408"/>
      <c r="F389" s="408"/>
      <c r="G389" s="408"/>
    </row>
    <row r="390" spans="2:7">
      <c r="B390" s="408"/>
      <c r="C390" s="408"/>
      <c r="D390" s="408"/>
      <c r="E390" s="408"/>
      <c r="F390" s="408"/>
      <c r="G390" s="408"/>
    </row>
    <row r="391" spans="2:7">
      <c r="B391" s="408"/>
      <c r="C391" s="408"/>
      <c r="D391" s="408"/>
      <c r="E391" s="408"/>
      <c r="F391" s="408"/>
      <c r="G391" s="408"/>
    </row>
    <row r="392" spans="2:7">
      <c r="B392" s="408"/>
      <c r="C392" s="408"/>
      <c r="D392" s="408"/>
      <c r="E392" s="408"/>
      <c r="F392" s="408"/>
      <c r="G392" s="408"/>
    </row>
    <row r="393" spans="2:7">
      <c r="B393" s="408"/>
      <c r="C393" s="408"/>
      <c r="D393" s="408"/>
      <c r="E393" s="408"/>
      <c r="F393" s="408"/>
      <c r="G393" s="408"/>
    </row>
    <row r="394" spans="2:7">
      <c r="B394" s="408"/>
      <c r="C394" s="408"/>
      <c r="D394" s="408"/>
      <c r="E394" s="408"/>
      <c r="F394" s="408"/>
      <c r="G394" s="408"/>
    </row>
    <row r="395" spans="2:7">
      <c r="B395" s="408"/>
      <c r="C395" s="408"/>
      <c r="D395" s="408"/>
      <c r="E395" s="408"/>
      <c r="F395" s="408"/>
      <c r="G395" s="408"/>
    </row>
    <row r="396" spans="2:7">
      <c r="B396" s="408"/>
      <c r="C396" s="408"/>
      <c r="D396" s="408"/>
      <c r="E396" s="408"/>
      <c r="F396" s="408"/>
      <c r="G396" s="408"/>
    </row>
    <row r="397" spans="2:7">
      <c r="B397" s="408"/>
      <c r="C397" s="408"/>
      <c r="D397" s="408"/>
      <c r="E397" s="408"/>
      <c r="F397" s="408"/>
      <c r="G397" s="408"/>
    </row>
    <row r="398" spans="2:7">
      <c r="B398" s="408"/>
      <c r="C398" s="408"/>
      <c r="D398" s="408"/>
      <c r="E398" s="408"/>
      <c r="F398" s="408"/>
      <c r="G398" s="408"/>
    </row>
    <row r="399" spans="2:7">
      <c r="B399" s="408"/>
      <c r="C399" s="408"/>
      <c r="D399" s="408"/>
      <c r="E399" s="408"/>
      <c r="F399" s="408"/>
      <c r="G399" s="408"/>
    </row>
    <row r="400" spans="2:7">
      <c r="B400" s="408"/>
      <c r="C400" s="408"/>
      <c r="D400" s="408"/>
      <c r="E400" s="408"/>
      <c r="F400" s="408"/>
      <c r="G400" s="408"/>
    </row>
    <row r="401" spans="2:7">
      <c r="B401" s="408"/>
      <c r="C401" s="408"/>
      <c r="D401" s="408"/>
      <c r="E401" s="408"/>
      <c r="F401" s="408"/>
      <c r="G401" s="408"/>
    </row>
    <row r="402" spans="2:7">
      <c r="B402" s="408"/>
      <c r="C402" s="408"/>
      <c r="D402" s="408"/>
      <c r="E402" s="408"/>
      <c r="F402" s="408"/>
      <c r="G402" s="408"/>
    </row>
    <row r="403" spans="2:7">
      <c r="B403" s="408"/>
      <c r="C403" s="408"/>
      <c r="D403" s="408"/>
      <c r="E403" s="408"/>
      <c r="F403" s="408"/>
      <c r="G403" s="408"/>
    </row>
    <row r="404" spans="2:7">
      <c r="B404" s="408"/>
      <c r="C404" s="408"/>
      <c r="D404" s="408"/>
      <c r="E404" s="408"/>
      <c r="F404" s="408"/>
      <c r="G404" s="408"/>
    </row>
    <row r="405" spans="2:7">
      <c r="B405" s="408"/>
      <c r="C405" s="408"/>
      <c r="D405" s="408"/>
      <c r="E405" s="408"/>
      <c r="F405" s="408"/>
      <c r="G405" s="408"/>
    </row>
    <row r="406" spans="2:7">
      <c r="B406" s="408"/>
      <c r="C406" s="408"/>
      <c r="D406" s="408"/>
      <c r="E406" s="408"/>
      <c r="F406" s="408"/>
      <c r="G406" s="408"/>
    </row>
    <row r="407" spans="2:7">
      <c r="B407" s="408"/>
      <c r="C407" s="408"/>
      <c r="D407" s="408"/>
      <c r="E407" s="408"/>
      <c r="F407" s="408"/>
      <c r="G407" s="408"/>
    </row>
    <row r="408" spans="2:7">
      <c r="B408" s="408"/>
      <c r="C408" s="408"/>
      <c r="D408" s="408"/>
      <c r="E408" s="408"/>
      <c r="F408" s="408"/>
      <c r="G408" s="408"/>
    </row>
    <row r="409" spans="2:7">
      <c r="B409" s="408"/>
      <c r="C409" s="408"/>
      <c r="D409" s="408"/>
      <c r="E409" s="408"/>
      <c r="F409" s="408"/>
      <c r="G409" s="408"/>
    </row>
    <row r="410" spans="2:7">
      <c r="B410" s="408"/>
      <c r="C410" s="408"/>
      <c r="D410" s="408"/>
      <c r="E410" s="408"/>
      <c r="F410" s="408"/>
      <c r="G410" s="408"/>
    </row>
    <row r="411" spans="2:7">
      <c r="B411" s="408"/>
      <c r="C411" s="408"/>
      <c r="D411" s="408"/>
      <c r="E411" s="408"/>
      <c r="F411" s="408"/>
      <c r="G411" s="408"/>
    </row>
    <row r="412" spans="2:7">
      <c r="B412" s="408"/>
      <c r="C412" s="408"/>
      <c r="D412" s="408"/>
      <c r="E412" s="408"/>
      <c r="F412" s="408"/>
      <c r="G412" s="408"/>
    </row>
    <row r="413" spans="2:7">
      <c r="B413" s="408"/>
      <c r="C413" s="408"/>
      <c r="D413" s="408"/>
      <c r="E413" s="408"/>
      <c r="F413" s="408"/>
      <c r="G413" s="408"/>
    </row>
    <row r="414" spans="2:7">
      <c r="B414" s="408"/>
      <c r="C414" s="408"/>
      <c r="D414" s="408"/>
      <c r="E414" s="408"/>
      <c r="F414" s="408"/>
      <c r="G414" s="408"/>
    </row>
    <row r="415" spans="2:7">
      <c r="B415" s="408"/>
      <c r="C415" s="408"/>
      <c r="D415" s="408"/>
      <c r="E415" s="408"/>
      <c r="F415" s="408"/>
      <c r="G415" s="408"/>
    </row>
    <row r="416" spans="2:7">
      <c r="B416" s="408"/>
      <c r="C416" s="408"/>
      <c r="D416" s="408"/>
      <c r="E416" s="408"/>
      <c r="F416" s="408"/>
      <c r="G416" s="408"/>
    </row>
    <row r="417" spans="2:7">
      <c r="B417" s="408"/>
      <c r="C417" s="408"/>
      <c r="D417" s="408"/>
      <c r="E417" s="408"/>
      <c r="F417" s="408"/>
      <c r="G417" s="408"/>
    </row>
    <row r="418" spans="2:7">
      <c r="B418" s="408"/>
      <c r="C418" s="408"/>
      <c r="D418" s="408"/>
      <c r="E418" s="408"/>
      <c r="F418" s="408"/>
      <c r="G418" s="408"/>
    </row>
    <row r="419" spans="2:7">
      <c r="B419" s="408"/>
      <c r="C419" s="408"/>
      <c r="D419" s="408"/>
      <c r="E419" s="408"/>
      <c r="F419" s="408"/>
      <c r="G419" s="408"/>
    </row>
    <row r="420" spans="2:7">
      <c r="B420" s="408"/>
      <c r="C420" s="408"/>
      <c r="D420" s="408"/>
      <c r="E420" s="408"/>
      <c r="F420" s="408"/>
      <c r="G420" s="408"/>
    </row>
    <row r="421" spans="2:7">
      <c r="B421" s="408"/>
      <c r="C421" s="408"/>
      <c r="D421" s="408"/>
      <c r="E421" s="408"/>
      <c r="F421" s="408"/>
      <c r="G421" s="408"/>
    </row>
    <row r="422" spans="2:7">
      <c r="B422" s="408"/>
      <c r="C422" s="408"/>
      <c r="D422" s="408"/>
      <c r="E422" s="408"/>
      <c r="F422" s="408"/>
      <c r="G422" s="408"/>
    </row>
    <row r="423" spans="2:7">
      <c r="B423" s="408"/>
      <c r="C423" s="408"/>
      <c r="D423" s="408"/>
      <c r="E423" s="408"/>
      <c r="F423" s="408"/>
      <c r="G423" s="408"/>
    </row>
    <row r="424" spans="2:7">
      <c r="B424" s="408"/>
      <c r="C424" s="408"/>
      <c r="D424" s="408"/>
      <c r="E424" s="408"/>
      <c r="F424" s="408"/>
      <c r="G424" s="408"/>
    </row>
    <row r="425" spans="2:7">
      <c r="B425" s="408"/>
      <c r="C425" s="408"/>
      <c r="D425" s="408"/>
      <c r="E425" s="408"/>
      <c r="F425" s="408"/>
      <c r="G425" s="408"/>
    </row>
    <row r="426" spans="2:7">
      <c r="B426" s="408"/>
      <c r="C426" s="408"/>
      <c r="D426" s="408"/>
      <c r="E426" s="408"/>
      <c r="F426" s="408"/>
      <c r="G426" s="408"/>
    </row>
    <row r="427" spans="2:7">
      <c r="B427" s="408"/>
      <c r="C427" s="408"/>
      <c r="D427" s="408"/>
      <c r="E427" s="408"/>
      <c r="F427" s="408"/>
      <c r="G427" s="408"/>
    </row>
    <row r="428" spans="2:7">
      <c r="B428" s="408"/>
      <c r="C428" s="408"/>
      <c r="D428" s="408"/>
      <c r="E428" s="408"/>
      <c r="F428" s="408"/>
      <c r="G428" s="408"/>
    </row>
    <row r="429" spans="2:7">
      <c r="B429" s="408"/>
      <c r="C429" s="408"/>
      <c r="D429" s="408"/>
      <c r="E429" s="408"/>
      <c r="F429" s="408"/>
      <c r="G429" s="408"/>
    </row>
    <row r="430" spans="2:7">
      <c r="B430" s="408"/>
      <c r="C430" s="408"/>
      <c r="D430" s="408"/>
      <c r="E430" s="408"/>
      <c r="F430" s="408"/>
      <c r="G430" s="408"/>
    </row>
    <row r="431" spans="2:7">
      <c r="B431" s="408"/>
      <c r="C431" s="408"/>
      <c r="D431" s="408"/>
      <c r="E431" s="408"/>
      <c r="F431" s="408"/>
      <c r="G431" s="408"/>
    </row>
    <row r="432" spans="2:7">
      <c r="B432" s="408"/>
      <c r="C432" s="408"/>
      <c r="D432" s="408"/>
      <c r="E432" s="408"/>
      <c r="F432" s="408"/>
      <c r="G432" s="408"/>
    </row>
    <row r="433" spans="2:7">
      <c r="B433" s="408"/>
      <c r="C433" s="408"/>
      <c r="D433" s="408"/>
      <c r="E433" s="408"/>
      <c r="F433" s="408"/>
      <c r="G433" s="408"/>
    </row>
    <row r="434" spans="2:7">
      <c r="B434" s="408"/>
      <c r="C434" s="408"/>
      <c r="D434" s="408"/>
      <c r="E434" s="408"/>
      <c r="F434" s="408"/>
      <c r="G434" s="408"/>
    </row>
    <row r="435" spans="2:7">
      <c r="B435" s="408"/>
      <c r="C435" s="408"/>
      <c r="D435" s="408"/>
      <c r="E435" s="408"/>
      <c r="F435" s="408"/>
      <c r="G435" s="408"/>
    </row>
    <row r="436" spans="2:7">
      <c r="B436" s="408"/>
      <c r="C436" s="408"/>
      <c r="D436" s="408"/>
      <c r="E436" s="408"/>
      <c r="F436" s="408"/>
      <c r="G436" s="408"/>
    </row>
    <row r="437" spans="2:7">
      <c r="B437" s="408"/>
      <c r="C437" s="408"/>
      <c r="D437" s="408"/>
      <c r="E437" s="408"/>
      <c r="F437" s="408"/>
      <c r="G437" s="408"/>
    </row>
    <row r="438" spans="2:7">
      <c r="B438" s="408"/>
      <c r="C438" s="408"/>
      <c r="D438" s="408"/>
      <c r="E438" s="408"/>
      <c r="F438" s="408"/>
      <c r="G438" s="408"/>
    </row>
    <row r="439" spans="2:7">
      <c r="B439" s="408"/>
      <c r="C439" s="408"/>
      <c r="D439" s="408"/>
      <c r="E439" s="408"/>
      <c r="F439" s="408"/>
      <c r="G439" s="408"/>
    </row>
    <row r="440" spans="2:7">
      <c r="B440" s="408"/>
      <c r="C440" s="408"/>
      <c r="D440" s="408"/>
      <c r="E440" s="408"/>
      <c r="F440" s="408"/>
      <c r="G440" s="408"/>
    </row>
    <row r="441" spans="2:7">
      <c r="B441" s="408"/>
      <c r="C441" s="408"/>
      <c r="D441" s="408"/>
      <c r="E441" s="408"/>
      <c r="F441" s="408"/>
      <c r="G441" s="408"/>
    </row>
    <row r="442" spans="2:7">
      <c r="B442" s="408"/>
      <c r="C442" s="408"/>
      <c r="D442" s="408"/>
      <c r="E442" s="408"/>
      <c r="F442" s="408"/>
      <c r="G442" s="408"/>
    </row>
    <row r="443" spans="2:7">
      <c r="B443" s="408"/>
      <c r="C443" s="408"/>
      <c r="D443" s="408"/>
      <c r="E443" s="408"/>
      <c r="F443" s="408"/>
      <c r="G443" s="408"/>
    </row>
    <row r="444" spans="2:7">
      <c r="B444" s="408"/>
      <c r="C444" s="408"/>
      <c r="D444" s="408"/>
      <c r="E444" s="408"/>
      <c r="F444" s="408"/>
      <c r="G444" s="408"/>
    </row>
  </sheetData>
  <mergeCells count="7">
    <mergeCell ref="B1:F1"/>
    <mergeCell ref="B2:F2"/>
    <mergeCell ref="C11:E11"/>
    <mergeCell ref="F37:G37"/>
    <mergeCell ref="F38:G38"/>
    <mergeCell ref="A1:A35"/>
    <mergeCell ref="E8:E9"/>
  </mergeCells>
  <printOptions horizontalCentered="1"/>
  <pageMargins left="0.313888888888889" right="0.313888888888889" top="0.629166666666667" bottom="0.629166666666667" header="0.15625" footer="0.15625"/>
  <pageSetup paperSize="9" firstPageNumber="9" orientation="portrait" useFirstPageNumber="1"/>
  <headerFooter/>
  <drawing r:id="rId1"/>
  <legacyDrawing r:id="rId2"/>
  <mc:AlternateContent xmlns:mc="http://schemas.openxmlformats.org/markup-compatibility/2006">
    <mc:Choice Requires="x14">
      <controls>
        <mc:AlternateContent xmlns:mc="http://schemas.openxmlformats.org/markup-compatibility/2006">
          <mc:Choice Requires="x14">
            <control shapeId="25608" name="Check Box 8" r:id="rId3">
              <controlPr defaultSize="0">
                <anchor moveWithCells="1">
                  <from>
                    <xdr:col>4</xdr:col>
                    <xdr:colOff>228600</xdr:colOff>
                    <xdr:row>2</xdr:row>
                    <xdr:rowOff>9525</xdr:rowOff>
                  </from>
                  <to>
                    <xdr:col>4</xdr:col>
                    <xdr:colOff>533400</xdr:colOff>
                    <xdr:row>4</xdr:row>
                    <xdr:rowOff>9525</xdr:rowOff>
                  </to>
                </anchor>
              </controlPr>
            </control>
          </mc:Choice>
        </mc:AlternateContent>
        <mc:AlternateContent xmlns:mc="http://schemas.openxmlformats.org/markup-compatibility/2006">
          <mc:Choice Requires="x14">
            <control shapeId="25609" name="Check Box 9" r:id="rId4">
              <controlPr defaultSize="0">
                <anchor moveWithCells="1">
                  <from>
                    <xdr:col>5</xdr:col>
                    <xdr:colOff>0</xdr:colOff>
                    <xdr:row>2</xdr:row>
                    <xdr:rowOff>9525</xdr:rowOff>
                  </from>
                  <to>
                    <xdr:col>5</xdr:col>
                    <xdr:colOff>304800</xdr:colOff>
                    <xdr:row>4</xdr:row>
                    <xdr:rowOff>9525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0000"/>
    <pageSetUpPr fitToPage="1"/>
  </sheetPr>
  <dimension ref="A1:L41"/>
  <sheetViews>
    <sheetView zoomScale="70" zoomScaleNormal="70" workbookViewId="0">
      <selection activeCell="C11" sqref="C11"/>
    </sheetView>
  </sheetViews>
  <sheetFormatPr defaultColWidth="9" defaultRowHeight="18.75"/>
  <cols>
    <col min="1" max="1" width="4" style="554" customWidth="1"/>
    <col min="2" max="2" width="4.375" style="554" customWidth="1"/>
    <col min="3" max="3" width="65.375" style="555" customWidth="1"/>
    <col min="4" max="4" width="2.75" style="555" customWidth="1"/>
    <col min="5" max="5" width="5" style="554" customWidth="1"/>
    <col min="6" max="6" width="12" style="554" customWidth="1"/>
    <col min="7" max="7" width="12.5" style="554" customWidth="1"/>
    <col min="8" max="8" width="15.5" style="554" customWidth="1"/>
    <col min="9" max="9" width="14.375" style="554" customWidth="1"/>
    <col min="10" max="10" width="3.75" style="554" customWidth="1"/>
    <col min="11" max="11" width="18.125" style="555" customWidth="1"/>
    <col min="12" max="16384" width="9" style="557"/>
  </cols>
  <sheetData>
    <row r="1" customHeight="1" spans="1:12">
      <c r="A1" s="685" t="s">
        <v>219</v>
      </c>
      <c r="B1" s="685"/>
      <c r="C1" s="685"/>
      <c r="D1" s="685"/>
      <c r="E1" s="685"/>
      <c r="F1" s="685"/>
      <c r="G1" s="685"/>
      <c r="H1" s="685"/>
      <c r="I1" s="685"/>
      <c r="J1" s="685"/>
      <c r="K1" s="685"/>
    </row>
    <row r="2" ht="13.5" spans="1:12">
      <c r="A2" s="686"/>
      <c r="B2" s="686"/>
      <c r="C2" s="686"/>
      <c r="D2" s="686"/>
      <c r="E2" s="686"/>
      <c r="F2" s="686"/>
      <c r="G2" s="686"/>
      <c r="H2" s="686"/>
      <c r="I2" s="686"/>
      <c r="J2" s="686"/>
      <c r="K2" s="687" t="s">
        <v>220</v>
      </c>
    </row>
    <row r="3" ht="12.75" customHeight="1" spans="1:12">
      <c r="A3" s="686"/>
      <c r="B3" s="686"/>
      <c r="C3" s="686"/>
      <c r="D3" s="686"/>
      <c r="E3" s="686"/>
      <c r="F3" s="686"/>
      <c r="G3" s="688"/>
      <c r="H3" s="688"/>
      <c r="I3" s="686"/>
      <c r="J3" s="686"/>
      <c r="K3" s="689" t="s">
        <v>221</v>
      </c>
    </row>
    <row r="4" ht="5.25" customHeight="1" spans="1:12">
      <c r="A4" s="686"/>
      <c r="B4" s="686"/>
      <c r="C4" s="690"/>
      <c r="D4" s="690"/>
      <c r="E4" s="686"/>
      <c r="F4" s="686"/>
      <c r="G4" s="688"/>
      <c r="H4" s="688"/>
      <c r="I4" s="686"/>
      <c r="J4" s="686"/>
    </row>
    <row r="5" ht="20.25" customHeight="1" spans="1:12">
      <c r="A5" s="686"/>
      <c r="B5" s="691" t="s">
        <v>222</v>
      </c>
      <c r="C5" s="692"/>
      <c r="D5" s="693" t="str">
        <f>'Gen Inb'!I7</f>
        <v>ERASMUS EFFORT</v>
      </c>
      <c r="E5" s="693"/>
      <c r="F5" s="694" t="str">
        <f>'Gen Inb'!M7</f>
        <v>Container</v>
      </c>
      <c r="G5" s="695" t="s">
        <v>223</v>
      </c>
      <c r="H5" s="695"/>
      <c r="I5" s="695"/>
      <c r="J5" s="691" t="s">
        <v>224</v>
      </c>
      <c r="K5" s="696"/>
    </row>
    <row r="6" ht="20.25" customHeight="1" spans="1:12">
      <c r="A6" s="686"/>
      <c r="B6" s="697" t="s">
        <v>225</v>
      </c>
      <c r="C6" s="698"/>
      <c r="D6" s="699" t="str">
        <f>'Gen Inb'!I10</f>
        <v>IMO:1032452</v>
      </c>
      <c r="E6" s="699"/>
      <c r="F6" s="700"/>
      <c r="G6" s="701" t="str">
        <f>'Gen Inb'!S7</f>
        <v>NANSHA NEW PORT</v>
      </c>
      <c r="H6" s="701"/>
      <c r="I6" s="701"/>
      <c r="J6" s="702">
        <f>'Gen Inb'!X6</f>
        <v>46238</v>
      </c>
      <c r="K6" s="703"/>
    </row>
    <row r="7" ht="20.25" customHeight="1" spans="1:12">
      <c r="A7" s="686"/>
      <c r="B7" s="704" t="s">
        <v>226</v>
      </c>
      <c r="C7" s="705"/>
      <c r="D7" s="706" t="str">
        <f>'Gen Inb'!R26</f>
        <v>3E8968</v>
      </c>
      <c r="E7" s="706"/>
      <c r="F7" s="707"/>
      <c r="G7" s="708"/>
      <c r="H7" s="708"/>
      <c r="I7" s="708"/>
      <c r="J7" s="709"/>
      <c r="K7" s="710"/>
    </row>
    <row r="8" ht="12.75" customHeight="1" spans="1:12">
      <c r="A8" s="686"/>
      <c r="B8" s="711" t="s">
        <v>227</v>
      </c>
      <c r="C8" s="712"/>
      <c r="D8" s="712"/>
      <c r="E8" s="712"/>
      <c r="F8" s="713"/>
      <c r="G8" s="711" t="s">
        <v>228</v>
      </c>
      <c r="H8" s="712"/>
      <c r="I8" s="713"/>
      <c r="J8" s="691" t="s">
        <v>229</v>
      </c>
      <c r="K8" s="696"/>
    </row>
    <row r="9" customHeight="1" spans="1:12">
      <c r="A9" s="686"/>
      <c r="B9" s="714" t="str">
        <f>'Gen Inb'!F9</f>
        <v>PANAMA</v>
      </c>
      <c r="C9" s="715"/>
      <c r="D9" s="715"/>
      <c r="E9" s="715"/>
      <c r="F9" s="716"/>
      <c r="G9" s="714" t="str">
        <f>'Gen Inb'!W9</f>
        <v>HO CHI MINH CITY</v>
      </c>
      <c r="H9" s="715"/>
      <c r="I9" s="716"/>
      <c r="J9" s="697"/>
      <c r="K9" s="717"/>
    </row>
    <row r="10" ht="12.75" customHeight="1" spans="1:12">
      <c r="A10" s="686"/>
      <c r="B10" s="718" t="s">
        <v>230</v>
      </c>
      <c r="C10" s="691" t="s">
        <v>231</v>
      </c>
      <c r="D10" s="696"/>
      <c r="E10" s="696" t="s">
        <v>232</v>
      </c>
      <c r="F10" s="719" t="s">
        <v>233</v>
      </c>
      <c r="G10" s="720" t="s">
        <v>234</v>
      </c>
      <c r="H10" s="718" t="s">
        <v>235</v>
      </c>
      <c r="I10" s="721"/>
      <c r="J10" s="704"/>
      <c r="K10" s="722"/>
    </row>
    <row r="11" ht="45" customHeight="1" spans="1:12">
      <c r="A11" s="723" t="s">
        <v>236</v>
      </c>
      <c r="B11" s="602">
        <f>IF(C11&lt;&gt;"",COUNTA(C$11:C11),"")</f>
        <v>1</v>
      </c>
      <c r="C11" s="603" t="s">
        <v>237</v>
      </c>
      <c r="D11" s="604"/>
      <c r="E11" s="605" t="s">
        <v>238</v>
      </c>
      <c r="F11" s="606" t="s">
        <v>239</v>
      </c>
      <c r="G11" s="607" t="s">
        <v>240</v>
      </c>
      <c r="H11" s="608">
        <v>29228</v>
      </c>
      <c r="I11" s="609" t="s">
        <v>240</v>
      </c>
      <c r="J11" s="610" t="s">
        <v>218</v>
      </c>
      <c r="K11" s="1243" t="s">
        <v>241</v>
      </c>
      <c r="L11" s="724" t="s">
        <v>242</v>
      </c>
    </row>
    <row r="12" ht="45" customHeight="1" spans="1:12">
      <c r="A12" s="723"/>
      <c r="B12" s="725">
        <f>IF(C12&lt;&gt;"",COUNTA(C$11:C12),"")</f>
        <v>2</v>
      </c>
      <c r="C12" s="603" t="s">
        <v>243</v>
      </c>
      <c r="D12" s="726"/>
      <c r="E12" s="727" t="s">
        <v>238</v>
      </c>
      <c r="F12" s="728" t="s">
        <v>244</v>
      </c>
      <c r="G12" s="729" t="s">
        <v>245</v>
      </c>
      <c r="H12" s="730">
        <v>24515</v>
      </c>
      <c r="I12" s="731" t="s">
        <v>245</v>
      </c>
      <c r="J12" s="732" t="s">
        <v>246</v>
      </c>
      <c r="K12" s="733" t="s">
        <v>247</v>
      </c>
    </row>
    <row r="13" ht="45" customHeight="1" spans="1:12">
      <c r="A13" s="723"/>
      <c r="B13" s="602">
        <f>IF(C13&lt;&gt;"",COUNTA(C$11:C13),"")</f>
        <v>3</v>
      </c>
      <c r="C13" s="603" t="s">
        <v>243</v>
      </c>
      <c r="D13" s="604"/>
      <c r="E13" s="605" t="s">
        <v>238</v>
      </c>
      <c r="F13" s="614" t="s">
        <v>248</v>
      </c>
      <c r="G13" s="607" t="s">
        <v>249</v>
      </c>
      <c r="H13" s="615">
        <v>29167</v>
      </c>
      <c r="I13" s="609" t="s">
        <v>249</v>
      </c>
      <c r="J13" s="610" t="s">
        <v>218</v>
      </c>
      <c r="K13" s="616" t="s">
        <v>250</v>
      </c>
    </row>
    <row r="14" ht="45" customHeight="1" spans="1:12">
      <c r="A14" s="723"/>
      <c r="B14" s="602">
        <f>IF(C14&lt;&gt;"",COUNTA(C$11:C14),"")</f>
        <v>4</v>
      </c>
      <c r="C14" s="613" t="s">
        <v>251</v>
      </c>
      <c r="D14" s="604"/>
      <c r="E14" s="605" t="s">
        <v>238</v>
      </c>
      <c r="F14" s="614" t="s">
        <v>252</v>
      </c>
      <c r="G14" s="607" t="s">
        <v>249</v>
      </c>
      <c r="H14" s="615">
        <v>34095</v>
      </c>
      <c r="I14" s="609" t="s">
        <v>249</v>
      </c>
      <c r="J14" s="610" t="s">
        <v>218</v>
      </c>
      <c r="K14" s="617" t="s">
        <v>253</v>
      </c>
    </row>
    <row r="15" ht="45" customHeight="1" spans="1:12">
      <c r="A15" s="723"/>
      <c r="B15" s="725">
        <f>IF(C15&lt;&gt;"",COUNTA(C$11:C15),"")</f>
        <v>5</v>
      </c>
      <c r="C15" s="734" t="s">
        <v>254</v>
      </c>
      <c r="D15" s="726"/>
      <c r="E15" s="727" t="s">
        <v>238</v>
      </c>
      <c r="F15" s="728" t="s">
        <v>255</v>
      </c>
      <c r="G15" s="729" t="s">
        <v>245</v>
      </c>
      <c r="H15" s="730">
        <v>27961</v>
      </c>
      <c r="I15" s="735" t="s">
        <v>245</v>
      </c>
      <c r="J15" s="732" t="s">
        <v>246</v>
      </c>
      <c r="K15" s="733" t="s">
        <v>256</v>
      </c>
    </row>
    <row r="16" s="684" customFormat="1" ht="45" customHeight="1" spans="1:12">
      <c r="A16" s="736"/>
      <c r="B16" s="737">
        <f>IF(C16&lt;&gt;"",COUNTA(C$11:C16),"")</f>
        <v>6</v>
      </c>
      <c r="C16" s="738" t="s">
        <v>257</v>
      </c>
      <c r="D16" s="739"/>
      <c r="E16" s="740" t="s">
        <v>238</v>
      </c>
      <c r="F16" s="741" t="s">
        <v>258</v>
      </c>
      <c r="G16" s="742" t="s">
        <v>245</v>
      </c>
      <c r="H16" s="743">
        <v>24595</v>
      </c>
      <c r="I16" s="744" t="s">
        <v>245</v>
      </c>
      <c r="J16" s="732" t="s">
        <v>246</v>
      </c>
      <c r="K16" s="745" t="s">
        <v>259</v>
      </c>
    </row>
    <row r="17" ht="45" customHeight="1" spans="1:11">
      <c r="A17" s="723"/>
      <c r="B17" s="602">
        <f>IF(C17&lt;&gt;"",COUNTA(C$11:C17),"")</f>
        <v>7</v>
      </c>
      <c r="C17" s="613" t="s">
        <v>260</v>
      </c>
      <c r="D17" s="604"/>
      <c r="E17" s="605" t="s">
        <v>238</v>
      </c>
      <c r="F17" s="614" t="s">
        <v>261</v>
      </c>
      <c r="G17" s="607" t="s">
        <v>249</v>
      </c>
      <c r="H17" s="615">
        <v>34157</v>
      </c>
      <c r="I17" s="609" t="s">
        <v>249</v>
      </c>
      <c r="J17" s="610" t="s">
        <v>218</v>
      </c>
      <c r="K17" s="616" t="s">
        <v>262</v>
      </c>
    </row>
    <row r="18" ht="45" customHeight="1" spans="1:11">
      <c r="A18" s="723"/>
      <c r="B18" s="602">
        <f>IF(C18&lt;&gt;"",COUNTA(C$11:C18),"")</f>
        <v>8</v>
      </c>
      <c r="C18" s="613" t="s">
        <v>263</v>
      </c>
      <c r="D18" s="604"/>
      <c r="E18" s="605" t="s">
        <v>238</v>
      </c>
      <c r="F18" s="614" t="s">
        <v>264</v>
      </c>
      <c r="G18" s="607" t="s">
        <v>249</v>
      </c>
      <c r="H18" s="615">
        <v>32956</v>
      </c>
      <c r="I18" s="609" t="s">
        <v>249</v>
      </c>
      <c r="J18" s="610" t="s">
        <v>218</v>
      </c>
      <c r="K18" s="616" t="s">
        <v>265</v>
      </c>
    </row>
    <row r="19" ht="45" customHeight="1" spans="1:11">
      <c r="A19" s="723"/>
      <c r="B19" s="602">
        <f>IF(C19&lt;&gt;"",COUNTA(C$11:C19),"")</f>
        <v>9</v>
      </c>
      <c r="C19" s="613" t="s">
        <v>266</v>
      </c>
      <c r="D19" s="604"/>
      <c r="E19" s="605" t="s">
        <v>238</v>
      </c>
      <c r="F19" s="619" t="s">
        <v>267</v>
      </c>
      <c r="G19" s="607" t="s">
        <v>249</v>
      </c>
      <c r="H19" s="615">
        <v>25430</v>
      </c>
      <c r="I19" s="609" t="s">
        <v>249</v>
      </c>
      <c r="J19" s="610" t="s">
        <v>218</v>
      </c>
      <c r="K19" s="616" t="s">
        <v>268</v>
      </c>
    </row>
    <row r="20" ht="45" customHeight="1" spans="1:11">
      <c r="A20" s="723"/>
      <c r="B20" s="602">
        <f>IF(C20&lt;&gt;"",COUNTA(C$11:C20),"")</f>
        <v>10</v>
      </c>
      <c r="C20" s="613" t="s">
        <v>269</v>
      </c>
      <c r="D20" s="604"/>
      <c r="E20" s="605" t="s">
        <v>238</v>
      </c>
      <c r="F20" s="619" t="s">
        <v>270</v>
      </c>
      <c r="G20" s="607" t="s">
        <v>249</v>
      </c>
      <c r="H20" s="615">
        <v>29746</v>
      </c>
      <c r="I20" s="609" t="s">
        <v>249</v>
      </c>
      <c r="J20" s="610" t="s">
        <v>218</v>
      </c>
      <c r="K20" s="616" t="s">
        <v>271</v>
      </c>
    </row>
    <row r="21" ht="45" customHeight="1" spans="1:11">
      <c r="A21" s="723"/>
      <c r="B21" s="602">
        <f>IF(C21&lt;&gt;"",COUNTA(C$11:C21),"")</f>
        <v>11</v>
      </c>
      <c r="C21" s="613" t="s">
        <v>272</v>
      </c>
      <c r="D21" s="604"/>
      <c r="E21" s="605" t="s">
        <v>238</v>
      </c>
      <c r="F21" s="619" t="s">
        <v>270</v>
      </c>
      <c r="G21" s="607" t="s">
        <v>249</v>
      </c>
      <c r="H21" s="615">
        <v>28234</v>
      </c>
      <c r="I21" s="609" t="s">
        <v>249</v>
      </c>
      <c r="J21" s="610" t="s">
        <v>218</v>
      </c>
      <c r="K21" s="616" t="s">
        <v>273</v>
      </c>
    </row>
    <row r="22" ht="45" customHeight="1" spans="1:11">
      <c r="A22" s="723"/>
      <c r="B22" s="602">
        <f>IF(C22&lt;&gt;"",COUNTA(C$11:C22),"")</f>
        <v>12</v>
      </c>
      <c r="C22" s="613" t="s">
        <v>274</v>
      </c>
      <c r="D22" s="604"/>
      <c r="E22" s="605" t="s">
        <v>238</v>
      </c>
      <c r="F22" s="619" t="s">
        <v>270</v>
      </c>
      <c r="G22" s="607" t="s">
        <v>249</v>
      </c>
      <c r="H22" s="615">
        <v>30471</v>
      </c>
      <c r="I22" s="609" t="s">
        <v>249</v>
      </c>
      <c r="J22" s="610" t="s">
        <v>218</v>
      </c>
      <c r="K22" s="616" t="s">
        <v>275</v>
      </c>
    </row>
    <row r="23" ht="45" customHeight="1" spans="1:11">
      <c r="A23" s="723"/>
      <c r="B23" s="602">
        <f>IF(C23&lt;&gt;"",COUNTA(C$11:C23),"")</f>
        <v>13</v>
      </c>
      <c r="C23" s="613" t="s">
        <v>276</v>
      </c>
      <c r="D23" s="604"/>
      <c r="E23" s="605" t="s">
        <v>238</v>
      </c>
      <c r="F23" s="619" t="s">
        <v>277</v>
      </c>
      <c r="G23" s="607" t="s">
        <v>249</v>
      </c>
      <c r="H23" s="615">
        <v>30822</v>
      </c>
      <c r="I23" s="609" t="s">
        <v>249</v>
      </c>
      <c r="J23" s="610" t="s">
        <v>218</v>
      </c>
      <c r="K23" s="616" t="s">
        <v>278</v>
      </c>
    </row>
    <row r="24" ht="45" customHeight="1" spans="1:11">
      <c r="A24" s="723"/>
      <c r="B24" s="602">
        <f>IF(C24&lt;&gt;"",COUNTA(C$11:C24),"")</f>
        <v>14</v>
      </c>
      <c r="C24" s="613" t="s">
        <v>279</v>
      </c>
      <c r="D24" s="604"/>
      <c r="E24" s="605" t="s">
        <v>238</v>
      </c>
      <c r="F24" s="614" t="s">
        <v>277</v>
      </c>
      <c r="G24" s="607" t="s">
        <v>249</v>
      </c>
      <c r="H24" s="615">
        <v>33702</v>
      </c>
      <c r="I24" s="609" t="s">
        <v>249</v>
      </c>
      <c r="J24" s="610" t="s">
        <v>218</v>
      </c>
      <c r="K24" s="616" t="s">
        <v>280</v>
      </c>
    </row>
    <row r="25" ht="45" customHeight="1" spans="1:11">
      <c r="A25" s="723"/>
      <c r="B25" s="602">
        <f>IF(C25&lt;&gt;"",COUNTA(C$11:C25),"")</f>
        <v>15</v>
      </c>
      <c r="C25" s="613" t="s">
        <v>281</v>
      </c>
      <c r="D25" s="604"/>
      <c r="E25" s="605" t="s">
        <v>238</v>
      </c>
      <c r="F25" s="614" t="s">
        <v>282</v>
      </c>
      <c r="G25" s="607" t="s">
        <v>249</v>
      </c>
      <c r="H25" s="615">
        <v>24553</v>
      </c>
      <c r="I25" s="609" t="s">
        <v>249</v>
      </c>
      <c r="J25" s="610" t="s">
        <v>218</v>
      </c>
      <c r="K25" s="616" t="s">
        <v>283</v>
      </c>
    </row>
    <row r="26" ht="45" customHeight="1" spans="1:11">
      <c r="A26" s="723"/>
      <c r="B26" s="602">
        <f>IF(C26&lt;&gt;"",COUNTA(C$11:C26),"")</f>
        <v>16</v>
      </c>
      <c r="C26" s="613" t="s">
        <v>284</v>
      </c>
      <c r="D26" s="604"/>
      <c r="E26" s="605" t="s">
        <v>238</v>
      </c>
      <c r="F26" s="614" t="s">
        <v>285</v>
      </c>
      <c r="G26" s="607" t="s">
        <v>249</v>
      </c>
      <c r="H26" s="615">
        <v>28098</v>
      </c>
      <c r="I26" s="609" t="s">
        <v>249</v>
      </c>
      <c r="J26" s="610" t="s">
        <v>218</v>
      </c>
      <c r="K26" s="616" t="s">
        <v>286</v>
      </c>
    </row>
    <row r="27" ht="45" customHeight="1" spans="1:11">
      <c r="A27" s="723"/>
      <c r="B27" s="602">
        <f>IF(C27&lt;&gt;"",COUNTA(C$11:C27),"")</f>
        <v>17</v>
      </c>
      <c r="C27" s="613" t="s">
        <v>287</v>
      </c>
      <c r="D27" s="604"/>
      <c r="E27" s="605" t="s">
        <v>238</v>
      </c>
      <c r="F27" s="614" t="s">
        <v>288</v>
      </c>
      <c r="G27" s="607" t="s">
        <v>249</v>
      </c>
      <c r="H27" s="615">
        <v>34260</v>
      </c>
      <c r="I27" s="609" t="s">
        <v>249</v>
      </c>
      <c r="J27" s="610" t="s">
        <v>218</v>
      </c>
      <c r="K27" s="616" t="s">
        <v>289</v>
      </c>
    </row>
    <row r="28" ht="45" customHeight="1" spans="1:11">
      <c r="A28" s="723"/>
      <c r="B28" s="602">
        <f>IF(C28&lt;&gt;"",COUNTA(C$11:C28),"")</f>
        <v>18</v>
      </c>
      <c r="C28" s="613" t="s">
        <v>290</v>
      </c>
      <c r="D28" s="604"/>
      <c r="E28" s="605" t="s">
        <v>238</v>
      </c>
      <c r="F28" s="614" t="s">
        <v>288</v>
      </c>
      <c r="G28" s="607" t="s">
        <v>249</v>
      </c>
      <c r="H28" s="615">
        <v>34455</v>
      </c>
      <c r="I28" s="609" t="s">
        <v>249</v>
      </c>
      <c r="J28" s="610" t="s">
        <v>218</v>
      </c>
      <c r="K28" s="616" t="s">
        <v>291</v>
      </c>
    </row>
    <row r="29" ht="45" customHeight="1" spans="1:11">
      <c r="A29" s="723"/>
      <c r="B29" s="602">
        <f>IF(C29&lt;&gt;"",COUNTA(C$11:C29),"")</f>
        <v>19</v>
      </c>
      <c r="C29" s="613" t="s">
        <v>292</v>
      </c>
      <c r="D29" s="604"/>
      <c r="E29" s="605" t="s">
        <v>238</v>
      </c>
      <c r="F29" s="614" t="s">
        <v>293</v>
      </c>
      <c r="G29" s="607" t="s">
        <v>249</v>
      </c>
      <c r="H29" s="615">
        <v>24484</v>
      </c>
      <c r="I29" s="609" t="s">
        <v>249</v>
      </c>
      <c r="J29" s="610" t="s">
        <v>218</v>
      </c>
      <c r="K29" s="616" t="s">
        <v>294</v>
      </c>
    </row>
    <row r="30" ht="45" customHeight="1" spans="1:11">
      <c r="A30" s="723"/>
      <c r="B30" s="602">
        <f>IF(C30&lt;&gt;"",COUNTA(C$11:C30),"")</f>
        <v>20</v>
      </c>
      <c r="C30" s="613" t="s">
        <v>295</v>
      </c>
      <c r="D30" s="604"/>
      <c r="E30" s="605" t="s">
        <v>238</v>
      </c>
      <c r="F30" s="614" t="s">
        <v>296</v>
      </c>
      <c r="G30" s="607" t="s">
        <v>249</v>
      </c>
      <c r="H30" s="615">
        <v>31563</v>
      </c>
      <c r="I30" s="609" t="s">
        <v>249</v>
      </c>
      <c r="J30" s="610" t="s">
        <v>218</v>
      </c>
      <c r="K30" s="616" t="s">
        <v>297</v>
      </c>
    </row>
    <row r="31" spans="1:11">
      <c r="A31" s="746"/>
      <c r="B31" s="747" t="s">
        <v>298</v>
      </c>
      <c r="C31" s="748"/>
      <c r="D31" s="748"/>
      <c r="E31" s="748"/>
      <c r="F31" s="748"/>
      <c r="G31" s="748"/>
      <c r="H31" s="748"/>
      <c r="I31" s="748"/>
      <c r="J31" s="748"/>
    </row>
    <row r="32" ht="22.5" customHeight="1" spans="1:11">
      <c r="A32" s="749"/>
      <c r="B32" s="750" t="s">
        <v>299</v>
      </c>
      <c r="C32" s="751"/>
      <c r="D32" s="752"/>
      <c r="E32" s="753"/>
      <c r="F32" s="754"/>
      <c r="G32" s="755"/>
      <c r="H32" s="653"/>
      <c r="I32" s="756" t="s">
        <v>300</v>
      </c>
      <c r="J32" s="756"/>
      <c r="K32" s="757"/>
    </row>
    <row r="33" ht="11.25" customHeight="1" spans="1:11">
      <c r="A33" s="749"/>
      <c r="B33" s="557"/>
      <c r="C33" s="656"/>
      <c r="D33" s="656"/>
      <c r="E33" s="557"/>
      <c r="F33" s="557"/>
      <c r="G33" s="557"/>
      <c r="H33" s="557"/>
      <c r="I33" s="557"/>
      <c r="J33" s="557"/>
      <c r="K33" s="656"/>
    </row>
    <row r="34" ht="11.25" customHeight="1" spans="1:11">
      <c r="B34" s="657" t="s">
        <v>301</v>
      </c>
      <c r="C34" s="658"/>
      <c r="D34" s="658"/>
      <c r="E34" s="659"/>
      <c r="F34" s="659"/>
      <c r="G34" s="659"/>
      <c r="H34" s="659"/>
      <c r="I34" s="659"/>
      <c r="J34" s="659"/>
      <c r="K34" s="658"/>
    </row>
    <row r="35" ht="11.25" customHeight="1" spans="1:11">
      <c r="B35" s="660" t="s">
        <v>302</v>
      </c>
      <c r="D35" s="661"/>
      <c r="E35" s="662"/>
      <c r="F35" s="662"/>
      <c r="G35" s="662"/>
      <c r="H35" s="662"/>
      <c r="I35" s="662"/>
      <c r="J35" s="662"/>
      <c r="K35" s="658"/>
    </row>
    <row r="36" ht="11.25" customHeight="1" spans="1:11">
      <c r="B36" s="657" t="s">
        <v>303</v>
      </c>
      <c r="C36" s="661"/>
      <c r="D36" s="661"/>
      <c r="E36" s="662"/>
      <c r="F36" s="758"/>
      <c r="G36" s="662"/>
      <c r="H36" s="662"/>
      <c r="I36" s="662"/>
      <c r="J36" s="662"/>
      <c r="K36" s="658"/>
    </row>
    <row r="37" spans="1:11">
      <c r="A37" s="557"/>
      <c r="B37" s="557"/>
      <c r="C37" s="656"/>
      <c r="D37" s="656"/>
      <c r="E37" s="557"/>
      <c r="F37" s="557"/>
      <c r="G37" s="557"/>
      <c r="H37" s="557"/>
      <c r="I37" s="557"/>
      <c r="J37" s="557"/>
      <c r="K37" s="656"/>
    </row>
    <row r="38" spans="1:11">
      <c r="A38" s="557"/>
      <c r="B38" s="557"/>
      <c r="C38" s="656"/>
      <c r="D38" s="656"/>
      <c r="E38" s="557"/>
      <c r="F38" s="557"/>
      <c r="G38" s="557"/>
      <c r="H38" s="557"/>
      <c r="I38" s="557"/>
      <c r="J38" s="557"/>
      <c r="K38" s="656"/>
    </row>
    <row r="39" spans="1:11">
      <c r="A39" s="664"/>
      <c r="B39" s="664"/>
      <c r="F39" s="557"/>
      <c r="G39" s="557"/>
      <c r="H39" s="557"/>
      <c r="I39" s="557"/>
      <c r="J39" s="557"/>
      <c r="K39" s="656"/>
    </row>
    <row r="40" spans="1:11">
      <c r="A40" s="664"/>
      <c r="B40" s="664"/>
      <c r="F40" s="557"/>
      <c r="G40" s="557"/>
      <c r="H40" s="557"/>
      <c r="I40" s="557"/>
      <c r="J40" s="557"/>
      <c r="K40" s="656"/>
    </row>
    <row r="41" spans="1:11">
      <c r="A41" s="557"/>
      <c r="B41" s="557"/>
      <c r="C41" s="656"/>
      <c r="D41" s="656"/>
      <c r="E41" s="557"/>
      <c r="F41" s="557"/>
      <c r="G41" s="557"/>
      <c r="H41" s="557"/>
      <c r="I41" s="557"/>
      <c r="J41" s="557"/>
      <c r="K41" s="656"/>
    </row>
  </sheetData>
  <mergeCells count="25">
    <mergeCell ref="A1:K1"/>
    <mergeCell ref="A2:I2"/>
    <mergeCell ref="A3:F3"/>
    <mergeCell ref="B5:C5"/>
    <mergeCell ref="D5:E5"/>
    <mergeCell ref="G5:I5"/>
    <mergeCell ref="J5:K5"/>
    <mergeCell ref="B6:C6"/>
    <mergeCell ref="D6:F6"/>
    <mergeCell ref="B7:C7"/>
    <mergeCell ref="D7:F7"/>
    <mergeCell ref="B8:F8"/>
    <mergeCell ref="G8:I8"/>
    <mergeCell ref="B9:F9"/>
    <mergeCell ref="G9:I9"/>
    <mergeCell ref="C10:D10"/>
    <mergeCell ref="H10:I10"/>
    <mergeCell ref="B31:I31"/>
    <mergeCell ref="B32:C32"/>
    <mergeCell ref="A5:A7"/>
    <mergeCell ref="A8:A9"/>
    <mergeCell ref="A11:A30"/>
    <mergeCell ref="J8:K10"/>
    <mergeCell ref="G6:I7"/>
    <mergeCell ref="J6:K7"/>
  </mergeCells>
  <printOptions horizontalCentered="1"/>
  <pageMargins left="0.235416666666667" right="0.235416666666667" top="0.432638888888889" bottom="0.432638888888889" header="0.15625" footer="0.15625"/>
  <pageSetup paperSize="9" scale="64" firstPageNumber="11" orientation="portrait" useFirstPageNumber="1"/>
  <headerFooter/>
  <drawing r:id="rId1"/>
  <legacyDrawing r:id="rId2"/>
  <mc:AlternateContent xmlns:mc="http://schemas.openxmlformats.org/markup-compatibility/2006">
    <mc:Choice Requires="x14">
      <controls>
        <mc:AlternateContent xmlns:mc="http://schemas.openxmlformats.org/markup-compatibility/2006">
          <mc:Choice Requires="x14">
            <control shapeId="20481" name="Check Box 1" r:id="rId3">
              <controlPr defaultSize="0">
                <anchor moveWithCells="1">
                  <from>
                    <xdr:col>6</xdr:col>
                    <xdr:colOff>171450</xdr:colOff>
                    <xdr:row>1</xdr:row>
                    <xdr:rowOff>171450</xdr:rowOff>
                  </from>
                  <to>
                    <xdr:col>6</xdr:col>
                    <xdr:colOff>895350</xdr:colOff>
                    <xdr:row>3</xdr:row>
                    <xdr:rowOff>28575</xdr:rowOff>
                  </to>
                </anchor>
              </controlPr>
            </control>
          </mc:Choice>
        </mc:AlternateContent>
        <mc:AlternateContent xmlns:mc="http://schemas.openxmlformats.org/markup-compatibility/2006">
          <mc:Choice Requires="x14">
            <control shapeId="20482" name="Check Box 2" r:id="rId4">
              <controlPr defaultSize="0">
                <anchor moveWithCells="1">
                  <from>
                    <xdr:col>7</xdr:col>
                    <xdr:colOff>57150</xdr:colOff>
                    <xdr:row>1</xdr:row>
                    <xdr:rowOff>171450</xdr:rowOff>
                  </from>
                  <to>
                    <xdr:col>7</xdr:col>
                    <xdr:colOff>923925</xdr:colOff>
                    <xdr:row>3</xdr:row>
                    <xdr:rowOff>28575</xdr:rowOff>
                  </to>
                </anchor>
              </controlPr>
            </control>
          </mc:Choice>
        </mc:AlternateContent>
        <mc:AlternateContent xmlns:mc="http://schemas.openxmlformats.org/markup-compatibility/2006">
          <mc:Choice Requires="x14">
            <control shapeId="20483" name="Check Box 3" r:id="rId5">
              <controlPr defaultSize="0">
                <anchor moveWithCells="1">
                  <from>
                    <xdr:col>6</xdr:col>
                    <xdr:colOff>171450</xdr:colOff>
                    <xdr:row>1</xdr:row>
                    <xdr:rowOff>171450</xdr:rowOff>
                  </from>
                  <to>
                    <xdr:col>6</xdr:col>
                    <xdr:colOff>895350</xdr:colOff>
                    <xdr:row>3</xdr:row>
                    <xdr:rowOff>28575</xdr:rowOff>
                  </to>
                </anchor>
              </controlPr>
            </control>
          </mc:Choice>
        </mc:AlternateContent>
        <mc:AlternateContent xmlns:mc="http://schemas.openxmlformats.org/markup-compatibility/2006">
          <mc:Choice Requires="x14">
            <control shapeId="20484" name="Check Box 4" r:id="rId6">
              <controlPr defaultSize="0">
                <anchor moveWithCells="1">
                  <from>
                    <xdr:col>7</xdr:col>
                    <xdr:colOff>57150</xdr:colOff>
                    <xdr:row>1</xdr:row>
                    <xdr:rowOff>171450</xdr:rowOff>
                  </from>
                  <to>
                    <xdr:col>7</xdr:col>
                    <xdr:colOff>923925</xdr:colOff>
                    <xdr:row>3</xdr:row>
                    <xdr:rowOff>28575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50"/>
  <sheetViews>
    <sheetView workbookViewId="0">
      <selection activeCell="A2" sqref="A2:H29"/>
    </sheetView>
  </sheetViews>
  <sheetFormatPr defaultColWidth="9" defaultRowHeight="13.5"/>
  <cols>
    <col min="1" max="1" width="10.5" style="673" customWidth="1"/>
    <col min="2" max="3" width="9.75" style="673" customWidth="1"/>
    <col min="4" max="4" width="33.875" style="673" customWidth="1"/>
    <col min="5" max="5" width="5.75" style="673" customWidth="1"/>
    <col min="6" max="6" width="9.75" style="674" customWidth="1"/>
    <col min="7" max="7" width="15.125" style="673" customWidth="1"/>
    <col min="8" max="10" width="13.25" style="673" customWidth="1"/>
    <col min="11" max="256" width="9" style="673"/>
    <col min="257" max="257" width="20.5" style="673" customWidth="1"/>
    <col min="258" max="259" width="11" style="673" customWidth="1"/>
    <col min="260" max="260" width="5.75" style="673" customWidth="1"/>
    <col min="261" max="261" width="9.75" style="673" customWidth="1"/>
    <col min="262" max="262" width="11.625" style="673" customWidth="1"/>
    <col min="263" max="263" width="7.25" style="673" customWidth="1"/>
    <col min="264" max="266" width="13.25" style="673" customWidth="1"/>
    <col min="267" max="512" width="9" style="673"/>
    <col min="513" max="513" width="20.5" style="673" customWidth="1"/>
    <col min="514" max="515" width="11" style="673" customWidth="1"/>
    <col min="516" max="516" width="5.75" style="673" customWidth="1"/>
    <col min="517" max="517" width="9.75" style="673" customWidth="1"/>
    <col min="518" max="518" width="11.625" style="673" customWidth="1"/>
    <col min="519" max="519" width="7.25" style="673" customWidth="1"/>
    <col min="520" max="522" width="13.25" style="673" customWidth="1"/>
    <col min="523" max="768" width="9" style="673"/>
    <col min="769" max="769" width="20.5" style="673" customWidth="1"/>
    <col min="770" max="771" width="11" style="673" customWidth="1"/>
    <col min="772" max="772" width="5.75" style="673" customWidth="1"/>
    <col min="773" max="773" width="9.75" style="673" customWidth="1"/>
    <col min="774" max="774" width="11.625" style="673" customWidth="1"/>
    <col min="775" max="775" width="7.25" style="673" customWidth="1"/>
    <col min="776" max="778" width="13.25" style="673" customWidth="1"/>
    <col min="779" max="1024" width="9" style="673"/>
    <col min="1025" max="1025" width="20.5" style="673" customWidth="1"/>
    <col min="1026" max="1027" width="11" style="673" customWidth="1"/>
    <col min="1028" max="1028" width="5.75" style="673" customWidth="1"/>
    <col min="1029" max="1029" width="9.75" style="673" customWidth="1"/>
    <col min="1030" max="1030" width="11.625" style="673" customWidth="1"/>
    <col min="1031" max="1031" width="7.25" style="673" customWidth="1"/>
    <col min="1032" max="1034" width="13.25" style="673" customWidth="1"/>
    <col min="1035" max="1280" width="9" style="673"/>
    <col min="1281" max="1281" width="20.5" style="673" customWidth="1"/>
    <col min="1282" max="1283" width="11" style="673" customWidth="1"/>
    <col min="1284" max="1284" width="5.75" style="673" customWidth="1"/>
    <col min="1285" max="1285" width="9.75" style="673" customWidth="1"/>
    <col min="1286" max="1286" width="11.625" style="673" customWidth="1"/>
    <col min="1287" max="1287" width="7.25" style="673" customWidth="1"/>
    <col min="1288" max="1290" width="13.25" style="673" customWidth="1"/>
    <col min="1291" max="1536" width="9" style="673"/>
    <col min="1537" max="1537" width="20.5" style="673" customWidth="1"/>
    <col min="1538" max="1539" width="11" style="673" customWidth="1"/>
    <col min="1540" max="1540" width="5.75" style="673" customWidth="1"/>
    <col min="1541" max="1541" width="9.75" style="673" customWidth="1"/>
    <col min="1542" max="1542" width="11.625" style="673" customWidth="1"/>
    <col min="1543" max="1543" width="7.25" style="673" customWidth="1"/>
    <col min="1544" max="1546" width="13.25" style="673" customWidth="1"/>
    <col min="1547" max="1792" width="9" style="673"/>
    <col min="1793" max="1793" width="20.5" style="673" customWidth="1"/>
    <col min="1794" max="1795" width="11" style="673" customWidth="1"/>
    <col min="1796" max="1796" width="5.75" style="673" customWidth="1"/>
    <col min="1797" max="1797" width="9.75" style="673" customWidth="1"/>
    <col min="1798" max="1798" width="11.625" style="673" customWidth="1"/>
    <col min="1799" max="1799" width="7.25" style="673" customWidth="1"/>
    <col min="1800" max="1802" width="13.25" style="673" customWidth="1"/>
    <col min="1803" max="2048" width="9" style="673"/>
    <col min="2049" max="2049" width="20.5" style="673" customWidth="1"/>
    <col min="2050" max="2051" width="11" style="673" customWidth="1"/>
    <col min="2052" max="2052" width="5.75" style="673" customWidth="1"/>
    <col min="2053" max="2053" width="9.75" style="673" customWidth="1"/>
    <col min="2054" max="2054" width="11.625" style="673" customWidth="1"/>
    <col min="2055" max="2055" width="7.25" style="673" customWidth="1"/>
    <col min="2056" max="2058" width="13.25" style="673" customWidth="1"/>
    <col min="2059" max="2304" width="9" style="673"/>
    <col min="2305" max="2305" width="20.5" style="673" customWidth="1"/>
    <col min="2306" max="2307" width="11" style="673" customWidth="1"/>
    <col min="2308" max="2308" width="5.75" style="673" customWidth="1"/>
    <col min="2309" max="2309" width="9.75" style="673" customWidth="1"/>
    <col min="2310" max="2310" width="11.625" style="673" customWidth="1"/>
    <col min="2311" max="2311" width="7.25" style="673" customWidth="1"/>
    <col min="2312" max="2314" width="13.25" style="673" customWidth="1"/>
    <col min="2315" max="2560" width="9" style="673"/>
    <col min="2561" max="2561" width="20.5" style="673" customWidth="1"/>
    <col min="2562" max="2563" width="11" style="673" customWidth="1"/>
    <col min="2564" max="2564" width="5.75" style="673" customWidth="1"/>
    <col min="2565" max="2565" width="9.75" style="673" customWidth="1"/>
    <col min="2566" max="2566" width="11.625" style="673" customWidth="1"/>
    <col min="2567" max="2567" width="7.25" style="673" customWidth="1"/>
    <col min="2568" max="2570" width="13.25" style="673" customWidth="1"/>
    <col min="2571" max="2816" width="9" style="673"/>
    <col min="2817" max="2817" width="20.5" style="673" customWidth="1"/>
    <col min="2818" max="2819" width="11" style="673" customWidth="1"/>
    <col min="2820" max="2820" width="5.75" style="673" customWidth="1"/>
    <col min="2821" max="2821" width="9.75" style="673" customWidth="1"/>
    <col min="2822" max="2822" width="11.625" style="673" customWidth="1"/>
    <col min="2823" max="2823" width="7.25" style="673" customWidth="1"/>
    <col min="2824" max="2826" width="13.25" style="673" customWidth="1"/>
    <col min="2827" max="3072" width="9" style="673"/>
    <col min="3073" max="3073" width="20.5" style="673" customWidth="1"/>
    <col min="3074" max="3075" width="11" style="673" customWidth="1"/>
    <col min="3076" max="3076" width="5.75" style="673" customWidth="1"/>
    <col min="3077" max="3077" width="9.75" style="673" customWidth="1"/>
    <col min="3078" max="3078" width="11.625" style="673" customWidth="1"/>
    <col min="3079" max="3079" width="7.25" style="673" customWidth="1"/>
    <col min="3080" max="3082" width="13.25" style="673" customWidth="1"/>
    <col min="3083" max="3328" width="9" style="673"/>
    <col min="3329" max="3329" width="20.5" style="673" customWidth="1"/>
    <col min="3330" max="3331" width="11" style="673" customWidth="1"/>
    <col min="3332" max="3332" width="5.75" style="673" customWidth="1"/>
    <col min="3333" max="3333" width="9.75" style="673" customWidth="1"/>
    <col min="3334" max="3334" width="11.625" style="673" customWidth="1"/>
    <col min="3335" max="3335" width="7.25" style="673" customWidth="1"/>
    <col min="3336" max="3338" width="13.25" style="673" customWidth="1"/>
    <col min="3339" max="3584" width="9" style="673"/>
    <col min="3585" max="3585" width="20.5" style="673" customWidth="1"/>
    <col min="3586" max="3587" width="11" style="673" customWidth="1"/>
    <col min="3588" max="3588" width="5.75" style="673" customWidth="1"/>
    <col min="3589" max="3589" width="9.75" style="673" customWidth="1"/>
    <col min="3590" max="3590" width="11.625" style="673" customWidth="1"/>
    <col min="3591" max="3591" width="7.25" style="673" customWidth="1"/>
    <col min="3592" max="3594" width="13.25" style="673" customWidth="1"/>
    <col min="3595" max="3840" width="9" style="673"/>
    <col min="3841" max="3841" width="20.5" style="673" customWidth="1"/>
    <col min="3842" max="3843" width="11" style="673" customWidth="1"/>
    <col min="3844" max="3844" width="5.75" style="673" customWidth="1"/>
    <col min="3845" max="3845" width="9.75" style="673" customWidth="1"/>
    <col min="3846" max="3846" width="11.625" style="673" customWidth="1"/>
    <col min="3847" max="3847" width="7.25" style="673" customWidth="1"/>
    <col min="3848" max="3850" width="13.25" style="673" customWidth="1"/>
    <col min="3851" max="4096" width="9" style="673"/>
    <col min="4097" max="4097" width="20.5" style="673" customWidth="1"/>
    <col min="4098" max="4099" width="11" style="673" customWidth="1"/>
    <col min="4100" max="4100" width="5.75" style="673" customWidth="1"/>
    <col min="4101" max="4101" width="9.75" style="673" customWidth="1"/>
    <col min="4102" max="4102" width="11.625" style="673" customWidth="1"/>
    <col min="4103" max="4103" width="7.25" style="673" customWidth="1"/>
    <col min="4104" max="4106" width="13.25" style="673" customWidth="1"/>
    <col min="4107" max="4352" width="9" style="673"/>
    <col min="4353" max="4353" width="20.5" style="673" customWidth="1"/>
    <col min="4354" max="4355" width="11" style="673" customWidth="1"/>
    <col min="4356" max="4356" width="5.75" style="673" customWidth="1"/>
    <col min="4357" max="4357" width="9.75" style="673" customWidth="1"/>
    <col min="4358" max="4358" width="11.625" style="673" customWidth="1"/>
    <col min="4359" max="4359" width="7.25" style="673" customWidth="1"/>
    <col min="4360" max="4362" width="13.25" style="673" customWidth="1"/>
    <col min="4363" max="4608" width="9" style="673"/>
    <col min="4609" max="4609" width="20.5" style="673" customWidth="1"/>
    <col min="4610" max="4611" width="11" style="673" customWidth="1"/>
    <col min="4612" max="4612" width="5.75" style="673" customWidth="1"/>
    <col min="4613" max="4613" width="9.75" style="673" customWidth="1"/>
    <col min="4614" max="4614" width="11.625" style="673" customWidth="1"/>
    <col min="4615" max="4615" width="7.25" style="673" customWidth="1"/>
    <col min="4616" max="4618" width="13.25" style="673" customWidth="1"/>
    <col min="4619" max="4864" width="9" style="673"/>
    <col min="4865" max="4865" width="20.5" style="673" customWidth="1"/>
    <col min="4866" max="4867" width="11" style="673" customWidth="1"/>
    <col min="4868" max="4868" width="5.75" style="673" customWidth="1"/>
    <col min="4869" max="4869" width="9.75" style="673" customWidth="1"/>
    <col min="4870" max="4870" width="11.625" style="673" customWidth="1"/>
    <col min="4871" max="4871" width="7.25" style="673" customWidth="1"/>
    <col min="4872" max="4874" width="13.25" style="673" customWidth="1"/>
    <col min="4875" max="5120" width="9" style="673"/>
    <col min="5121" max="5121" width="20.5" style="673" customWidth="1"/>
    <col min="5122" max="5123" width="11" style="673" customWidth="1"/>
    <col min="5124" max="5124" width="5.75" style="673" customWidth="1"/>
    <col min="5125" max="5125" width="9.75" style="673" customWidth="1"/>
    <col min="5126" max="5126" width="11.625" style="673" customWidth="1"/>
    <col min="5127" max="5127" width="7.25" style="673" customWidth="1"/>
    <col min="5128" max="5130" width="13.25" style="673" customWidth="1"/>
    <col min="5131" max="5376" width="9" style="673"/>
    <col min="5377" max="5377" width="20.5" style="673" customWidth="1"/>
    <col min="5378" max="5379" width="11" style="673" customWidth="1"/>
    <col min="5380" max="5380" width="5.75" style="673" customWidth="1"/>
    <col min="5381" max="5381" width="9.75" style="673" customWidth="1"/>
    <col min="5382" max="5382" width="11.625" style="673" customWidth="1"/>
    <col min="5383" max="5383" width="7.25" style="673" customWidth="1"/>
    <col min="5384" max="5386" width="13.25" style="673" customWidth="1"/>
    <col min="5387" max="5632" width="9" style="673"/>
    <col min="5633" max="5633" width="20.5" style="673" customWidth="1"/>
    <col min="5634" max="5635" width="11" style="673" customWidth="1"/>
    <col min="5636" max="5636" width="5.75" style="673" customWidth="1"/>
    <col min="5637" max="5637" width="9.75" style="673" customWidth="1"/>
    <col min="5638" max="5638" width="11.625" style="673" customWidth="1"/>
    <col min="5639" max="5639" width="7.25" style="673" customWidth="1"/>
    <col min="5640" max="5642" width="13.25" style="673" customWidth="1"/>
    <col min="5643" max="5888" width="9" style="673"/>
    <col min="5889" max="5889" width="20.5" style="673" customWidth="1"/>
    <col min="5890" max="5891" width="11" style="673" customWidth="1"/>
    <col min="5892" max="5892" width="5.75" style="673" customWidth="1"/>
    <col min="5893" max="5893" width="9.75" style="673" customWidth="1"/>
    <col min="5894" max="5894" width="11.625" style="673" customWidth="1"/>
    <col min="5895" max="5895" width="7.25" style="673" customWidth="1"/>
    <col min="5896" max="5898" width="13.25" style="673" customWidth="1"/>
    <col min="5899" max="6144" width="9" style="673"/>
    <col min="6145" max="6145" width="20.5" style="673" customWidth="1"/>
    <col min="6146" max="6147" width="11" style="673" customWidth="1"/>
    <col min="6148" max="6148" width="5.75" style="673" customWidth="1"/>
    <col min="6149" max="6149" width="9.75" style="673" customWidth="1"/>
    <col min="6150" max="6150" width="11.625" style="673" customWidth="1"/>
    <col min="6151" max="6151" width="7.25" style="673" customWidth="1"/>
    <col min="6152" max="6154" width="13.25" style="673" customWidth="1"/>
    <col min="6155" max="6400" width="9" style="673"/>
    <col min="6401" max="6401" width="20.5" style="673" customWidth="1"/>
    <col min="6402" max="6403" width="11" style="673" customWidth="1"/>
    <col min="6404" max="6404" width="5.75" style="673" customWidth="1"/>
    <col min="6405" max="6405" width="9.75" style="673" customWidth="1"/>
    <col min="6406" max="6406" width="11.625" style="673" customWidth="1"/>
    <col min="6407" max="6407" width="7.25" style="673" customWidth="1"/>
    <col min="6408" max="6410" width="13.25" style="673" customWidth="1"/>
    <col min="6411" max="6656" width="9" style="673"/>
    <col min="6657" max="6657" width="20.5" style="673" customWidth="1"/>
    <col min="6658" max="6659" width="11" style="673" customWidth="1"/>
    <col min="6660" max="6660" width="5.75" style="673" customWidth="1"/>
    <col min="6661" max="6661" width="9.75" style="673" customWidth="1"/>
    <col min="6662" max="6662" width="11.625" style="673" customWidth="1"/>
    <col min="6663" max="6663" width="7.25" style="673" customWidth="1"/>
    <col min="6664" max="6666" width="13.25" style="673" customWidth="1"/>
    <col min="6667" max="6912" width="9" style="673"/>
    <col min="6913" max="6913" width="20.5" style="673" customWidth="1"/>
    <col min="6914" max="6915" width="11" style="673" customWidth="1"/>
    <col min="6916" max="6916" width="5.75" style="673" customWidth="1"/>
    <col min="6917" max="6917" width="9.75" style="673" customWidth="1"/>
    <col min="6918" max="6918" width="11.625" style="673" customWidth="1"/>
    <col min="6919" max="6919" width="7.25" style="673" customWidth="1"/>
    <col min="6920" max="6922" width="13.25" style="673" customWidth="1"/>
    <col min="6923" max="7168" width="9" style="673"/>
    <col min="7169" max="7169" width="20.5" style="673" customWidth="1"/>
    <col min="7170" max="7171" width="11" style="673" customWidth="1"/>
    <col min="7172" max="7172" width="5.75" style="673" customWidth="1"/>
    <col min="7173" max="7173" width="9.75" style="673" customWidth="1"/>
    <col min="7174" max="7174" width="11.625" style="673" customWidth="1"/>
    <col min="7175" max="7175" width="7.25" style="673" customWidth="1"/>
    <col min="7176" max="7178" width="13.25" style="673" customWidth="1"/>
    <col min="7179" max="7424" width="9" style="673"/>
    <col min="7425" max="7425" width="20.5" style="673" customWidth="1"/>
    <col min="7426" max="7427" width="11" style="673" customWidth="1"/>
    <col min="7428" max="7428" width="5.75" style="673" customWidth="1"/>
    <col min="7429" max="7429" width="9.75" style="673" customWidth="1"/>
    <col min="7430" max="7430" width="11.625" style="673" customWidth="1"/>
    <col min="7431" max="7431" width="7.25" style="673" customWidth="1"/>
    <col min="7432" max="7434" width="13.25" style="673" customWidth="1"/>
    <col min="7435" max="7680" width="9" style="673"/>
    <col min="7681" max="7681" width="20.5" style="673" customWidth="1"/>
    <col min="7682" max="7683" width="11" style="673" customWidth="1"/>
    <col min="7684" max="7684" width="5.75" style="673" customWidth="1"/>
    <col min="7685" max="7685" width="9.75" style="673" customWidth="1"/>
    <col min="7686" max="7686" width="11.625" style="673" customWidth="1"/>
    <col min="7687" max="7687" width="7.25" style="673" customWidth="1"/>
    <col min="7688" max="7690" width="13.25" style="673" customWidth="1"/>
    <col min="7691" max="7936" width="9" style="673"/>
    <col min="7937" max="7937" width="20.5" style="673" customWidth="1"/>
    <col min="7938" max="7939" width="11" style="673" customWidth="1"/>
    <col min="7940" max="7940" width="5.75" style="673" customWidth="1"/>
    <col min="7941" max="7941" width="9.75" style="673" customWidth="1"/>
    <col min="7942" max="7942" width="11.625" style="673" customWidth="1"/>
    <col min="7943" max="7943" width="7.25" style="673" customWidth="1"/>
    <col min="7944" max="7946" width="13.25" style="673" customWidth="1"/>
    <col min="7947" max="8192" width="9" style="673"/>
    <col min="8193" max="8193" width="20.5" style="673" customWidth="1"/>
    <col min="8194" max="8195" width="11" style="673" customWidth="1"/>
    <col min="8196" max="8196" width="5.75" style="673" customWidth="1"/>
    <col min="8197" max="8197" width="9.75" style="673" customWidth="1"/>
    <col min="8198" max="8198" width="11.625" style="673" customWidth="1"/>
    <col min="8199" max="8199" width="7.25" style="673" customWidth="1"/>
    <col min="8200" max="8202" width="13.25" style="673" customWidth="1"/>
    <col min="8203" max="8448" width="9" style="673"/>
    <col min="8449" max="8449" width="20.5" style="673" customWidth="1"/>
    <col min="8450" max="8451" width="11" style="673" customWidth="1"/>
    <col min="8452" max="8452" width="5.75" style="673" customWidth="1"/>
    <col min="8453" max="8453" width="9.75" style="673" customWidth="1"/>
    <col min="8454" max="8454" width="11.625" style="673" customWidth="1"/>
    <col min="8455" max="8455" width="7.25" style="673" customWidth="1"/>
    <col min="8456" max="8458" width="13.25" style="673" customWidth="1"/>
    <col min="8459" max="8704" width="9" style="673"/>
    <col min="8705" max="8705" width="20.5" style="673" customWidth="1"/>
    <col min="8706" max="8707" width="11" style="673" customWidth="1"/>
    <col min="8708" max="8708" width="5.75" style="673" customWidth="1"/>
    <col min="8709" max="8709" width="9.75" style="673" customWidth="1"/>
    <col min="8710" max="8710" width="11.625" style="673" customWidth="1"/>
    <col min="8711" max="8711" width="7.25" style="673" customWidth="1"/>
    <col min="8712" max="8714" width="13.25" style="673" customWidth="1"/>
    <col min="8715" max="8960" width="9" style="673"/>
    <col min="8961" max="8961" width="20.5" style="673" customWidth="1"/>
    <col min="8962" max="8963" width="11" style="673" customWidth="1"/>
    <col min="8964" max="8964" width="5.75" style="673" customWidth="1"/>
    <col min="8965" max="8965" width="9.75" style="673" customWidth="1"/>
    <col min="8966" max="8966" width="11.625" style="673" customWidth="1"/>
    <col min="8967" max="8967" width="7.25" style="673" customWidth="1"/>
    <col min="8968" max="8970" width="13.25" style="673" customWidth="1"/>
    <col min="8971" max="9216" width="9" style="673"/>
    <col min="9217" max="9217" width="20.5" style="673" customWidth="1"/>
    <col min="9218" max="9219" width="11" style="673" customWidth="1"/>
    <col min="9220" max="9220" width="5.75" style="673" customWidth="1"/>
    <col min="9221" max="9221" width="9.75" style="673" customWidth="1"/>
    <col min="9222" max="9222" width="11.625" style="673" customWidth="1"/>
    <col min="9223" max="9223" width="7.25" style="673" customWidth="1"/>
    <col min="9224" max="9226" width="13.25" style="673" customWidth="1"/>
    <col min="9227" max="9472" width="9" style="673"/>
    <col min="9473" max="9473" width="20.5" style="673" customWidth="1"/>
    <col min="9474" max="9475" width="11" style="673" customWidth="1"/>
    <col min="9476" max="9476" width="5.75" style="673" customWidth="1"/>
    <col min="9477" max="9477" width="9.75" style="673" customWidth="1"/>
    <col min="9478" max="9478" width="11.625" style="673" customWidth="1"/>
    <col min="9479" max="9479" width="7.25" style="673" customWidth="1"/>
    <col min="9480" max="9482" width="13.25" style="673" customWidth="1"/>
    <col min="9483" max="9728" width="9" style="673"/>
    <col min="9729" max="9729" width="20.5" style="673" customWidth="1"/>
    <col min="9730" max="9731" width="11" style="673" customWidth="1"/>
    <col min="9732" max="9732" width="5.75" style="673" customWidth="1"/>
    <col min="9733" max="9733" width="9.75" style="673" customWidth="1"/>
    <col min="9734" max="9734" width="11.625" style="673" customWidth="1"/>
    <col min="9735" max="9735" width="7.25" style="673" customWidth="1"/>
    <col min="9736" max="9738" width="13.25" style="673" customWidth="1"/>
    <col min="9739" max="9984" width="9" style="673"/>
    <col min="9985" max="9985" width="20.5" style="673" customWidth="1"/>
    <col min="9986" max="9987" width="11" style="673" customWidth="1"/>
    <col min="9988" max="9988" width="5.75" style="673" customWidth="1"/>
    <col min="9989" max="9989" width="9.75" style="673" customWidth="1"/>
    <col min="9990" max="9990" width="11.625" style="673" customWidth="1"/>
    <col min="9991" max="9991" width="7.25" style="673" customWidth="1"/>
    <col min="9992" max="9994" width="13.25" style="673" customWidth="1"/>
    <col min="9995" max="10240" width="9" style="673"/>
    <col min="10241" max="10241" width="20.5" style="673" customWidth="1"/>
    <col min="10242" max="10243" width="11" style="673" customWidth="1"/>
    <col min="10244" max="10244" width="5.75" style="673" customWidth="1"/>
    <col min="10245" max="10245" width="9.75" style="673" customWidth="1"/>
    <col min="10246" max="10246" width="11.625" style="673" customWidth="1"/>
    <col min="10247" max="10247" width="7.25" style="673" customWidth="1"/>
    <col min="10248" max="10250" width="13.25" style="673" customWidth="1"/>
    <col min="10251" max="10496" width="9" style="673"/>
    <col min="10497" max="10497" width="20.5" style="673" customWidth="1"/>
    <col min="10498" max="10499" width="11" style="673" customWidth="1"/>
    <col min="10500" max="10500" width="5.75" style="673" customWidth="1"/>
    <col min="10501" max="10501" width="9.75" style="673" customWidth="1"/>
    <col min="10502" max="10502" width="11.625" style="673" customWidth="1"/>
    <col min="10503" max="10503" width="7.25" style="673" customWidth="1"/>
    <col min="10504" max="10506" width="13.25" style="673" customWidth="1"/>
    <col min="10507" max="10752" width="9" style="673"/>
    <col min="10753" max="10753" width="20.5" style="673" customWidth="1"/>
    <col min="10754" max="10755" width="11" style="673" customWidth="1"/>
    <col min="10756" max="10756" width="5.75" style="673" customWidth="1"/>
    <col min="10757" max="10757" width="9.75" style="673" customWidth="1"/>
    <col min="10758" max="10758" width="11.625" style="673" customWidth="1"/>
    <col min="10759" max="10759" width="7.25" style="673" customWidth="1"/>
    <col min="10760" max="10762" width="13.25" style="673" customWidth="1"/>
    <col min="10763" max="11008" width="9" style="673"/>
    <col min="11009" max="11009" width="20.5" style="673" customWidth="1"/>
    <col min="11010" max="11011" width="11" style="673" customWidth="1"/>
    <col min="11012" max="11012" width="5.75" style="673" customWidth="1"/>
    <col min="11013" max="11013" width="9.75" style="673" customWidth="1"/>
    <col min="11014" max="11014" width="11.625" style="673" customWidth="1"/>
    <col min="11015" max="11015" width="7.25" style="673" customWidth="1"/>
    <col min="11016" max="11018" width="13.25" style="673" customWidth="1"/>
    <col min="11019" max="11264" width="9" style="673"/>
    <col min="11265" max="11265" width="20.5" style="673" customWidth="1"/>
    <col min="11266" max="11267" width="11" style="673" customWidth="1"/>
    <col min="11268" max="11268" width="5.75" style="673" customWidth="1"/>
    <col min="11269" max="11269" width="9.75" style="673" customWidth="1"/>
    <col min="11270" max="11270" width="11.625" style="673" customWidth="1"/>
    <col min="11271" max="11271" width="7.25" style="673" customWidth="1"/>
    <col min="11272" max="11274" width="13.25" style="673" customWidth="1"/>
    <col min="11275" max="11520" width="9" style="673"/>
    <col min="11521" max="11521" width="20.5" style="673" customWidth="1"/>
    <col min="11522" max="11523" width="11" style="673" customWidth="1"/>
    <col min="11524" max="11524" width="5.75" style="673" customWidth="1"/>
    <col min="11525" max="11525" width="9.75" style="673" customWidth="1"/>
    <col min="11526" max="11526" width="11.625" style="673" customWidth="1"/>
    <col min="11527" max="11527" width="7.25" style="673" customWidth="1"/>
    <col min="11528" max="11530" width="13.25" style="673" customWidth="1"/>
    <col min="11531" max="11776" width="9" style="673"/>
    <col min="11777" max="11777" width="20.5" style="673" customWidth="1"/>
    <col min="11778" max="11779" width="11" style="673" customWidth="1"/>
    <col min="11780" max="11780" width="5.75" style="673" customWidth="1"/>
    <col min="11781" max="11781" width="9.75" style="673" customWidth="1"/>
    <col min="11782" max="11782" width="11.625" style="673" customWidth="1"/>
    <col min="11783" max="11783" width="7.25" style="673" customWidth="1"/>
    <col min="11784" max="11786" width="13.25" style="673" customWidth="1"/>
    <col min="11787" max="12032" width="9" style="673"/>
    <col min="12033" max="12033" width="20.5" style="673" customWidth="1"/>
    <col min="12034" max="12035" width="11" style="673" customWidth="1"/>
    <col min="12036" max="12036" width="5.75" style="673" customWidth="1"/>
    <col min="12037" max="12037" width="9.75" style="673" customWidth="1"/>
    <col min="12038" max="12038" width="11.625" style="673" customWidth="1"/>
    <col min="12039" max="12039" width="7.25" style="673" customWidth="1"/>
    <col min="12040" max="12042" width="13.25" style="673" customWidth="1"/>
    <col min="12043" max="12288" width="9" style="673"/>
    <col min="12289" max="12289" width="20.5" style="673" customWidth="1"/>
    <col min="12290" max="12291" width="11" style="673" customWidth="1"/>
    <col min="12292" max="12292" width="5.75" style="673" customWidth="1"/>
    <col min="12293" max="12293" width="9.75" style="673" customWidth="1"/>
    <col min="12294" max="12294" width="11.625" style="673" customWidth="1"/>
    <col min="12295" max="12295" width="7.25" style="673" customWidth="1"/>
    <col min="12296" max="12298" width="13.25" style="673" customWidth="1"/>
    <col min="12299" max="12544" width="9" style="673"/>
    <col min="12545" max="12545" width="20.5" style="673" customWidth="1"/>
    <col min="12546" max="12547" width="11" style="673" customWidth="1"/>
    <col min="12548" max="12548" width="5.75" style="673" customWidth="1"/>
    <col min="12549" max="12549" width="9.75" style="673" customWidth="1"/>
    <col min="12550" max="12550" width="11.625" style="673" customWidth="1"/>
    <col min="12551" max="12551" width="7.25" style="673" customWidth="1"/>
    <col min="12552" max="12554" width="13.25" style="673" customWidth="1"/>
    <col min="12555" max="12800" width="9" style="673"/>
    <col min="12801" max="12801" width="20.5" style="673" customWidth="1"/>
    <col min="12802" max="12803" width="11" style="673" customWidth="1"/>
    <col min="12804" max="12804" width="5.75" style="673" customWidth="1"/>
    <col min="12805" max="12805" width="9.75" style="673" customWidth="1"/>
    <col min="12806" max="12806" width="11.625" style="673" customWidth="1"/>
    <col min="12807" max="12807" width="7.25" style="673" customWidth="1"/>
    <col min="12808" max="12810" width="13.25" style="673" customWidth="1"/>
    <col min="12811" max="13056" width="9" style="673"/>
    <col min="13057" max="13057" width="20.5" style="673" customWidth="1"/>
    <col min="13058" max="13059" width="11" style="673" customWidth="1"/>
    <col min="13060" max="13060" width="5.75" style="673" customWidth="1"/>
    <col min="13061" max="13061" width="9.75" style="673" customWidth="1"/>
    <col min="13062" max="13062" width="11.625" style="673" customWidth="1"/>
    <col min="13063" max="13063" width="7.25" style="673" customWidth="1"/>
    <col min="13064" max="13066" width="13.25" style="673" customWidth="1"/>
    <col min="13067" max="13312" width="9" style="673"/>
    <col min="13313" max="13313" width="20.5" style="673" customWidth="1"/>
    <col min="13314" max="13315" width="11" style="673" customWidth="1"/>
    <col min="13316" max="13316" width="5.75" style="673" customWidth="1"/>
    <col min="13317" max="13317" width="9.75" style="673" customWidth="1"/>
    <col min="13318" max="13318" width="11.625" style="673" customWidth="1"/>
    <col min="13319" max="13319" width="7.25" style="673" customWidth="1"/>
    <col min="13320" max="13322" width="13.25" style="673" customWidth="1"/>
    <col min="13323" max="13568" width="9" style="673"/>
    <col min="13569" max="13569" width="20.5" style="673" customWidth="1"/>
    <col min="13570" max="13571" width="11" style="673" customWidth="1"/>
    <col min="13572" max="13572" width="5.75" style="673" customWidth="1"/>
    <col min="13573" max="13573" width="9.75" style="673" customWidth="1"/>
    <col min="13574" max="13574" width="11.625" style="673" customWidth="1"/>
    <col min="13575" max="13575" width="7.25" style="673" customWidth="1"/>
    <col min="13576" max="13578" width="13.25" style="673" customWidth="1"/>
    <col min="13579" max="13824" width="9" style="673"/>
    <col min="13825" max="13825" width="20.5" style="673" customWidth="1"/>
    <col min="13826" max="13827" width="11" style="673" customWidth="1"/>
    <col min="13828" max="13828" width="5.75" style="673" customWidth="1"/>
    <col min="13829" max="13829" width="9.75" style="673" customWidth="1"/>
    <col min="13830" max="13830" width="11.625" style="673" customWidth="1"/>
    <col min="13831" max="13831" width="7.25" style="673" customWidth="1"/>
    <col min="13832" max="13834" width="13.25" style="673" customWidth="1"/>
    <col min="13835" max="14080" width="9" style="673"/>
    <col min="14081" max="14081" width="20.5" style="673" customWidth="1"/>
    <col min="14082" max="14083" width="11" style="673" customWidth="1"/>
    <col min="14084" max="14084" width="5.75" style="673" customWidth="1"/>
    <col min="14085" max="14085" width="9.75" style="673" customWidth="1"/>
    <col min="14086" max="14086" width="11.625" style="673" customWidth="1"/>
    <col min="14087" max="14087" width="7.25" style="673" customWidth="1"/>
    <col min="14088" max="14090" width="13.25" style="673" customWidth="1"/>
    <col min="14091" max="14336" width="9" style="673"/>
    <col min="14337" max="14337" width="20.5" style="673" customWidth="1"/>
    <col min="14338" max="14339" width="11" style="673" customWidth="1"/>
    <col min="14340" max="14340" width="5.75" style="673" customWidth="1"/>
    <col min="14341" max="14341" width="9.75" style="673" customWidth="1"/>
    <col min="14342" max="14342" width="11.625" style="673" customWidth="1"/>
    <col min="14343" max="14343" width="7.25" style="673" customWidth="1"/>
    <col min="14344" max="14346" width="13.25" style="673" customWidth="1"/>
    <col min="14347" max="14592" width="9" style="673"/>
    <col min="14593" max="14593" width="20.5" style="673" customWidth="1"/>
    <col min="14594" max="14595" width="11" style="673" customWidth="1"/>
    <col min="14596" max="14596" width="5.75" style="673" customWidth="1"/>
    <col min="14597" max="14597" width="9.75" style="673" customWidth="1"/>
    <col min="14598" max="14598" width="11.625" style="673" customWidth="1"/>
    <col min="14599" max="14599" width="7.25" style="673" customWidth="1"/>
    <col min="14600" max="14602" width="13.25" style="673" customWidth="1"/>
    <col min="14603" max="14848" width="9" style="673"/>
    <col min="14849" max="14849" width="20.5" style="673" customWidth="1"/>
    <col min="14850" max="14851" width="11" style="673" customWidth="1"/>
    <col min="14852" max="14852" width="5.75" style="673" customWidth="1"/>
    <col min="14853" max="14853" width="9.75" style="673" customWidth="1"/>
    <col min="14854" max="14854" width="11.625" style="673" customWidth="1"/>
    <col min="14855" max="14855" width="7.25" style="673" customWidth="1"/>
    <col min="14856" max="14858" width="13.25" style="673" customWidth="1"/>
    <col min="14859" max="15104" width="9" style="673"/>
    <col min="15105" max="15105" width="20.5" style="673" customWidth="1"/>
    <col min="15106" max="15107" width="11" style="673" customWidth="1"/>
    <col min="15108" max="15108" width="5.75" style="673" customWidth="1"/>
    <col min="15109" max="15109" width="9.75" style="673" customWidth="1"/>
    <col min="15110" max="15110" width="11.625" style="673" customWidth="1"/>
    <col min="15111" max="15111" width="7.25" style="673" customWidth="1"/>
    <col min="15112" max="15114" width="13.25" style="673" customWidth="1"/>
    <col min="15115" max="15360" width="9" style="673"/>
    <col min="15361" max="15361" width="20.5" style="673" customWidth="1"/>
    <col min="15362" max="15363" width="11" style="673" customWidth="1"/>
    <col min="15364" max="15364" width="5.75" style="673" customWidth="1"/>
    <col min="15365" max="15365" width="9.75" style="673" customWidth="1"/>
    <col min="15366" max="15366" width="11.625" style="673" customWidth="1"/>
    <col min="15367" max="15367" width="7.25" style="673" customWidth="1"/>
    <col min="15368" max="15370" width="13.25" style="673" customWidth="1"/>
    <col min="15371" max="15616" width="9" style="673"/>
    <col min="15617" max="15617" width="20.5" style="673" customWidth="1"/>
    <col min="15618" max="15619" width="11" style="673" customWidth="1"/>
    <col min="15620" max="15620" width="5.75" style="673" customWidth="1"/>
    <col min="15621" max="15621" width="9.75" style="673" customWidth="1"/>
    <col min="15622" max="15622" width="11.625" style="673" customWidth="1"/>
    <col min="15623" max="15623" width="7.25" style="673" customWidth="1"/>
    <col min="15624" max="15626" width="13.25" style="673" customWidth="1"/>
    <col min="15627" max="15872" width="9" style="673"/>
    <col min="15873" max="15873" width="20.5" style="673" customWidth="1"/>
    <col min="15874" max="15875" width="11" style="673" customWidth="1"/>
    <col min="15876" max="15876" width="5.75" style="673" customWidth="1"/>
    <col min="15877" max="15877" width="9.75" style="673" customWidth="1"/>
    <col min="15878" max="15878" width="11.625" style="673" customWidth="1"/>
    <col min="15879" max="15879" width="7.25" style="673" customWidth="1"/>
    <col min="15880" max="15882" width="13.25" style="673" customWidth="1"/>
    <col min="15883" max="16128" width="9" style="673"/>
    <col min="16129" max="16129" width="20.5" style="673" customWidth="1"/>
    <col min="16130" max="16131" width="11" style="673" customWidth="1"/>
    <col min="16132" max="16132" width="5.75" style="673" customWidth="1"/>
    <col min="16133" max="16133" width="9.75" style="673" customWidth="1"/>
    <col min="16134" max="16134" width="11.625" style="673" customWidth="1"/>
    <col min="16135" max="16135" width="7.25" style="673" customWidth="1"/>
    <col min="16136" max="16138" width="13.25" style="673" customWidth="1"/>
    <col min="16139" max="16384" width="9" style="673"/>
  </cols>
  <sheetData>
    <row r="1" ht="21.75" customHeight="1" spans="1:11">
      <c r="A1" s="675" t="s">
        <v>304</v>
      </c>
      <c r="B1" s="675" t="s">
        <v>305</v>
      </c>
      <c r="C1" s="675" t="s">
        <v>306</v>
      </c>
      <c r="D1" s="675" t="s">
        <v>307</v>
      </c>
      <c r="E1" s="675" t="s">
        <v>308</v>
      </c>
      <c r="F1" s="676" t="s">
        <v>309</v>
      </c>
      <c r="G1" s="677" t="s">
        <v>310</v>
      </c>
      <c r="H1" s="677" t="s">
        <v>311</v>
      </c>
      <c r="I1" s="677" t="s">
        <v>312</v>
      </c>
      <c r="J1" s="677" t="s">
        <v>313</v>
      </c>
      <c r="K1" s="678" t="s">
        <v>314</v>
      </c>
    </row>
    <row r="2" spans="1:11">
      <c r="A2" s="1244" t="str">
        <f>IF('Crew Inb'!K11="","",'Crew Inb'!K11)</f>
        <v>B42BR8005</v>
      </c>
      <c r="B2" t="str">
        <f>IF('Crew Inb'!J11="","",IF('Crew Inb'!J11="P","普通护照",IF('Crew Inb'!J11="S","海员证","")))</f>
        <v>普通护照</v>
      </c>
      <c r="C2" s="65" t="s">
        <v>315</v>
      </c>
      <c r="D2" t="str">
        <f>IF('Crew Inb'!C11="","",'Crew Inb'!C11&amp;" "&amp;'Crew Inb'!D11)</f>
        <v>李继祥 </v>
      </c>
      <c r="E2" t="str">
        <f>IF('Crew Inb'!E11="","",IF('Crew Inb'!E11="M","男",IF('Crew Inb'!E11="F","女","未说明")))</f>
        <v>男</v>
      </c>
      <c r="F2" s="679">
        <f>IF('Crew Inb'!H11="","",'Crew Inb'!H11)</f>
        <v>29228</v>
      </c>
      <c r="G2" s="680" t="s">
        <v>316</v>
      </c>
      <c r="H2" s="681" t="str">
        <f>IF('Crew Inb'!C11="","","免办签证")</f>
        <v>免办签证</v>
      </c>
    </row>
    <row r="3" spans="1:11">
      <c r="A3" t="str">
        <f>IF('Crew Inb'!K12="","",'Crew Inb'!K12)</f>
        <v>AB498691</v>
      </c>
      <c r="B3" t="str">
        <f>IF('Crew Inb'!J12="","",IF('Crew Inb'!J12="P","普通护照",IF('Crew Inb'!J12="S","海员证","")))</f>
        <v>海员证</v>
      </c>
      <c r="C3" s="65" t="s">
        <v>317</v>
      </c>
      <c r="D3" t="str">
        <f>IF('Crew Inb'!C12="","",'Crew Inb'!C12&amp;" "&amp;'Crew Inb'!D12)</f>
        <v>FERNANDEZ REYNALDO JR </v>
      </c>
      <c r="E3" t="str">
        <f>IF('Crew Inb'!E12="","",IF('Crew Inb'!E12="M","男",IF('Crew Inb'!E12="F","女","未说明")))</f>
        <v>男</v>
      </c>
      <c r="F3" s="679">
        <f>IF('Crew Inb'!H12="","",'Crew Inb'!H12)</f>
        <v>24515</v>
      </c>
      <c r="G3" s="680" t="s">
        <v>318</v>
      </c>
      <c r="H3" s="681" t="str">
        <f>IF('Crew Inb'!C12="","","免办签证")</f>
        <v>免办签证</v>
      </c>
    </row>
    <row r="4" spans="1:11">
      <c r="A4" t="str">
        <f>IF('Crew Inb'!K13="","",'Crew Inb'!K13)</f>
        <v>P0392496A</v>
      </c>
      <c r="B4" t="str">
        <f>IF('Crew Inb'!J13="","",IF('Crew Inb'!J13="P","普通护照",IF('Crew Inb'!J13="S","海员证","")))</f>
        <v>普通护照</v>
      </c>
      <c r="C4" s="65" t="s">
        <v>319</v>
      </c>
      <c r="D4" t="str">
        <f>IF('Crew Inb'!C13="","",'Crew Inb'!C13&amp;" "&amp;'Crew Inb'!D13)</f>
        <v>FERNANDEZ REYNALDO JR </v>
      </c>
      <c r="E4" t="str">
        <f>IF('Crew Inb'!E13="","",IF('Crew Inb'!E13="M","男",IF('Crew Inb'!E13="F","女","未说明")))</f>
        <v>男</v>
      </c>
      <c r="F4" s="679">
        <f>IF('Crew Inb'!H13="","",'Crew Inb'!H13)</f>
        <v>29167</v>
      </c>
      <c r="G4" s="680" t="s">
        <v>320</v>
      </c>
      <c r="H4" s="681" t="str">
        <f>IF('Crew Inb'!C13="","","免办签证")</f>
        <v>免办签证</v>
      </c>
    </row>
    <row r="5" spans="1:11">
      <c r="A5" t="str">
        <f>IF('Crew Inb'!K14="","",'Crew Inb'!K14)</f>
        <v>EC3697674</v>
      </c>
      <c r="B5" t="str">
        <f>IF('Crew Inb'!J14="","",IF('Crew Inb'!J14="P","普通护照",IF('Crew Inb'!J14="S","海员证","")))</f>
        <v>普通护照</v>
      </c>
      <c r="C5" s="65" t="s">
        <v>315</v>
      </c>
      <c r="D5" t="str">
        <f>IF('Crew Inb'!C14="","",'Crew Inb'!C14&amp;" "&amp;'Crew Inb'!D14)</f>
        <v>GONZAGA JOHN BRIAN CANALITA </v>
      </c>
      <c r="E5" t="str">
        <f>IF('Crew Inb'!E14="","",IF('Crew Inb'!E14="M","男",IF('Crew Inb'!E14="F","女","未说明")))</f>
        <v>男</v>
      </c>
      <c r="F5" s="679">
        <f>IF('Crew Inb'!H14="","",'Crew Inb'!H14)</f>
        <v>34095</v>
      </c>
      <c r="G5" s="682" t="s">
        <v>321</v>
      </c>
      <c r="H5" s="681" t="str">
        <f>IF('Crew Inb'!C14="","","免办签证")</f>
        <v>免办签证</v>
      </c>
    </row>
    <row r="6" spans="1:11">
      <c r="A6" t="str">
        <f>IF('Crew Inb'!K15="","",'Crew Inb'!K15)</f>
        <v>AB406216</v>
      </c>
      <c r="B6" t="str">
        <f>IF('Crew Inb'!J15="","",IF('Crew Inb'!J15="P","普通护照",IF('Crew Inb'!J15="S","海员证","")))</f>
        <v>海员证</v>
      </c>
      <c r="C6" s="65" t="s">
        <v>317</v>
      </c>
      <c r="D6" t="str">
        <f>IF('Crew Inb'!C15="","",'Crew Inb'!C15&amp;" "&amp;'Crew Inb'!D15)</f>
        <v>DYACHENKO VASYL </v>
      </c>
      <c r="E6" t="str">
        <f>IF('Crew Inb'!E15="","",IF('Crew Inb'!E15="M","男",IF('Crew Inb'!E15="F","女","未说明")))</f>
        <v>男</v>
      </c>
      <c r="F6" s="679">
        <f>IF('Crew Inb'!H15="","",'Crew Inb'!H15)</f>
        <v>27961</v>
      </c>
      <c r="G6" s="683" t="s">
        <v>322</v>
      </c>
      <c r="H6" s="681" t="str">
        <f>IF('Crew Inb'!C15="","","免办签证")</f>
        <v>免办签证</v>
      </c>
    </row>
    <row r="7" spans="1:11">
      <c r="A7" t="str">
        <f>IF('Crew Inb'!K16="","",'Crew Inb'!K16)</f>
        <v>AB565162</v>
      </c>
      <c r="B7" t="str">
        <f>IF('Crew Inb'!J16="","",IF('Crew Inb'!J16="P","普通护照",IF('Crew Inb'!J16="S","海员证","")))</f>
        <v>海员证</v>
      </c>
      <c r="C7" s="65" t="s">
        <v>317</v>
      </c>
      <c r="D7" t="str">
        <f>IF('Crew Inb'!C16="","",'Crew Inb'!C16&amp;" "&amp;'Crew Inb'!D16)</f>
        <v>BALAKIN OLEG </v>
      </c>
      <c r="E7" t="str">
        <f>IF('Crew Inb'!E16="","",IF('Crew Inb'!E16="M","男",IF('Crew Inb'!E16="F","女","未说明")))</f>
        <v>男</v>
      </c>
      <c r="F7" s="679">
        <f>IF('Crew Inb'!H16="","",'Crew Inb'!H16)</f>
        <v>24595</v>
      </c>
      <c r="G7" s="680" t="s">
        <v>323</v>
      </c>
      <c r="H7" s="681" t="str">
        <f>IF('Crew Inb'!C16="","","免办签证")</f>
        <v>免办签证</v>
      </c>
    </row>
    <row r="8" spans="1:11">
      <c r="A8" t="str">
        <f>IF('Crew Inb'!K17="","",'Crew Inb'!K17)</f>
        <v>P1649209A</v>
      </c>
      <c r="B8" t="str">
        <f>IF('Crew Inb'!J17="","",IF('Crew Inb'!J17="P","普通护照",IF('Crew Inb'!J17="S","海员证","")))</f>
        <v>普通护照</v>
      </c>
      <c r="C8" s="65" t="s">
        <v>324</v>
      </c>
      <c r="D8" t="str">
        <f>IF('Crew Inb'!C17="","",'Crew Inb'!C17&amp;" "&amp;'Crew Inb'!D17)</f>
        <v>BACERDO OMAR DAMES </v>
      </c>
      <c r="E8" t="str">
        <f>IF('Crew Inb'!E17="","",IF('Crew Inb'!E17="M","男",IF('Crew Inb'!E17="F","女","未说明")))</f>
        <v>男</v>
      </c>
      <c r="F8" s="679">
        <f>IF('Crew Inb'!H17="","",'Crew Inb'!H17)</f>
        <v>34157</v>
      </c>
      <c r="G8" s="680" t="s">
        <v>325</v>
      </c>
      <c r="H8" s="681" t="str">
        <f>IF('Crew Inb'!C17="","","免办签证")</f>
        <v>免办签证</v>
      </c>
    </row>
    <row r="9" spans="1:11">
      <c r="A9" t="str">
        <f>IF('Crew Inb'!K18="","",'Crew Inb'!K18)</f>
        <v>P1399821A</v>
      </c>
      <c r="B9" t="str">
        <f>IF('Crew Inb'!J18="","",IF('Crew Inb'!J18="P","普通护照",IF('Crew Inb'!J18="S","海员证","")))</f>
        <v>普通护照</v>
      </c>
      <c r="C9" s="65" t="s">
        <v>326</v>
      </c>
      <c r="D9" t="str">
        <f>IF('Crew Inb'!C18="","",'Crew Inb'!C18&amp;" "&amp;'Crew Inb'!D18)</f>
        <v>SANTACERA ROTSEN MAR DAYADAY </v>
      </c>
      <c r="E9" t="str">
        <f>IF('Crew Inb'!E18="","",IF('Crew Inb'!E18="M","男",IF('Crew Inb'!E18="F","女","未说明")))</f>
        <v>男</v>
      </c>
      <c r="F9" s="679">
        <f>IF('Crew Inb'!H18="","",'Crew Inb'!H18)</f>
        <v>32956</v>
      </c>
      <c r="G9" s="683" t="s">
        <v>327</v>
      </c>
      <c r="H9" s="681" t="str">
        <f>IF('Crew Inb'!C18="","","免办签证")</f>
        <v>免办签证</v>
      </c>
    </row>
    <row r="10" spans="1:11">
      <c r="A10" t="e">
        <f>IF('Crew Inb'!#REF!="","",'Crew Inb'!#REF!)</f>
        <v>#REF!</v>
      </c>
      <c r="B10" t="e">
        <f>IF('Crew Inb'!#REF!="","",IF('Crew Inb'!#REF!="P","普通护照",IF('Crew Inb'!#REF!="S","海员证","")))</f>
        <v>#REF!</v>
      </c>
      <c r="C10" s="65" t="s">
        <v>328</v>
      </c>
      <c r="D10" t="e">
        <f>IF('Crew Inb'!#REF!="","",'Crew Inb'!#REF!&amp;" "&amp;'Crew Inb'!#REF!)</f>
        <v>#REF!</v>
      </c>
      <c r="E10" t="e">
        <f>IF('Crew Inb'!#REF!="","",IF('Crew Inb'!#REF!="M","男",IF('Crew Inb'!#REF!="F","女","未说明")))</f>
        <v>#REF!</v>
      </c>
      <c r="F10" s="679" t="e">
        <f>IF('Crew Inb'!#REF!="","",'Crew Inb'!#REF!)</f>
        <v>#REF!</v>
      </c>
      <c r="G10" s="682" t="s">
        <v>329</v>
      </c>
      <c r="H10" s="681" t="e">
        <f>IF('Crew Inb'!#REF!="","","免办签证")</f>
        <v>#REF!</v>
      </c>
    </row>
    <row r="11" spans="1:11">
      <c r="A11" t="str">
        <f>IF('Crew Inb'!K19="","",'Crew Inb'!K19)</f>
        <v>EC4641553</v>
      </c>
      <c r="B11" t="str">
        <f>IF('Crew Inb'!J19="","",IF('Crew Inb'!J19="P","普通护照",IF('Crew Inb'!J19="S","海员证","")))</f>
        <v>普通护照</v>
      </c>
      <c r="C11" s="65" t="s">
        <v>315</v>
      </c>
      <c r="D11" t="str">
        <f>IF('Crew Inb'!C19="","",'Crew Inb'!C19&amp;" "&amp;'Crew Inb'!D19)</f>
        <v>JAVIER EDGAR AMMEN </v>
      </c>
      <c r="E11" t="str">
        <f>IF('Crew Inb'!E19="","",IF('Crew Inb'!E19="M","男",IF('Crew Inb'!E19="F","女","未说明")))</f>
        <v>男</v>
      </c>
      <c r="F11" s="679">
        <f>IF('Crew Inb'!H19="","",'Crew Inb'!H19)</f>
        <v>25430</v>
      </c>
      <c r="G11" s="682" t="s">
        <v>330</v>
      </c>
      <c r="H11" s="681" t="str">
        <f>IF('Crew Inb'!C19="","","免办签证")</f>
        <v>免办签证</v>
      </c>
    </row>
    <row r="12" spans="1:11">
      <c r="A12" t="str">
        <f>IF('Crew Inb'!K20="","",'Crew Inb'!K20)</f>
        <v>P2512380A</v>
      </c>
      <c r="B12" t="str">
        <f>IF('Crew Inb'!J20="","",IF('Crew Inb'!J20="P","普通护照",IF('Crew Inb'!J20="S","海员证","")))</f>
        <v>普通护照</v>
      </c>
      <c r="C12" s="65" t="s">
        <v>331</v>
      </c>
      <c r="D12" t="str">
        <f>IF('Crew Inb'!C20="","",'Crew Inb'!C20&amp;" "&amp;'Crew Inb'!D20)</f>
        <v>ELPA KENNETH BLANCO </v>
      </c>
      <c r="E12" t="str">
        <f>IF('Crew Inb'!E20="","",IF('Crew Inb'!E20="M","男",IF('Crew Inb'!E20="F","女","未说明")))</f>
        <v>男</v>
      </c>
      <c r="F12" s="679">
        <f>IF('Crew Inb'!H20="","",'Crew Inb'!H20)</f>
        <v>29746</v>
      </c>
      <c r="G12" s="682" t="s">
        <v>332</v>
      </c>
      <c r="H12" s="681" t="str">
        <f>IF('Crew Inb'!C20="","","免办签证")</f>
        <v>免办签证</v>
      </c>
    </row>
    <row r="13" spans="1:11">
      <c r="A13" t="str">
        <f>IF('Crew Inb'!K21="","",'Crew Inb'!K21)</f>
        <v>EC6525043</v>
      </c>
      <c r="B13" t="str">
        <f>IF('Crew Inb'!J21="","",IF('Crew Inb'!J21="P","普通护照",IF('Crew Inb'!J21="S","海员证","")))</f>
        <v>普通护照</v>
      </c>
      <c r="C13" s="65" t="s">
        <v>333</v>
      </c>
      <c r="D13" t="str">
        <f>IF('Crew Inb'!C21="","",'Crew Inb'!C21&amp;" "&amp;'Crew Inb'!D21)</f>
        <v>FLORENTINO JOEMARIE LACHICA </v>
      </c>
      <c r="E13" t="str">
        <f>IF('Crew Inb'!E21="","",IF('Crew Inb'!E21="M","男",IF('Crew Inb'!E21="F","女","未说明")))</f>
        <v>男</v>
      </c>
      <c r="F13" s="679">
        <f>IF('Crew Inb'!H21="","",'Crew Inb'!H21)</f>
        <v>28234</v>
      </c>
      <c r="G13" s="682" t="s">
        <v>334</v>
      </c>
      <c r="H13" s="681" t="str">
        <f>IF('Crew Inb'!C21="","","免办签证")</f>
        <v>免办签证</v>
      </c>
    </row>
    <row r="14" spans="1:11">
      <c r="A14" t="str">
        <f>IF('Crew Inb'!K22="","",'Crew Inb'!K22)</f>
        <v>P0863919A</v>
      </c>
      <c r="B14" t="str">
        <f>IF('Crew Inb'!J22="","",IF('Crew Inb'!J22="P","普通护照",IF('Crew Inb'!J22="S","海员证","")))</f>
        <v>普通护照</v>
      </c>
      <c r="C14" s="65" t="s">
        <v>315</v>
      </c>
      <c r="D14" t="str">
        <f>IF('Crew Inb'!C22="","",'Crew Inb'!C22&amp;" "&amp;'Crew Inb'!D22)</f>
        <v>SUAREZ JETTE ANTHONY CAPANAS </v>
      </c>
      <c r="E14" t="str">
        <f>IF('Crew Inb'!E22="","",IF('Crew Inb'!E22="M","男",IF('Crew Inb'!E22="F","女","未说明")))</f>
        <v>男</v>
      </c>
      <c r="F14" s="679">
        <f>IF('Crew Inb'!H22="","",'Crew Inb'!H22)</f>
        <v>30471</v>
      </c>
      <c r="G14" s="682" t="s">
        <v>335</v>
      </c>
      <c r="H14" s="681" t="str">
        <f>IF('Crew Inb'!C22="","","免办签证")</f>
        <v>免办签证</v>
      </c>
    </row>
    <row r="15" spans="1:11">
      <c r="A15" t="str">
        <f>IF('Crew Inb'!K23="","",'Crew Inb'!K23)</f>
        <v>EC5956980</v>
      </c>
      <c r="B15" t="str">
        <f>IF('Crew Inb'!J23="","",IF('Crew Inb'!J23="P","普通护照",IF('Crew Inb'!J23="S","海员证","")))</f>
        <v>普通护照</v>
      </c>
      <c r="C15" s="65" t="s">
        <v>315</v>
      </c>
      <c r="D15" t="str">
        <f>IF('Crew Inb'!C23="","",'Crew Inb'!C23&amp;" "&amp;'Crew Inb'!D23)</f>
        <v>JAMERO IANJAY HAMOAY </v>
      </c>
      <c r="E15" t="str">
        <f>IF('Crew Inb'!E23="","",IF('Crew Inb'!E23="M","男",IF('Crew Inb'!E23="F","女","未说明")))</f>
        <v>男</v>
      </c>
      <c r="F15" s="679">
        <f>IF('Crew Inb'!H23="","",'Crew Inb'!H23)</f>
        <v>30822</v>
      </c>
      <c r="G15" s="682" t="s">
        <v>335</v>
      </c>
      <c r="H15" s="681" t="str">
        <f>IF('Crew Inb'!C23="","","免办签证")</f>
        <v>免办签证</v>
      </c>
    </row>
    <row r="16" spans="1:11">
      <c r="A16" t="str">
        <f>IF('Crew Inb'!K24="","",'Crew Inb'!K24)</f>
        <v>P3925249A</v>
      </c>
      <c r="B16" t="str">
        <f>IF('Crew Inb'!J24="","",IF('Crew Inb'!J24="P","普通护照",IF('Crew Inb'!J24="S","海员证","")))</f>
        <v>普通护照</v>
      </c>
      <c r="C16" s="65" t="s">
        <v>315</v>
      </c>
      <c r="D16" t="str">
        <f>IF('Crew Inb'!C24="","",'Crew Inb'!C24&amp;" "&amp;'Crew Inb'!D24)</f>
        <v>PELLETERO ALLEN SEGISMUNDO </v>
      </c>
      <c r="E16" t="str">
        <f>IF('Crew Inb'!E24="","",IF('Crew Inb'!E24="M","男",IF('Crew Inb'!E24="F","女","未说明")))</f>
        <v>男</v>
      </c>
      <c r="F16" s="679">
        <f>IF('Crew Inb'!H24="","",'Crew Inb'!H24)</f>
        <v>33702</v>
      </c>
      <c r="G16" s="682" t="s">
        <v>335</v>
      </c>
      <c r="H16" s="681" t="str">
        <f>IF('Crew Inb'!C24="","","免办签证")</f>
        <v>免办签证</v>
      </c>
    </row>
    <row r="17" spans="1:8">
      <c r="A17" t="str">
        <f>IF('Crew Inb'!K25="","",'Crew Inb'!K25)</f>
        <v>EC4389049</v>
      </c>
      <c r="B17" t="str">
        <f>IF('Crew Inb'!J25="","",IF('Crew Inb'!J25="P","普通护照",IF('Crew Inb'!J25="S","海员证","")))</f>
        <v>普通护照</v>
      </c>
      <c r="C17" s="65" t="s">
        <v>315</v>
      </c>
      <c r="D17" t="str">
        <f>IF('Crew Inb'!C25="","",'Crew Inb'!C25&amp;" "&amp;'Crew Inb'!D25)</f>
        <v>OLOJAN ROSEN JUANICO </v>
      </c>
      <c r="E17" t="str">
        <f>IF('Crew Inb'!E25="","",IF('Crew Inb'!E25="M","男",IF('Crew Inb'!E25="F","女","未说明")))</f>
        <v>男</v>
      </c>
      <c r="F17" s="679">
        <f>IF('Crew Inb'!H25="","",'Crew Inb'!H25)</f>
        <v>24553</v>
      </c>
      <c r="G17" s="682" t="s">
        <v>336</v>
      </c>
      <c r="H17" s="681" t="str">
        <f>IF('Crew Inb'!C25="","","免办签证")</f>
        <v>免办签证</v>
      </c>
    </row>
    <row r="18" spans="1:8">
      <c r="A18" t="str">
        <f>IF('Crew Inb'!K26="","",'Crew Inb'!K26)</f>
        <v>P2263420A</v>
      </c>
      <c r="B18" t="str">
        <f>IF('Crew Inb'!J26="","",IF('Crew Inb'!J26="P","普通护照",IF('Crew Inb'!J26="S","海员证","")))</f>
        <v>普通护照</v>
      </c>
      <c r="C18" s="65" t="s">
        <v>315</v>
      </c>
      <c r="D18" t="str">
        <f>IF('Crew Inb'!C26="","",'Crew Inb'!C26&amp;" "&amp;'Crew Inb'!D26)</f>
        <v>CAMILOTE GEOFFREY CALETINA </v>
      </c>
      <c r="E18" t="str">
        <f>IF('Crew Inb'!E26="","",IF('Crew Inb'!E26="M","男",IF('Crew Inb'!E26="F","女","未说明")))</f>
        <v>男</v>
      </c>
      <c r="F18" s="679">
        <f>IF('Crew Inb'!H26="","",'Crew Inb'!H26)</f>
        <v>28098</v>
      </c>
      <c r="G18" s="682" t="s">
        <v>336</v>
      </c>
      <c r="H18" s="681" t="str">
        <f>IF('Crew Inb'!C26="","","免办签证")</f>
        <v>免办签证</v>
      </c>
    </row>
    <row r="19" spans="1:8">
      <c r="A19" t="str">
        <f>IF('Crew Inb'!K27="","",'Crew Inb'!K27)</f>
        <v>P3596511A</v>
      </c>
      <c r="B19" t="str">
        <f>IF('Crew Inb'!J27="","",IF('Crew Inb'!J27="P","普通护照",IF('Crew Inb'!J27="S","海员证","")))</f>
        <v>普通护照</v>
      </c>
      <c r="C19" s="65" t="s">
        <v>315</v>
      </c>
      <c r="D19" t="str">
        <f>IF('Crew Inb'!C27="","",'Crew Inb'!C27&amp;" "&amp;'Crew Inb'!D27)</f>
        <v>ECAT JOSEPH PAUL TENEBRO </v>
      </c>
      <c r="E19" t="str">
        <f>IF('Crew Inb'!E27="","",IF('Crew Inb'!E27="M","男",IF('Crew Inb'!E27="F","女","未说明")))</f>
        <v>男</v>
      </c>
      <c r="F19" s="679">
        <f>IF('Crew Inb'!H27="","",'Crew Inb'!H27)</f>
        <v>34260</v>
      </c>
      <c r="G19" s="682" t="s">
        <v>336</v>
      </c>
      <c r="H19" s="681" t="str">
        <f>IF('Crew Inb'!C27="","","免办签证")</f>
        <v>免办签证</v>
      </c>
    </row>
    <row r="20" spans="1:8">
      <c r="A20" t="e">
        <f>IF('Crew Inb'!#REF!="","",'Crew Inb'!#REF!)</f>
        <v>#REF!</v>
      </c>
      <c r="B20" t="e">
        <f>IF('Crew Inb'!#REF!="","",IF('Crew Inb'!#REF!="P","普通护照",IF('Crew Inb'!#REF!="S","海员证","")))</f>
        <v>#REF!</v>
      </c>
      <c r="C20" s="65" t="s">
        <v>315</v>
      </c>
      <c r="D20" t="e">
        <f>IF('Crew Inb'!#REF!="","",'Crew Inb'!#REF!&amp;" "&amp;'Crew Inb'!#REF!)</f>
        <v>#REF!</v>
      </c>
      <c r="E20" t="e">
        <f>IF('Crew Inb'!#REF!="","",IF('Crew Inb'!#REF!="M","男",IF('Crew Inb'!#REF!="F","女","未说明")))</f>
        <v>#REF!</v>
      </c>
      <c r="F20" s="679" t="e">
        <f>IF('Crew Inb'!#REF!="","",'Crew Inb'!#REF!)</f>
        <v>#REF!</v>
      </c>
      <c r="G20" s="682" t="s">
        <v>332</v>
      </c>
      <c r="H20" s="681" t="e">
        <f>IF('Crew Inb'!#REF!="","","免办签证")</f>
        <v>#REF!</v>
      </c>
    </row>
    <row r="21" spans="1:8">
      <c r="A21" t="e">
        <f>IF('Crew Inb'!#REF!="","",'Crew Inb'!#REF!)</f>
        <v>#REF!</v>
      </c>
      <c r="B21" t="e">
        <f>IF('Crew Inb'!#REF!="","",IF('Crew Inb'!#REF!="P","普通护照",IF('Crew Inb'!#REF!="S","海员证","")))</f>
        <v>#REF!</v>
      </c>
      <c r="C21" s="65" t="s">
        <v>315</v>
      </c>
      <c r="D21" t="e">
        <f>IF('Crew Inb'!#REF!="","",'Crew Inb'!#REF!&amp;" "&amp;'Crew Inb'!#REF!)</f>
        <v>#REF!</v>
      </c>
      <c r="E21" t="e">
        <f>IF('Crew Inb'!#REF!="","",IF('Crew Inb'!#REF!="M","男",IF('Crew Inb'!#REF!="F","女","未说明")))</f>
        <v>#REF!</v>
      </c>
      <c r="F21" s="679" t="e">
        <f>IF('Crew Inb'!#REF!="","",'Crew Inb'!#REF!)</f>
        <v>#REF!</v>
      </c>
      <c r="G21" s="682" t="s">
        <v>337</v>
      </c>
      <c r="H21" s="681" t="e">
        <f>IF('Crew Inb'!#REF!="","","免办签证")</f>
        <v>#REF!</v>
      </c>
    </row>
    <row r="22" spans="1:8">
      <c r="A22" t="e">
        <f>IF('Crew Inb'!#REF!="","",'Crew Inb'!#REF!)</f>
        <v>#REF!</v>
      </c>
      <c r="B22" t="e">
        <f>IF('Crew Inb'!#REF!="","",IF('Crew Inb'!#REF!="P","普通护照",IF('Crew Inb'!#REF!="S","海员证","")))</f>
        <v>#REF!</v>
      </c>
      <c r="C22" s="65" t="s">
        <v>315</v>
      </c>
      <c r="D22" t="e">
        <f>IF('Crew Inb'!#REF!="","",'Crew Inb'!#REF!&amp;" "&amp;'Crew Inb'!#REF!)</f>
        <v>#REF!</v>
      </c>
      <c r="E22" t="e">
        <f>IF('Crew Inb'!#REF!="","",IF('Crew Inb'!#REF!="M","男",IF('Crew Inb'!#REF!="F","女","未说明")))</f>
        <v>#REF!</v>
      </c>
      <c r="F22" s="679" t="e">
        <f>IF('Crew Inb'!#REF!="","",'Crew Inb'!#REF!)</f>
        <v>#REF!</v>
      </c>
      <c r="G22" s="683" t="s">
        <v>338</v>
      </c>
      <c r="H22" s="681" t="e">
        <f>IF('Crew Inb'!#REF!="","","免办签证")</f>
        <v>#REF!</v>
      </c>
    </row>
    <row r="23" spans="1:8">
      <c r="A23" t="e">
        <f>IF('Crew Inb'!#REF!="","",'Crew Inb'!#REF!)</f>
        <v>#REF!</v>
      </c>
      <c r="B23" t="e">
        <f>IF('Crew Inb'!#REF!="","",IF('Crew Inb'!#REF!="P","普通护照",IF('Crew Inb'!#REF!="S","海员证","")))</f>
        <v>#REF!</v>
      </c>
      <c r="C23" s="65" t="s">
        <v>315</v>
      </c>
      <c r="D23" t="e">
        <f>IF('Crew Inb'!#REF!="","",'Crew Inb'!#REF!&amp;" "&amp;'Crew Inb'!#REF!)</f>
        <v>#REF!</v>
      </c>
      <c r="E23" t="e">
        <f>IF('Crew Inb'!#REF!="","",IF('Crew Inb'!#REF!="M","男",IF('Crew Inb'!#REF!="F","女","未说明")))</f>
        <v>#REF!</v>
      </c>
      <c r="F23" s="679" t="e">
        <f>IF('Crew Inb'!#REF!="","",'Crew Inb'!#REF!)</f>
        <v>#REF!</v>
      </c>
      <c r="G23" s="683" t="s">
        <v>338</v>
      </c>
      <c r="H23" s="681" t="e">
        <f>IF('Crew Inb'!#REF!="","","免办签证")</f>
        <v>#REF!</v>
      </c>
    </row>
    <row r="24" spans="1:8">
      <c r="A24" t="e">
        <f>IF('Crew Inb'!#REF!="","",'Crew Inb'!#REF!)</f>
        <v>#REF!</v>
      </c>
      <c r="B24" t="e">
        <f>IF('Crew Inb'!#REF!="","",IF('Crew Inb'!#REF!="P","普通护照",IF('Crew Inb'!#REF!="S","海员证","")))</f>
        <v>#REF!</v>
      </c>
      <c r="C24" s="65" t="s">
        <v>315</v>
      </c>
      <c r="D24" t="e">
        <f>IF('Crew Inb'!#REF!="","",'Crew Inb'!#REF!&amp;" "&amp;'Crew Inb'!#REF!)</f>
        <v>#REF!</v>
      </c>
      <c r="E24" t="e">
        <f>IF('Crew Inb'!#REF!="","",IF('Crew Inb'!#REF!="M","男",IF('Crew Inb'!#REF!="F","女","未说明")))</f>
        <v>#REF!</v>
      </c>
      <c r="F24" s="679" t="e">
        <f>IF('Crew Inb'!#REF!="","",'Crew Inb'!#REF!)</f>
        <v>#REF!</v>
      </c>
      <c r="G24" s="683" t="s">
        <v>338</v>
      </c>
      <c r="H24" s="681" t="e">
        <f>IF('Crew Inb'!#REF!="","","免办签证")</f>
        <v>#REF!</v>
      </c>
    </row>
    <row r="25" spans="1:8">
      <c r="A25" t="e">
        <f>IF('Crew Inb'!#REF!="","",'Crew Inb'!#REF!)</f>
        <v>#REF!</v>
      </c>
      <c r="B25" t="e">
        <f>IF('Crew Inb'!#REF!="","",IF('Crew Inb'!#REF!="P","普通护照",IF('Crew Inb'!#REF!="S","海员证","")))</f>
        <v>#REF!</v>
      </c>
      <c r="C25" s="65" t="s">
        <v>315</v>
      </c>
      <c r="D25" t="e">
        <f>IF('Crew Inb'!#REF!="","",'Crew Inb'!#REF!&amp;" "&amp;'Crew Inb'!#REF!)</f>
        <v>#REF!</v>
      </c>
      <c r="E25" t="e">
        <f>IF('Crew Inb'!#REF!="","",IF('Crew Inb'!#REF!="M","男",IF('Crew Inb'!#REF!="F","女","未说明")))</f>
        <v>#REF!</v>
      </c>
      <c r="F25" s="679" t="e">
        <f>IF('Crew Inb'!#REF!="","",'Crew Inb'!#REF!)</f>
        <v>#REF!</v>
      </c>
      <c r="G25" s="683" t="s">
        <v>338</v>
      </c>
      <c r="H25" s="681" t="e">
        <f>IF('Crew Inb'!#REF!="","","免办签证")</f>
        <v>#REF!</v>
      </c>
    </row>
    <row r="26" spans="1:8">
      <c r="A26" t="e">
        <f>IF('Crew Inb'!#REF!="","",'Crew Inb'!#REF!)</f>
        <v>#REF!</v>
      </c>
      <c r="B26" t="e">
        <f>IF('Crew Inb'!#REF!="","",IF('Crew Inb'!#REF!="P","普通护照",IF('Crew Inb'!#REF!="S","海员证","")))</f>
        <v>#REF!</v>
      </c>
      <c r="C26" s="65" t="s">
        <v>315</v>
      </c>
      <c r="D26" t="e">
        <f>IF('Crew Inb'!#REF!="","",'Crew Inb'!#REF!&amp;" "&amp;'Crew Inb'!#REF!)</f>
        <v>#REF!</v>
      </c>
      <c r="E26" t="e">
        <f>IF('Crew Inb'!#REF!="","",IF('Crew Inb'!#REF!="M","男",IF('Crew Inb'!#REF!="F","女","未说明")))</f>
        <v>#REF!</v>
      </c>
      <c r="F26" s="679" t="e">
        <f>IF('Crew Inb'!#REF!="","",'Crew Inb'!#REF!)</f>
        <v>#REF!</v>
      </c>
      <c r="G26" s="683" t="s">
        <v>338</v>
      </c>
      <c r="H26" s="681" t="e">
        <f>IF('Crew Inb'!#REF!="","","免办签证")</f>
        <v>#REF!</v>
      </c>
    </row>
    <row r="27" spans="1:8">
      <c r="A27" t="e">
        <f>IF('Crew Inb'!#REF!="","",'Crew Inb'!#REF!)</f>
        <v>#REF!</v>
      </c>
      <c r="B27" t="e">
        <f>IF('Crew Inb'!#REF!="","",IF('Crew Inb'!#REF!="P","普通护照",IF('Crew Inb'!#REF!="S","海员证","")))</f>
        <v>#REF!</v>
      </c>
      <c r="C27" s="65" t="s">
        <v>315</v>
      </c>
      <c r="D27" t="e">
        <f>IF('Crew Inb'!#REF!="","",'Crew Inb'!#REF!&amp;" "&amp;'Crew Inb'!#REF!)</f>
        <v>#REF!</v>
      </c>
      <c r="E27" t="e">
        <f>IF('Crew Inb'!#REF!="","",IF('Crew Inb'!#REF!="M","男",IF('Crew Inb'!#REF!="F","女","未说明")))</f>
        <v>#REF!</v>
      </c>
      <c r="F27" s="679" t="e">
        <f>IF('Crew Inb'!#REF!="","",'Crew Inb'!#REF!)</f>
        <v>#REF!</v>
      </c>
      <c r="G27" s="683" t="s">
        <v>338</v>
      </c>
      <c r="H27" s="681" t="e">
        <f>IF('Crew Inb'!#REF!="","","免办签证")</f>
        <v>#REF!</v>
      </c>
    </row>
    <row r="28" spans="1:8">
      <c r="A28" t="e">
        <f>IF('Crew Inb'!#REF!="","",'Crew Inb'!#REF!)</f>
        <v>#REF!</v>
      </c>
      <c r="B28" t="e">
        <f>IF('Crew Inb'!#REF!="","",IF('Crew Inb'!#REF!="P","普通护照",IF('Crew Inb'!#REF!="S","海员证","")))</f>
        <v>#REF!</v>
      </c>
      <c r="C28" s="65" t="s">
        <v>315</v>
      </c>
      <c r="D28" t="e">
        <f>IF('Crew Inb'!#REF!="","",'Crew Inb'!#REF!&amp;" "&amp;'Crew Inb'!#REF!)</f>
        <v>#REF!</v>
      </c>
      <c r="E28" t="e">
        <f>IF('Crew Inb'!#REF!="","",IF('Crew Inb'!#REF!="M","男",IF('Crew Inb'!#REF!="F","女","未说明")))</f>
        <v>#REF!</v>
      </c>
      <c r="F28" s="679" t="e">
        <f>IF('Crew Inb'!#REF!="","",'Crew Inb'!#REF!)</f>
        <v>#REF!</v>
      </c>
      <c r="G28" s="683" t="s">
        <v>338</v>
      </c>
      <c r="H28" s="681" t="e">
        <f>IF('Crew Inb'!#REF!="","","免办签证")</f>
        <v>#REF!</v>
      </c>
    </row>
    <row r="29" spans="1:8">
      <c r="A29" t="e">
        <f>IF('Crew Inb'!#REF!="","",'Crew Inb'!#REF!)</f>
        <v>#REF!</v>
      </c>
      <c r="B29" t="e">
        <f>IF('Crew Inb'!#REF!="","",IF('Crew Inb'!#REF!="P","普通护照",IF('Crew Inb'!#REF!="S","海员证","")))</f>
        <v>#REF!</v>
      </c>
      <c r="C29" s="65" t="s">
        <v>317</v>
      </c>
      <c r="D29" t="e">
        <f>IF('Crew Inb'!#REF!="","",'Crew Inb'!#REF!&amp;" "&amp;'Crew Inb'!#REF!)</f>
        <v>#REF!</v>
      </c>
      <c r="E29" t="e">
        <f>IF('Crew Inb'!#REF!="","",IF('Crew Inb'!#REF!="M","男",IF('Crew Inb'!#REF!="F","女","未说明")))</f>
        <v>#REF!</v>
      </c>
      <c r="F29" s="679" t="e">
        <f>IF('Crew Inb'!#REF!="","",'Crew Inb'!#REF!)</f>
        <v>#REF!</v>
      </c>
      <c r="G29" s="683" t="s">
        <v>338</v>
      </c>
      <c r="H29" s="681" t="e">
        <f>IF('Crew Inb'!#REF!="","","免办签证")</f>
        <v>#REF!</v>
      </c>
    </row>
    <row r="30" spans="1:8">
      <c r="A30" t="e">
        <f>IF('Crew Inb'!#REF!="","",'Crew Inb'!#REF!)</f>
        <v>#REF!</v>
      </c>
      <c r="B30"/>
      <c r="C30" s="65"/>
      <c r="D30"/>
      <c r="E30"/>
      <c r="F30" s="679" t="e">
        <f>IF('Crew Inb'!#REF!="","",'Crew Inb'!#REF!)</f>
        <v>#REF!</v>
      </c>
      <c r="G30" s="683"/>
      <c r="H30" s="681"/>
    </row>
    <row r="31" spans="1:8">
      <c r="A31" t="e">
        <f>IF('Crew Inb'!#REF!="","",'Crew Inb'!#REF!)</f>
        <v>#REF!</v>
      </c>
      <c r="B31"/>
      <c r="C31" s="65"/>
      <c r="D31" t="e">
        <f>IF('Crew Inb'!#REF!="","",'Crew Inb'!#REF!&amp;" "&amp;'Crew Inb'!#REF!)</f>
        <v>#REF!</v>
      </c>
      <c r="E31"/>
      <c r="F31" s="679" t="e">
        <f>IF('Crew Inb'!#REF!="","",'Crew Inb'!#REF!)</f>
        <v>#REF!</v>
      </c>
      <c r="G31" s="683"/>
      <c r="H31" s="681"/>
    </row>
    <row r="32" spans="1:8">
      <c r="A32" t="e">
        <f>IF('Crew Inb'!#REF!="","",'Crew Inb'!#REF!)</f>
        <v>#REF!</v>
      </c>
      <c r="B32"/>
      <c r="C32" s="65"/>
      <c r="D32"/>
      <c r="E32"/>
      <c r="F32" s="679" t="e">
        <f>IF('Crew Inb'!#REF!="","",'Crew Inb'!#REF!)</f>
        <v>#REF!</v>
      </c>
      <c r="G32" s="683"/>
      <c r="H32" s="681"/>
    </row>
    <row r="33" spans="1:8">
      <c r="A33" t="e">
        <f>IF('Crew Inb'!#REF!="","",'Crew Inb'!#REF!)</f>
        <v>#REF!</v>
      </c>
      <c r="B33"/>
      <c r="D33"/>
      <c r="E33"/>
      <c r="F33" s="679" t="e">
        <f>IF('Crew Inb'!#REF!="","",'Crew Inb'!#REF!)</f>
        <v>#REF!</v>
      </c>
      <c r="G33" s="683"/>
      <c r="H33" s="681"/>
    </row>
    <row r="34" spans="1:8">
      <c r="A34" t="e">
        <f>IF('Crew Inb'!#REF!="","",'Crew Inb'!#REF!)</f>
        <v>#REF!</v>
      </c>
      <c r="B34"/>
      <c r="D34"/>
      <c r="E34"/>
      <c r="F34" s="679" t="e">
        <f>IF('Crew Inb'!#REF!="","",'Crew Inb'!#REF!)</f>
        <v>#REF!</v>
      </c>
      <c r="H34" s="681"/>
    </row>
    <row r="35" spans="1:8">
      <c r="A35" t="e">
        <f>IF('Crew Inb'!#REF!="","",'Crew Inb'!#REF!)</f>
        <v>#REF!</v>
      </c>
      <c r="B35"/>
      <c r="D35"/>
      <c r="E35"/>
      <c r="F35" s="679" t="e">
        <f>IF('Crew Inb'!#REF!="","",'Crew Inb'!#REF!)</f>
        <v>#REF!</v>
      </c>
      <c r="H35" s="681"/>
    </row>
    <row r="36" spans="1:8">
      <c r="A36" t="e">
        <f>IF('Crew Inb'!#REF!="","",'Crew Inb'!#REF!)</f>
        <v>#REF!</v>
      </c>
      <c r="B36"/>
      <c r="D36"/>
      <c r="E36"/>
      <c r="F36" s="679" t="e">
        <f>IF('Crew Inb'!#REF!="","",'Crew Inb'!#REF!)</f>
        <v>#REF!</v>
      </c>
      <c r="H36" s="681"/>
    </row>
    <row r="37" spans="1:8">
      <c r="A37" t="e">
        <f>IF('Crew Inb'!#REF!="","",'Crew Inb'!#REF!)</f>
        <v>#REF!</v>
      </c>
      <c r="B37"/>
      <c r="D37"/>
      <c r="E37"/>
      <c r="F37" s="679" t="e">
        <f>IF('Crew Inb'!#REF!="","",'Crew Inb'!#REF!)</f>
        <v>#REF!</v>
      </c>
      <c r="H37" s="681"/>
    </row>
    <row r="38" spans="1:8">
      <c r="A38" t="e">
        <f>IF('Crew Inb'!#REF!="","",'Crew Inb'!#REF!)</f>
        <v>#REF!</v>
      </c>
      <c r="B38"/>
      <c r="D38"/>
      <c r="E38"/>
      <c r="F38" s="679" t="e">
        <f>IF('Crew Inb'!#REF!="","",'Crew Inb'!#REF!)</f>
        <v>#REF!</v>
      </c>
      <c r="H38" s="681"/>
    </row>
    <row r="39" spans="1:8">
      <c r="A39" t="e">
        <f>IF('Crew Inb'!#REF!="","",'Crew Inb'!#REF!)</f>
        <v>#REF!</v>
      </c>
      <c r="B39" t="e">
        <f>IF('Crew Inb'!#REF!="","",IF('Crew Inb'!#REF!="P","普通护照",IF('Crew Inb'!#REF!="S","海员证","")))</f>
        <v>#REF!</v>
      </c>
      <c r="D39" t="e">
        <f>IF('Crew Inb'!#REF!="","",'Crew Inb'!#REF!&amp;" "&amp;'Crew Inb'!#REF!)</f>
        <v>#REF!</v>
      </c>
      <c r="E39"/>
      <c r="F39" s="679" t="e">
        <f>IF('Crew Inb'!#REF!="","",'Crew Inb'!#REF!)</f>
        <v>#REF!</v>
      </c>
      <c r="H39" s="681" t="e">
        <f>IF('Crew Inb'!#REF!="","","免办签证")</f>
        <v>#REF!</v>
      </c>
    </row>
    <row r="40" spans="1:8">
      <c r="A40" t="e">
        <f>IF('Crew Inb'!#REF!="","",'Crew Inb'!#REF!)</f>
        <v>#REF!</v>
      </c>
      <c r="B40" t="str">
        <f>IF('Crew Inb'!J31="","",IF('Crew Inb'!J31="P","普通护照",IF('Crew Inb'!J31="S","海员证","")))</f>
        <v/>
      </c>
      <c r="D40" t="str">
        <f>IF('Crew Inb'!C31="","",'Crew Inb'!C31&amp;" "&amp;'Crew Inb'!D31)</f>
        <v/>
      </c>
      <c r="E40"/>
      <c r="F40" s="679" t="e">
        <f>IF('Crew Inb'!#REF!="","",'Crew Inb'!#REF!)</f>
        <v>#REF!</v>
      </c>
      <c r="H40" s="681" t="str">
        <f>IF('Crew Inb'!C31="","","免办签证")</f>
        <v/>
      </c>
    </row>
    <row r="41" spans="1:8">
      <c r="A41" t="str">
        <f>IF('Crew Inb'!K33="","",'Crew Inb'!K33)</f>
        <v/>
      </c>
      <c r="B41" t="str">
        <f>IF('Crew Inb'!J32="","",IF('Crew Inb'!J32="P","普通护照",IF('Crew Inb'!J32="S","海员证","")))</f>
        <v/>
      </c>
      <c r="D41" t="str">
        <f>IF('Crew Inb'!C32="","",'Crew Inb'!C32&amp;" "&amp;'Crew Inb'!D32)</f>
        <v/>
      </c>
      <c r="E41"/>
      <c r="F41" s="679" t="e">
        <f>IF('Crew Inb'!#REF!="","",'Crew Inb'!#REF!)</f>
        <v>#REF!</v>
      </c>
      <c r="H41" s="681" t="str">
        <f>IF('Crew Inb'!C32="","","免办签证")</f>
        <v/>
      </c>
    </row>
    <row r="42" spans="1:8">
      <c r="A42" t="str">
        <f>IF('Crew Inb'!K34="","",'Crew Inb'!K34)</f>
        <v/>
      </c>
      <c r="B42" t="str">
        <f>IF('Crew Inb'!J33="","",IF('Crew Inb'!J33="P","普通护照",IF('Crew Inb'!J33="S","海员证","")))</f>
        <v/>
      </c>
      <c r="D42" t="str">
        <f>IF('Crew Inb'!C33="","",'Crew Inb'!C33&amp;" "&amp;'Crew Inb'!D33)</f>
        <v/>
      </c>
      <c r="E42"/>
      <c r="F42" s="679" t="e">
        <f>IF('Crew Inb'!#REF!="","",'Crew Inb'!#REF!)</f>
        <v>#REF!</v>
      </c>
      <c r="H42" s="681" t="str">
        <f>IF('Crew Inb'!C33="","","免办签证")</f>
        <v/>
      </c>
    </row>
    <row r="43" spans="1:8">
      <c r="A43" t="str">
        <f>IF('Crew Inb'!K34="","",'Crew Inb'!K34)</f>
        <v/>
      </c>
      <c r="B43" t="str">
        <f>IF('Crew Inb'!J34="","",IF('Crew Inb'!J34="P","普通护照",IF('Crew Inb'!J34="S","海员证","")))</f>
        <v/>
      </c>
      <c r="D43" t="str">
        <f>IF('Crew Inb'!C34="","",'Crew Inb'!C34&amp;" "&amp;'Crew Inb'!D34)</f>
        <v/>
      </c>
      <c r="E43"/>
      <c r="F43" s="679" t="e">
        <f>IF('Crew Inb'!#REF!="","",'Crew Inb'!#REF!)</f>
        <v>#REF!</v>
      </c>
      <c r="H43" s="681" t="str">
        <f>IF('Crew Inb'!C34="","","免办签证")</f>
        <v/>
      </c>
    </row>
    <row r="44" spans="1:8">
      <c r="A44" t="str">
        <f>IF('Crew Inb'!K35="","",'Crew Inb'!K35)</f>
        <v/>
      </c>
      <c r="B44" t="str">
        <f>IF('Crew Inb'!J35="","",IF('Crew Inb'!J35="P","普通护照",IF('Crew Inb'!J35="S","海员证","")))</f>
        <v/>
      </c>
      <c r="D44" t="str">
        <f>IF('Crew Inb'!C35="","",'Crew Inb'!C35&amp;" "&amp;'Crew Inb'!D35)</f>
        <v/>
      </c>
      <c r="E44"/>
      <c r="F44" s="679" t="e">
        <f>IF('Crew Inb'!#REF!="","",'Crew Inb'!#REF!)</f>
        <v>#REF!</v>
      </c>
      <c r="H44" s="681" t="str">
        <f>IF('Crew Inb'!C35="","","免办签证")</f>
        <v/>
      </c>
    </row>
    <row r="45" spans="1:8">
      <c r="A45" t="str">
        <f>IF('Crew Inb'!K36="","",'Crew Inb'!K36)</f>
        <v/>
      </c>
      <c r="B45" t="str">
        <f>IF('Crew Inb'!J36="","",IF('Crew Inb'!J36="P","普通护照",IF('Crew Inb'!J36="S","海员证","")))</f>
        <v/>
      </c>
      <c r="D45" t="str">
        <f>IF('Crew Inb'!C36="","",'Crew Inb'!C36&amp;" "&amp;'Crew Inb'!D36)</f>
        <v/>
      </c>
      <c r="E45" t="str">
        <f>IF('Crew Inb'!E36="","",IF('Crew Inb'!E36="M","男",IF('Crew Inb'!E36="F","女","未说明")))</f>
        <v/>
      </c>
      <c r="F45" s="679" t="str">
        <f>IF('Crew Inb'!H36="","",'Crew Inb'!H36)</f>
        <v/>
      </c>
      <c r="H45" s="681" t="str">
        <f>IF('Crew Inb'!C36="","","免办签证")</f>
        <v/>
      </c>
    </row>
    <row r="46" spans="1:8">
      <c r="A46" t="str">
        <f>IF('Crew Inb'!K37="","",'Crew Inb'!K37)</f>
        <v/>
      </c>
      <c r="B46" t="str">
        <f>IF('Crew Inb'!J37="","",IF('Crew Inb'!J37="P","普通护照",IF('Crew Inb'!J37="S","海员证","")))</f>
        <v/>
      </c>
      <c r="D46" t="str">
        <f>IF('Crew Inb'!C37="","",'Crew Inb'!C37&amp;" "&amp;'Crew Inb'!D37)</f>
        <v/>
      </c>
      <c r="E46" t="str">
        <f>IF('Crew Inb'!E37="","",IF('Crew Inb'!E37="M","男",IF('Crew Inb'!E37="F","女","未说明")))</f>
        <v/>
      </c>
      <c r="F46" s="679" t="str">
        <f>IF('Crew Inb'!H37="","",'Crew Inb'!H37)</f>
        <v/>
      </c>
      <c r="H46" s="681" t="str">
        <f>IF('Crew Inb'!C37="","","免办签证")</f>
        <v/>
      </c>
    </row>
    <row r="47" spans="1:8">
      <c r="A47" t="str">
        <f>IF('Crew Inb'!K38="","",'Crew Inb'!K38)</f>
        <v/>
      </c>
      <c r="B47" t="str">
        <f>IF('Crew Inb'!J38="","",IF('Crew Inb'!J38="P","普通护照",IF('Crew Inb'!J38="C","海员证","")))</f>
        <v/>
      </c>
      <c r="D47" t="str">
        <f>IF('Crew Inb'!C38="","",'Crew Inb'!C38&amp;" "&amp;'Crew Inb'!D38)</f>
        <v/>
      </c>
      <c r="E47" t="str">
        <f>IF('Crew Inb'!E38="","",IF('Crew Inb'!E38="M","男",IF('Crew Inb'!E38="F","女","未说明")))</f>
        <v/>
      </c>
      <c r="F47" s="679" t="str">
        <f>IF('Crew Inb'!H38="","",'Crew Inb'!H38)</f>
        <v/>
      </c>
      <c r="H47" s="681" t="str">
        <f>IF('Crew Inb'!C38="","","免办签证")</f>
        <v/>
      </c>
    </row>
    <row r="48" spans="1:8">
      <c r="A48" t="str">
        <f>IF('Crew Inb'!K39="","",'Crew Inb'!K39)</f>
        <v/>
      </c>
      <c r="B48" t="str">
        <f>IF('Crew Inb'!J39="","",IF('Crew Inb'!J39="P","普通护照",IF('Crew Inb'!J39="C","海员证","")))</f>
        <v/>
      </c>
      <c r="D48" t="str">
        <f>IF('Crew Inb'!C39="","",'Crew Inb'!C39&amp;" "&amp;'Crew Inb'!D39)</f>
        <v/>
      </c>
      <c r="E48" t="str">
        <f>IF('Crew Inb'!E39="","",IF('Crew Inb'!E39="M","男",IF('Crew Inb'!E39="F","女","未说明")))</f>
        <v/>
      </c>
      <c r="F48" s="679" t="str">
        <f>IF('Crew Inb'!H39="","",'Crew Inb'!H39)</f>
        <v/>
      </c>
      <c r="H48" s="681" t="str">
        <f>IF('Crew Inb'!C39="","","免办签证")</f>
        <v/>
      </c>
    </row>
    <row r="49" spans="1:8">
      <c r="A49" t="str">
        <f>IF('Crew Inb'!K40="","",'Crew Inb'!K40)</f>
        <v/>
      </c>
      <c r="B49" t="str">
        <f>IF('Crew Inb'!J40="","",IF('Crew Inb'!J40="P","普通护照",IF('Crew Inb'!J40="C","海员证","")))</f>
        <v/>
      </c>
      <c r="D49" t="str">
        <f>IF('Crew Inb'!C40="","",'Crew Inb'!C40&amp;" "&amp;'Crew Inb'!D40)</f>
        <v/>
      </c>
      <c r="E49" t="str">
        <f>IF('Crew Inb'!E40="","",IF('Crew Inb'!E40="M","男",IF('Crew Inb'!E40="F","女","未说明")))</f>
        <v/>
      </c>
      <c r="F49" s="679" t="str">
        <f>IF('Crew Inb'!H40="","",'Crew Inb'!H40)</f>
        <v/>
      </c>
      <c r="H49" s="681" t="str">
        <f>IF('Crew Inb'!C40="","","免办签证")</f>
        <v/>
      </c>
    </row>
    <row r="50" spans="1:8">
      <c r="A50" t="str">
        <f>IF('Crew Inb'!K41="","",'Crew Inb'!K41)</f>
        <v/>
      </c>
      <c r="B50" t="str">
        <f>IF('Crew Inb'!J41="","",IF('Crew Inb'!J41="P","普通护照",IF('Crew Inb'!J41="C","海员证","")))</f>
        <v/>
      </c>
      <c r="D50" t="str">
        <f>IF('Crew Inb'!C41="","",'Crew Inb'!C41&amp;" "&amp;'Crew Inb'!D41)</f>
        <v/>
      </c>
      <c r="E50" t="str">
        <f>IF('Crew Inb'!E41="","",IF('Crew Inb'!E41="M","男",IF('Crew Inb'!E41="F","女","未说明")))</f>
        <v/>
      </c>
      <c r="F50" s="679" t="str">
        <f>IF('Crew Inb'!H41="","",'Crew Inb'!H41)</f>
        <v/>
      </c>
      <c r="H50" s="681" t="str">
        <f>IF('Crew Inb'!C41="","","免办签证")</f>
        <v/>
      </c>
    </row>
  </sheetData>
  <dataValidations count="7">
    <dataValidation showInputMessage="1" showErrorMessage="1" sqref="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dataValidation type="list" allowBlank="1" showInputMessage="1" showErrorMessage="1" sqref="B2:B65536 B65538:B131072 B131074:B196608 B196610:B262144 B262146:B327680 B327682:B393216 B393218:B458752 B458754:B524288 B524290:B589824 B589826:B655360 B655362:B720896 B720898:B786432 B786434:B851968 B851970:B917504 B917506:B983040 B983042:B1048576 IX2:IX65536 IX65538:IX131072 IX131074:IX196608 IX196610:IX262144 IX262146:IX327680 IX327682:IX393216 IX393218:IX458752 IX458754:IX524288 IX524290:IX589824 IX589826:IX655360 IX655362:IX720896 IX720898:IX786432 IX786434:IX851968 IX851970:IX917504 IX917506:IX983040 IX983042:IX1048576 ST2:ST65536 ST65538:ST131072 ST131074:ST196608 ST196610:ST262144 ST262146:ST327680 ST327682:ST393216 ST393218:ST458752 ST458754:ST524288 ST524290:ST589824 ST589826:ST655360 ST655362:ST720896 ST720898:ST786432 ST786434:ST851968 ST851970:ST917504 ST917506:ST983040 ST983042:ST1048576 ACP2:ACP65536 ACP65538:ACP131072 ACP131074:ACP196608 ACP196610:ACP262144 ACP262146:ACP327680 ACP327682:ACP393216 ACP393218:ACP458752 ACP458754:ACP524288 ACP524290:ACP589824 ACP589826:ACP655360 ACP655362:ACP720896 ACP720898:ACP786432 ACP786434:ACP851968 ACP851970:ACP917504 ACP917506:ACP983040 ACP983042:ACP1048576 AML2:AML65536 AML65538:AML131072 AML131074:AML196608 AML196610:AML262144 AML262146:AML327680 AML327682:AML393216 AML393218:AML458752 AML458754:AML524288 AML524290:AML589824 AML589826:AML655360 AML655362:AML720896 AML720898:AML786432 AML786434:AML851968 AML851970:AML917504 AML917506:AML983040 AML983042:AML1048576 AWH2:AWH65536 AWH65538:AWH131072 AWH131074:AWH196608 AWH196610:AWH262144 AWH262146:AWH327680 AWH327682:AWH393216 AWH393218:AWH458752 AWH458754:AWH524288 AWH524290:AWH589824 AWH589826:AWH655360 AWH655362:AWH720896 AWH720898:AWH786432 AWH786434:AWH851968 AWH851970:AWH917504 AWH917506:AWH983040 AWH983042:AWH1048576 BGD2:BGD65536 BGD65538:BGD131072 BGD131074:BGD196608 BGD196610:BGD262144 BGD262146:BGD327680 BGD327682:BGD393216 BGD393218:BGD458752 BGD458754:BGD524288 BGD524290:BGD589824 BGD589826:BGD655360 BGD655362:BGD720896 BGD720898:BGD786432 BGD786434:BGD851968 BGD851970:BGD917504 BGD917506:BGD983040 BGD983042:BGD1048576 BPZ2:BPZ65536 BPZ65538:BPZ131072 BPZ131074:BPZ196608 BPZ196610:BPZ262144 BPZ262146:BPZ327680 BPZ327682:BPZ393216 BPZ393218:BPZ458752 BPZ458754:BPZ524288 BPZ524290:BPZ589824 BPZ589826:BPZ655360 BPZ655362:BPZ720896 BPZ720898:BPZ786432 BPZ786434:BPZ851968 BPZ851970:BPZ917504 BPZ917506:BPZ983040 BPZ983042:BPZ1048576 BZV2:BZV65536 BZV65538:BZV131072 BZV131074:BZV196608 BZV196610:BZV262144 BZV262146:BZV327680 BZV327682:BZV393216 BZV393218:BZV458752 BZV458754:BZV524288 BZV524290:BZV589824 BZV589826:BZV655360 BZV655362:BZV720896 BZV720898:BZV786432 BZV786434:BZV851968 BZV851970:BZV917504 BZV917506:BZV983040 BZV983042:BZV1048576 CJR2:CJR65536 CJR65538:CJR131072 CJR131074:CJR196608 CJR196610:CJR262144 CJR262146:CJR327680 CJR327682:CJR393216 CJR393218:CJR458752 CJR458754:CJR524288 CJR524290:CJR589824 CJR589826:CJR655360 CJR655362:CJR720896 CJR720898:CJR786432 CJR786434:CJR851968 CJR851970:CJR917504 CJR917506:CJR983040 CJR983042:CJR1048576 CTN2:CTN65536 CTN65538:CTN131072 CTN131074:CTN196608 CTN196610:CTN262144 CTN262146:CTN327680 CTN327682:CTN393216 CTN393218:CTN458752 CTN458754:CTN524288 CTN524290:CTN589824 CTN589826:CTN655360 CTN655362:CTN720896 CTN720898:CTN786432 CTN786434:CTN851968 CTN851970:CTN917504 CTN917506:CTN983040 CTN983042:CTN1048576 DDJ2:DDJ65536 DDJ65538:DDJ131072 DDJ131074:DDJ196608 DDJ196610:DDJ262144 DDJ262146:DDJ327680 DDJ327682:DDJ393216 DDJ393218:DDJ458752 DDJ458754:DDJ524288 DDJ524290:DDJ589824 DDJ589826:DDJ655360 DDJ655362:DDJ720896 DDJ720898:DDJ786432 DDJ786434:DDJ851968 DDJ851970:DDJ917504 DDJ917506:DDJ983040 DDJ983042:DDJ1048576 DNF2:DNF65536 DNF65538:DNF131072 DNF131074:DNF196608 DNF196610:DNF262144 DNF262146:DNF327680 DNF327682:DNF393216 DNF393218:DNF458752 DNF458754:DNF524288 DNF524290:DNF589824 DNF589826:DNF655360 DNF655362:DNF720896 DNF720898:DNF786432 DNF786434:DNF851968 DNF851970:DNF917504 DNF917506:DNF983040 DNF983042:DNF1048576 DXB2:DXB65536 DXB65538:DXB131072 DXB131074:DXB196608 DXB196610:DXB262144 DXB262146:DXB327680 DXB327682:DXB393216 DXB393218:DXB458752 DXB458754:DXB524288 DXB524290:DXB589824 DXB589826:DXB655360 DXB655362:DXB720896 DXB720898:DXB786432 DXB786434:DXB851968 DXB851970:DXB917504 DXB917506:DXB983040 DXB983042:DXB1048576 EGX2:EGX65536 EGX65538:EGX131072 EGX131074:EGX196608 EGX196610:EGX262144 EGX262146:EGX327680 EGX327682:EGX393216 EGX393218:EGX458752 EGX458754:EGX524288 EGX524290:EGX589824 EGX589826:EGX655360 EGX655362:EGX720896 EGX720898:EGX786432 EGX786434:EGX851968 EGX851970:EGX917504 EGX917506:EGX983040 EGX983042:EGX1048576 EQT2:EQT65536 EQT65538:EQT131072 EQT131074:EQT196608 EQT196610:EQT262144 EQT262146:EQT327680 EQT327682:EQT393216 EQT393218:EQT458752 EQT458754:EQT524288 EQT524290:EQT589824 EQT589826:EQT655360 EQT655362:EQT720896 EQT720898:EQT786432 EQT786434:EQT851968 EQT851970:EQT917504 EQT917506:EQT983040 EQT983042:EQT1048576 FAP2:FAP65536 FAP65538:FAP131072 FAP131074:FAP196608 FAP196610:FAP262144 FAP262146:FAP327680 FAP327682:FAP393216 FAP393218:FAP458752 FAP458754:FAP524288 FAP524290:FAP589824 FAP589826:FAP655360 FAP655362:FAP720896 FAP720898:FAP786432 FAP786434:FAP851968 FAP851970:FAP917504 FAP917506:FAP983040 FAP983042:FAP1048576 FKL2:FKL65536 FKL65538:FKL131072 FKL131074:FKL196608 FKL196610:FKL262144 FKL262146:FKL327680 FKL327682:FKL393216 FKL393218:FKL458752 FKL458754:FKL524288 FKL524290:FKL589824 FKL589826:FKL655360 FKL655362:FKL720896 FKL720898:FKL786432 FKL786434:FKL851968 FKL851970:FKL917504 FKL917506:FKL983040 FKL983042:FKL1048576 FUH2:FUH65536 FUH65538:FUH131072 FUH131074:FUH196608 FUH196610:FUH262144 FUH262146:FUH327680 FUH327682:FUH393216 FUH393218:FUH458752 FUH458754:FUH524288 FUH524290:FUH589824 FUH589826:FUH655360 FUH655362:FUH720896 FUH720898:FUH786432 FUH786434:FUH851968 FUH851970:FUH917504 FUH917506:FUH983040 FUH983042:FUH1048576 GED2:GED65536 GED65538:GED131072 GED131074:GED196608 GED196610:GED262144 GED262146:GED327680 GED327682:GED393216 GED393218:GED458752 GED458754:GED524288 GED524290:GED589824 GED589826:GED655360 GED655362:GED720896 GED720898:GED786432 GED786434:GED851968 GED851970:GED917504 GED917506:GED983040 GED983042:GED1048576 GNZ2:GNZ65536 GNZ65538:GNZ131072 GNZ131074:GNZ196608 GNZ196610:GNZ262144 GNZ262146:GNZ327680 GNZ327682:GNZ393216 GNZ393218:GNZ458752 GNZ458754:GNZ524288 GNZ524290:GNZ589824 GNZ589826:GNZ655360 GNZ655362:GNZ720896 GNZ720898:GNZ786432 GNZ786434:GNZ851968 GNZ851970:GNZ917504 GNZ917506:GNZ983040 GNZ983042:GNZ1048576 GXV2:GXV65536 GXV65538:GXV131072 GXV131074:GXV196608 GXV196610:GXV262144 GXV262146:GXV327680 GXV327682:GXV393216 GXV393218:GXV458752 GXV458754:GXV524288 GXV524290:GXV589824 GXV589826:GXV655360 GXV655362:GXV720896 GXV720898:GXV786432 GXV786434:GXV851968 GXV851970:GXV917504 GXV917506:GXV983040 GXV983042:GXV1048576 HHR2:HHR65536 HHR65538:HHR131072 HHR131074:HHR196608 HHR196610:HHR262144 HHR262146:HHR327680 HHR327682:HHR393216 HHR393218:HHR458752 HHR458754:HHR524288 HHR524290:HHR589824 HHR589826:HHR655360 HHR655362:HHR720896 HHR720898:HHR786432 HHR786434:HHR851968 HHR851970:HHR917504 HHR917506:HHR983040 HHR983042:HHR1048576 HRN2:HRN65536 HRN65538:HRN131072 HRN131074:HRN196608 HRN196610:HRN262144 HRN262146:HRN327680 HRN327682:HRN393216 HRN393218:HRN458752 HRN458754:HRN524288 HRN524290:HRN589824 HRN589826:HRN655360 HRN655362:HRN720896 HRN720898:HRN786432 HRN786434:HRN851968 HRN851970:HRN917504 HRN917506:HRN983040 HRN983042:HRN1048576 IBJ2:IBJ65536 IBJ65538:IBJ131072 IBJ131074:IBJ196608 IBJ196610:IBJ262144 IBJ262146:IBJ327680 IBJ327682:IBJ393216 IBJ393218:IBJ458752 IBJ458754:IBJ524288 IBJ524290:IBJ589824 IBJ589826:IBJ655360 IBJ655362:IBJ720896 IBJ720898:IBJ786432 IBJ786434:IBJ851968 IBJ851970:IBJ917504 IBJ917506:IBJ983040 IBJ983042:IBJ1048576 ILF2:ILF65536 ILF65538:ILF131072 ILF131074:ILF196608 ILF196610:ILF262144 ILF262146:ILF327680 ILF327682:ILF393216 ILF393218:ILF458752 ILF458754:ILF524288 ILF524290:ILF589824 ILF589826:ILF655360 ILF655362:ILF720896 ILF720898:ILF786432 ILF786434:ILF851968 ILF851970:ILF917504 ILF917506:ILF983040 ILF983042:ILF1048576 IVB2:IVB65536 IVB65538:IVB131072 IVB131074:IVB196608 IVB196610:IVB262144 IVB262146:IVB327680 IVB327682:IVB393216 IVB393218:IVB458752 IVB458754:IVB524288 IVB524290:IVB589824 IVB589826:IVB655360 IVB655362:IVB720896 IVB720898:IVB786432 IVB786434:IVB851968 IVB851970:IVB917504 IVB917506:IVB983040 IVB983042:IVB1048576 JEX2:JEX65536 JEX65538:JEX131072 JEX131074:JEX196608 JEX196610:JEX262144 JEX262146:JEX327680 JEX327682:JEX393216 JEX393218:JEX458752 JEX458754:JEX524288 JEX524290:JEX589824 JEX589826:JEX655360 JEX655362:JEX720896 JEX720898:JEX786432 JEX786434:JEX851968 JEX851970:JEX917504 JEX917506:JEX983040 JEX983042:JEX1048576 JOT2:JOT65536 JOT65538:JOT131072 JOT131074:JOT196608 JOT196610:JOT262144 JOT262146:JOT327680 JOT327682:JOT393216 JOT393218:JOT458752 JOT458754:JOT524288 JOT524290:JOT589824 JOT589826:JOT655360 JOT655362:JOT720896 JOT720898:JOT786432 JOT786434:JOT851968 JOT851970:JOT917504 JOT917506:JOT983040 JOT983042:JOT1048576 JYP2:JYP65536 JYP65538:JYP131072 JYP131074:JYP196608 JYP196610:JYP262144 JYP262146:JYP327680 JYP327682:JYP393216 JYP393218:JYP458752 JYP458754:JYP524288 JYP524290:JYP589824 JYP589826:JYP655360 JYP655362:JYP720896 JYP720898:JYP786432 JYP786434:JYP851968 JYP851970:JYP917504 JYP917506:JYP983040 JYP983042:JYP1048576 KIL2:KIL65536 KIL65538:KIL131072 KIL131074:KIL196608 KIL196610:KIL262144 KIL262146:KIL327680 KIL327682:KIL393216 KIL393218:KIL458752 KIL458754:KIL524288 KIL524290:KIL589824 KIL589826:KIL655360 KIL655362:KIL720896 KIL720898:KIL786432 KIL786434:KIL851968 KIL851970:KIL917504 KIL917506:KIL983040 KIL983042:KIL1048576 KSH2:KSH65536 KSH65538:KSH131072 KSH131074:KSH196608 KSH196610:KSH262144 KSH262146:KSH327680 KSH327682:KSH393216 KSH393218:KSH458752 KSH458754:KSH524288 KSH524290:KSH589824 KSH589826:KSH655360 KSH655362:KSH720896 KSH720898:KSH786432 KSH786434:KSH851968 KSH851970:KSH917504 KSH917506:KSH983040 KSH983042:KSH1048576 LCD2:LCD65536 LCD65538:LCD131072 LCD131074:LCD196608 LCD196610:LCD262144 LCD262146:LCD327680 LCD327682:LCD393216 LCD393218:LCD458752 LCD458754:LCD524288 LCD524290:LCD589824 LCD589826:LCD655360 LCD655362:LCD720896 LCD720898:LCD786432 LCD786434:LCD851968 LCD851970:LCD917504 LCD917506:LCD983040 LCD983042:LCD1048576 LLZ2:LLZ65536 LLZ65538:LLZ131072 LLZ131074:LLZ196608 LLZ196610:LLZ262144 LLZ262146:LLZ327680 LLZ327682:LLZ393216 LLZ393218:LLZ458752 LLZ458754:LLZ524288 LLZ524290:LLZ589824 LLZ589826:LLZ655360 LLZ655362:LLZ720896 LLZ720898:LLZ786432 LLZ786434:LLZ851968 LLZ851970:LLZ917504 LLZ917506:LLZ983040 LLZ983042:LLZ1048576 LVV2:LVV65536 LVV65538:LVV131072 LVV131074:LVV196608 LVV196610:LVV262144 LVV262146:LVV327680 LVV327682:LVV393216 LVV393218:LVV458752 LVV458754:LVV524288 LVV524290:LVV589824 LVV589826:LVV655360 LVV655362:LVV720896 LVV720898:LVV786432 LVV786434:LVV851968 LVV851970:LVV917504 LVV917506:LVV983040 LVV983042:LVV1048576 MFR2:MFR65536 MFR65538:MFR131072 MFR131074:MFR196608 MFR196610:MFR262144 MFR262146:MFR327680 MFR327682:MFR393216 MFR393218:MFR458752 MFR458754:MFR524288 MFR524290:MFR589824 MFR589826:MFR655360 MFR655362:MFR720896 MFR720898:MFR786432 MFR786434:MFR851968 MFR851970:MFR917504 MFR917506:MFR983040 MFR983042:MFR1048576 MPN2:MPN65536 MPN65538:MPN131072 MPN131074:MPN196608 MPN196610:MPN262144 MPN262146:MPN327680 MPN327682:MPN393216 MPN393218:MPN458752 MPN458754:MPN524288 MPN524290:MPN589824 MPN589826:MPN655360 MPN655362:MPN720896 MPN720898:MPN786432 MPN786434:MPN851968 MPN851970:MPN917504 MPN917506:MPN983040 MPN983042:MPN1048576 MZJ2:MZJ65536 MZJ65538:MZJ131072 MZJ131074:MZJ196608 MZJ196610:MZJ262144 MZJ262146:MZJ327680 MZJ327682:MZJ393216 MZJ393218:MZJ458752 MZJ458754:MZJ524288 MZJ524290:MZJ589824 MZJ589826:MZJ655360 MZJ655362:MZJ720896 MZJ720898:MZJ786432 MZJ786434:MZJ851968 MZJ851970:MZJ917504 MZJ917506:MZJ983040 MZJ983042:MZJ1048576 NJF2:NJF65536 NJF65538:NJF131072 NJF131074:NJF196608 NJF196610:NJF262144 NJF262146:NJF327680 NJF327682:NJF393216 NJF393218:NJF458752 NJF458754:NJF524288 NJF524290:NJF589824 NJF589826:NJF655360 NJF655362:NJF720896 NJF720898:NJF786432 NJF786434:NJF851968 NJF851970:NJF917504 NJF917506:NJF983040 NJF983042:NJF1048576 NTB2:NTB65536 NTB65538:NTB131072 NTB131074:NTB196608 NTB196610:NTB262144 NTB262146:NTB327680 NTB327682:NTB393216 NTB393218:NTB458752 NTB458754:NTB524288 NTB524290:NTB589824 NTB589826:NTB655360 NTB655362:NTB720896 NTB720898:NTB786432 NTB786434:NTB851968 NTB851970:NTB917504 NTB917506:NTB983040 NTB983042:NTB1048576 OCX2:OCX65536 OCX65538:OCX131072 OCX131074:OCX196608 OCX196610:OCX262144 OCX262146:OCX327680 OCX327682:OCX393216 OCX393218:OCX458752 OCX458754:OCX524288 OCX524290:OCX589824 OCX589826:OCX655360 OCX655362:OCX720896 OCX720898:OCX786432 OCX786434:OCX851968 OCX851970:OCX917504 OCX917506:OCX983040 OCX983042:OCX1048576 OMT2:OMT65536 OMT65538:OMT131072 OMT131074:OMT196608 OMT196610:OMT262144 OMT262146:OMT327680 OMT327682:OMT393216 OMT393218:OMT458752 OMT458754:OMT524288 OMT524290:OMT589824 OMT589826:OMT655360 OMT655362:OMT720896 OMT720898:OMT786432 OMT786434:OMT851968 OMT851970:OMT917504 OMT917506:OMT983040 OMT983042:OMT1048576 OWP2:OWP65536 OWP65538:OWP131072 OWP131074:OWP196608 OWP196610:OWP262144 OWP262146:OWP327680 OWP327682:OWP393216 OWP393218:OWP458752 OWP458754:OWP524288 OWP524290:OWP589824 OWP589826:OWP655360 OWP655362:OWP720896 OWP720898:OWP786432 OWP786434:OWP851968 OWP851970:OWP917504 OWP917506:OWP983040 OWP983042:OWP1048576 PGL2:PGL65536 PGL65538:PGL131072 PGL131074:PGL196608 PGL196610:PGL262144 PGL262146:PGL327680 PGL327682:PGL393216 PGL393218:PGL458752 PGL458754:PGL524288 PGL524290:PGL589824 PGL589826:PGL655360 PGL655362:PGL720896 PGL720898:PGL786432 PGL786434:PGL851968 PGL851970:PGL917504 PGL917506:PGL983040 PGL983042:PGL1048576 PQH2:PQH65536 PQH65538:PQH131072 PQH131074:PQH196608 PQH196610:PQH262144 PQH262146:PQH327680 PQH327682:PQH393216 PQH393218:PQH458752 PQH458754:PQH524288 PQH524290:PQH589824 PQH589826:PQH655360 PQH655362:PQH720896 PQH720898:PQH786432 PQH786434:PQH851968 PQH851970:PQH917504 PQH917506:PQH983040 PQH983042:PQH1048576 QAD2:QAD65536 QAD65538:QAD131072 QAD131074:QAD196608 QAD196610:QAD262144 QAD262146:QAD327680 QAD327682:QAD393216 QAD393218:QAD458752 QAD458754:QAD524288 QAD524290:QAD589824 QAD589826:QAD655360 QAD655362:QAD720896 QAD720898:QAD786432 QAD786434:QAD851968 QAD851970:QAD917504 QAD917506:QAD983040 QAD983042:QAD1048576 QJZ2:QJZ65536 QJZ65538:QJZ131072 QJZ131074:QJZ196608 QJZ196610:QJZ262144 QJZ262146:QJZ327680 QJZ327682:QJZ393216 QJZ393218:QJZ458752 QJZ458754:QJZ524288 QJZ524290:QJZ589824 QJZ589826:QJZ655360 QJZ655362:QJZ720896 QJZ720898:QJZ786432 QJZ786434:QJZ851968 QJZ851970:QJZ917504 QJZ917506:QJZ983040 QJZ983042:QJZ1048576 QTV2:QTV65536 QTV65538:QTV131072 QTV131074:QTV196608 QTV196610:QTV262144 QTV262146:QTV327680 QTV327682:QTV393216 QTV393218:QTV458752 QTV458754:QTV524288 QTV524290:QTV589824 QTV589826:QTV655360 QTV655362:QTV720896 QTV720898:QTV786432 QTV786434:QTV851968 QTV851970:QTV917504 QTV917506:QTV983040 QTV983042:QTV1048576 RDR2:RDR65536 RDR65538:RDR131072 RDR131074:RDR196608 RDR196610:RDR262144 RDR262146:RDR327680 RDR327682:RDR393216 RDR393218:RDR458752 RDR458754:RDR524288 RDR524290:RDR589824 RDR589826:RDR655360 RDR655362:RDR720896 RDR720898:RDR786432 RDR786434:RDR851968 RDR851970:RDR917504 RDR917506:RDR983040 RDR983042:RDR1048576 RNN2:RNN65536 RNN65538:RNN131072 RNN131074:RNN196608 RNN196610:RNN262144 RNN262146:RNN327680 RNN327682:RNN393216 RNN393218:RNN458752 RNN458754:RNN524288 RNN524290:RNN589824 RNN589826:RNN655360 RNN655362:RNN720896 RNN720898:RNN786432 RNN786434:RNN851968 RNN851970:RNN917504 RNN917506:RNN983040 RNN983042:RNN1048576 RXJ2:RXJ65536 RXJ65538:RXJ131072 RXJ131074:RXJ196608 RXJ196610:RXJ262144 RXJ262146:RXJ327680 RXJ327682:RXJ393216 RXJ393218:RXJ458752 RXJ458754:RXJ524288 RXJ524290:RXJ589824 RXJ589826:RXJ655360 RXJ655362:RXJ720896 RXJ720898:RXJ786432 RXJ786434:RXJ851968 RXJ851970:RXJ917504 RXJ917506:RXJ983040 RXJ983042:RXJ1048576 SHF2:SHF65536 SHF65538:SHF131072 SHF131074:SHF196608 SHF196610:SHF262144 SHF262146:SHF327680 SHF327682:SHF393216 SHF393218:SHF458752 SHF458754:SHF524288 SHF524290:SHF589824 SHF589826:SHF655360 SHF655362:SHF720896 SHF720898:SHF786432 SHF786434:SHF851968 SHF851970:SHF917504 SHF917506:SHF983040 SHF983042:SHF1048576 SRB2:SRB65536 SRB65538:SRB131072 SRB131074:SRB196608 SRB196610:SRB262144 SRB262146:SRB327680 SRB327682:SRB393216 SRB393218:SRB458752 SRB458754:SRB524288 SRB524290:SRB589824 SRB589826:SRB655360 SRB655362:SRB720896 SRB720898:SRB786432 SRB786434:SRB851968 SRB851970:SRB917504 SRB917506:SRB983040 SRB983042:SRB1048576 TAX2:TAX65536 TAX65538:TAX131072 TAX131074:TAX196608 TAX196610:TAX262144 TAX262146:TAX327680 TAX327682:TAX393216 TAX393218:TAX458752 TAX458754:TAX524288 TAX524290:TAX589824 TAX589826:TAX655360 TAX655362:TAX720896 TAX720898:TAX786432 TAX786434:TAX851968 TAX851970:TAX917504 TAX917506:TAX983040 TAX983042:TAX1048576 TKT2:TKT65536 TKT65538:TKT131072 TKT131074:TKT196608 TKT196610:TKT262144 TKT262146:TKT327680 TKT327682:TKT393216 TKT393218:TKT458752 TKT458754:TKT524288 TKT524290:TKT589824 TKT589826:TKT655360 TKT655362:TKT720896 TKT720898:TKT786432 TKT786434:TKT851968 TKT851970:TKT917504 TKT917506:TKT983040 TKT983042:TKT1048576 TUP2:TUP65536 TUP65538:TUP131072 TUP131074:TUP196608 TUP196610:TUP262144 TUP262146:TUP327680 TUP327682:TUP393216 TUP393218:TUP458752 TUP458754:TUP524288 TUP524290:TUP589824 TUP589826:TUP655360 TUP655362:TUP720896 TUP720898:TUP786432 TUP786434:TUP851968 TUP851970:TUP917504 TUP917506:TUP983040 TUP983042:TUP1048576 UEL2:UEL65536 UEL65538:UEL131072 UEL131074:UEL196608 UEL196610:UEL262144 UEL262146:UEL327680 UEL327682:UEL393216 UEL393218:UEL458752 UEL458754:UEL524288 UEL524290:UEL589824 UEL589826:UEL655360 UEL655362:UEL720896 UEL720898:UEL786432 UEL786434:UEL851968 UEL851970:UEL917504 UEL917506:UEL983040 UEL983042:UEL1048576 UOH2:UOH65536 UOH65538:UOH131072 UOH131074:UOH196608 UOH196610:UOH262144 UOH262146:UOH327680 UOH327682:UOH393216 UOH393218:UOH458752 UOH458754:UOH524288 UOH524290:UOH589824 UOH589826:UOH655360 UOH655362:UOH720896 UOH720898:UOH786432 UOH786434:UOH851968 UOH851970:UOH917504 UOH917506:UOH983040 UOH983042:UOH1048576 UYD2:UYD65536 UYD65538:UYD131072 UYD131074:UYD196608 UYD196610:UYD262144 UYD262146:UYD327680 UYD327682:UYD393216 UYD393218:UYD458752 UYD458754:UYD524288 UYD524290:UYD589824 UYD589826:UYD655360 UYD655362:UYD720896 UYD720898:UYD786432 UYD786434:UYD851968 UYD851970:UYD917504 UYD917506:UYD983040 UYD983042:UYD1048576 VHZ2:VHZ65536 VHZ65538:VHZ131072 VHZ131074:VHZ196608 VHZ196610:VHZ262144 VHZ262146:VHZ327680 VHZ327682:VHZ393216 VHZ393218:VHZ458752 VHZ458754:VHZ524288 VHZ524290:VHZ589824 VHZ589826:VHZ655360 VHZ655362:VHZ720896 VHZ720898:VHZ786432 VHZ786434:VHZ851968 VHZ851970:VHZ917504 VHZ917506:VHZ983040 VHZ983042:VHZ1048576 VRV2:VRV65536 VRV65538:VRV131072 VRV131074:VRV196608 VRV196610:VRV262144 VRV262146:VRV327680 VRV327682:VRV393216 VRV393218:VRV458752 VRV458754:VRV524288 VRV524290:VRV589824 VRV589826:VRV655360 VRV655362:VRV720896 VRV720898:VRV786432 VRV786434:VRV851968 VRV851970:VRV917504 VRV917506:VRV983040 VRV983042:VRV1048576 WBR2:WBR65536 WBR65538:WBR131072 WBR131074:WBR196608 WBR196610:WBR262144 WBR262146:WBR327680 WBR327682:WBR393216 WBR393218:WBR458752 WBR458754:WBR524288 WBR524290:WBR589824 WBR589826:WBR655360 WBR655362:WBR720896 WBR720898:WBR786432 WBR786434:WBR851968 WBR851970:WBR917504 WBR917506:WBR983040 WBR983042:WBR1048576 WLN2:WLN65536 WLN65538:WLN131072 WLN131074:WLN196608 WLN196610:WLN262144 WLN262146:WLN327680 WLN327682:WLN393216 WLN393218:WLN458752 WLN458754:WLN524288 WLN524290:WLN589824 WLN589826:WLN655360 WLN655362:WLN720896 WLN720898:WLN786432 WLN786434:WLN851968 WLN851970:WLN917504 WLN917506:WLN983040 WLN983042:WLN1048576 WVJ2:WVJ65536 WVJ65538:WVJ131072 WVJ131074:WVJ196608 WVJ196610:WVJ262144 WVJ262146:WVJ327680 WVJ327682:WVJ393216 WVJ393218:WVJ458752 WVJ458754:WVJ524288 WVJ524290:WVJ589824 WVJ589826:WVJ655360 WVJ655362:WVJ720896 WVJ720898:WVJ786432 WVJ786434:WVJ851968 WVJ851970:WVJ917504 WVJ917506:WVJ983040 WVJ983042:WVJ1048576">
      <formula1>证件类别</formula1>
    </dataValidation>
    <dataValidation type="list" allowBlank="1" showInputMessage="1" showErrorMessage="1" sqref="C2:C65536 C65538:C131072 C131074:C196608 C196610:C262144 C262146:C327680 C327682:C393216 C393218:C458752 C458754:C524288 C524290:C589824 C589826:C655360 C655362:C720896 C720898:C786432 C786434:C851968 C851970:C917504 C917506:C983040 C983042:C1048576 IY2:IY65536 IY65538:IY131072 IY131074:IY196608 IY196610:IY262144 IY262146:IY327680 IY327682:IY393216 IY393218:IY458752 IY458754:IY524288 IY524290:IY589824 IY589826:IY655360 IY655362:IY720896 IY720898:IY786432 IY786434:IY851968 IY851970:IY917504 IY917506:IY983040 IY983042:IY1048576 SU2:SU65536 SU65538:SU131072 SU131074:SU196608 SU196610:SU262144 SU262146:SU327680 SU327682:SU393216 SU393218:SU458752 SU458754:SU524288 SU524290:SU589824 SU589826:SU655360 SU655362:SU720896 SU720898:SU786432 SU786434:SU851968 SU851970:SU917504 SU917506:SU983040 SU983042:SU1048576 ACQ2:ACQ65536 ACQ65538:ACQ131072 ACQ131074:ACQ196608 ACQ196610:ACQ262144 ACQ262146:ACQ327680 ACQ327682:ACQ393216 ACQ393218:ACQ458752 ACQ458754:ACQ524288 ACQ524290:ACQ589824 ACQ589826:ACQ655360 ACQ655362:ACQ720896 ACQ720898:ACQ786432 ACQ786434:ACQ851968 ACQ851970:ACQ917504 ACQ917506:ACQ983040 ACQ983042:ACQ1048576 AMM2:AMM65536 AMM65538:AMM131072 AMM131074:AMM196608 AMM196610:AMM262144 AMM262146:AMM327680 AMM327682:AMM393216 AMM393218:AMM458752 AMM458754:AMM524288 AMM524290:AMM589824 AMM589826:AMM655360 AMM655362:AMM720896 AMM720898:AMM786432 AMM786434:AMM851968 AMM851970:AMM917504 AMM917506:AMM983040 AMM983042:AMM1048576 AWI2:AWI65536 AWI65538:AWI131072 AWI131074:AWI196608 AWI196610:AWI262144 AWI262146:AWI327680 AWI327682:AWI393216 AWI393218:AWI458752 AWI458754:AWI524288 AWI524290:AWI589824 AWI589826:AWI655360 AWI655362:AWI720896 AWI720898:AWI786432 AWI786434:AWI851968 AWI851970:AWI917504 AWI917506:AWI983040 AWI983042:AWI1048576 BGE2:BGE65536 BGE65538:BGE131072 BGE131074:BGE196608 BGE196610:BGE262144 BGE262146:BGE327680 BGE327682:BGE393216 BGE393218:BGE458752 BGE458754:BGE524288 BGE524290:BGE589824 BGE589826:BGE655360 BGE655362:BGE720896 BGE720898:BGE786432 BGE786434:BGE851968 BGE851970:BGE917504 BGE917506:BGE983040 BGE983042:BGE1048576 BQA2:BQA65536 BQA65538:BQA131072 BQA131074:BQA196608 BQA196610:BQA262144 BQA262146:BQA327680 BQA327682:BQA393216 BQA393218:BQA458752 BQA458754:BQA524288 BQA524290:BQA589824 BQA589826:BQA655360 BQA655362:BQA720896 BQA720898:BQA786432 BQA786434:BQA851968 BQA851970:BQA917504 BQA917506:BQA983040 BQA983042:BQA1048576 BZW2:BZW65536 BZW65538:BZW131072 BZW131074:BZW196608 BZW196610:BZW262144 BZW262146:BZW327680 BZW327682:BZW393216 BZW393218:BZW458752 BZW458754:BZW524288 BZW524290:BZW589824 BZW589826:BZW655360 BZW655362:BZW720896 BZW720898:BZW786432 BZW786434:BZW851968 BZW851970:BZW917504 BZW917506:BZW983040 BZW983042:BZW1048576 CJS2:CJS65536 CJS65538:CJS131072 CJS131074:CJS196608 CJS196610:CJS262144 CJS262146:CJS327680 CJS327682:CJS393216 CJS393218:CJS458752 CJS458754:CJS524288 CJS524290:CJS589824 CJS589826:CJS655360 CJS655362:CJS720896 CJS720898:CJS786432 CJS786434:CJS851968 CJS851970:CJS917504 CJS917506:CJS983040 CJS983042:CJS1048576 CTO2:CTO65536 CTO65538:CTO131072 CTO131074:CTO196608 CTO196610:CTO262144 CTO262146:CTO327680 CTO327682:CTO393216 CTO393218:CTO458752 CTO458754:CTO524288 CTO524290:CTO589824 CTO589826:CTO655360 CTO655362:CTO720896 CTO720898:CTO786432 CTO786434:CTO851968 CTO851970:CTO917504 CTO917506:CTO983040 CTO983042:CTO1048576 DDK2:DDK65536 DDK65538:DDK131072 DDK131074:DDK196608 DDK196610:DDK262144 DDK262146:DDK327680 DDK327682:DDK393216 DDK393218:DDK458752 DDK458754:DDK524288 DDK524290:DDK589824 DDK589826:DDK655360 DDK655362:DDK720896 DDK720898:DDK786432 DDK786434:DDK851968 DDK851970:DDK917504 DDK917506:DDK983040 DDK983042:DDK1048576 DNG2:DNG65536 DNG65538:DNG131072 DNG131074:DNG196608 DNG196610:DNG262144 DNG262146:DNG327680 DNG327682:DNG393216 DNG393218:DNG458752 DNG458754:DNG524288 DNG524290:DNG589824 DNG589826:DNG655360 DNG655362:DNG720896 DNG720898:DNG786432 DNG786434:DNG851968 DNG851970:DNG917504 DNG917506:DNG983040 DNG983042:DNG1048576 DXC2:DXC65536 DXC65538:DXC131072 DXC131074:DXC196608 DXC196610:DXC262144 DXC262146:DXC327680 DXC327682:DXC393216 DXC393218:DXC458752 DXC458754:DXC524288 DXC524290:DXC589824 DXC589826:DXC655360 DXC655362:DXC720896 DXC720898:DXC786432 DXC786434:DXC851968 DXC851970:DXC917504 DXC917506:DXC983040 DXC983042:DXC1048576 EGY2:EGY65536 EGY65538:EGY131072 EGY131074:EGY196608 EGY196610:EGY262144 EGY262146:EGY327680 EGY327682:EGY393216 EGY393218:EGY458752 EGY458754:EGY524288 EGY524290:EGY589824 EGY589826:EGY655360 EGY655362:EGY720896 EGY720898:EGY786432 EGY786434:EGY851968 EGY851970:EGY917504 EGY917506:EGY983040 EGY983042:EGY1048576 EQU2:EQU65536 EQU65538:EQU131072 EQU131074:EQU196608 EQU196610:EQU262144 EQU262146:EQU327680 EQU327682:EQU393216 EQU393218:EQU458752 EQU458754:EQU524288 EQU524290:EQU589824 EQU589826:EQU655360 EQU655362:EQU720896 EQU720898:EQU786432 EQU786434:EQU851968 EQU851970:EQU917504 EQU917506:EQU983040 EQU983042:EQU1048576 FAQ2:FAQ65536 FAQ65538:FAQ131072 FAQ131074:FAQ196608 FAQ196610:FAQ262144 FAQ262146:FAQ327680 FAQ327682:FAQ393216 FAQ393218:FAQ458752 FAQ458754:FAQ524288 FAQ524290:FAQ589824 FAQ589826:FAQ655360 FAQ655362:FAQ720896 FAQ720898:FAQ786432 FAQ786434:FAQ851968 FAQ851970:FAQ917504 FAQ917506:FAQ983040 FAQ983042:FAQ1048576 FKM2:FKM65536 FKM65538:FKM131072 FKM131074:FKM196608 FKM196610:FKM262144 FKM262146:FKM327680 FKM327682:FKM393216 FKM393218:FKM458752 FKM458754:FKM524288 FKM524290:FKM589824 FKM589826:FKM655360 FKM655362:FKM720896 FKM720898:FKM786432 FKM786434:FKM851968 FKM851970:FKM917504 FKM917506:FKM983040 FKM983042:FKM1048576 FUI2:FUI65536 FUI65538:FUI131072 FUI131074:FUI196608 FUI196610:FUI262144 FUI262146:FUI327680 FUI327682:FUI393216 FUI393218:FUI458752 FUI458754:FUI524288 FUI524290:FUI589824 FUI589826:FUI655360 FUI655362:FUI720896 FUI720898:FUI786432 FUI786434:FUI851968 FUI851970:FUI917504 FUI917506:FUI983040 FUI983042:FUI1048576 GEE2:GEE65536 GEE65538:GEE131072 GEE131074:GEE196608 GEE196610:GEE262144 GEE262146:GEE327680 GEE327682:GEE393216 GEE393218:GEE458752 GEE458754:GEE524288 GEE524290:GEE589824 GEE589826:GEE655360 GEE655362:GEE720896 GEE720898:GEE786432 GEE786434:GEE851968 GEE851970:GEE917504 GEE917506:GEE983040 GEE983042:GEE1048576 GOA2:GOA65536 GOA65538:GOA131072 GOA131074:GOA196608 GOA196610:GOA262144 GOA262146:GOA327680 GOA327682:GOA393216 GOA393218:GOA458752 GOA458754:GOA524288 GOA524290:GOA589824 GOA589826:GOA655360 GOA655362:GOA720896 GOA720898:GOA786432 GOA786434:GOA851968 GOA851970:GOA917504 GOA917506:GOA983040 GOA983042:GOA1048576 GXW2:GXW65536 GXW65538:GXW131072 GXW131074:GXW196608 GXW196610:GXW262144 GXW262146:GXW327680 GXW327682:GXW393216 GXW393218:GXW458752 GXW458754:GXW524288 GXW524290:GXW589824 GXW589826:GXW655360 GXW655362:GXW720896 GXW720898:GXW786432 GXW786434:GXW851968 GXW851970:GXW917504 GXW917506:GXW983040 GXW983042:GXW1048576 HHS2:HHS65536 HHS65538:HHS131072 HHS131074:HHS196608 HHS196610:HHS262144 HHS262146:HHS327680 HHS327682:HHS393216 HHS393218:HHS458752 HHS458754:HHS524288 HHS524290:HHS589824 HHS589826:HHS655360 HHS655362:HHS720896 HHS720898:HHS786432 HHS786434:HHS851968 HHS851970:HHS917504 HHS917506:HHS983040 HHS983042:HHS1048576 HRO2:HRO65536 HRO65538:HRO131072 HRO131074:HRO196608 HRO196610:HRO262144 HRO262146:HRO327680 HRO327682:HRO393216 HRO393218:HRO458752 HRO458754:HRO524288 HRO524290:HRO589824 HRO589826:HRO655360 HRO655362:HRO720896 HRO720898:HRO786432 HRO786434:HRO851968 HRO851970:HRO917504 HRO917506:HRO983040 HRO983042:HRO1048576 IBK2:IBK65536 IBK65538:IBK131072 IBK131074:IBK196608 IBK196610:IBK262144 IBK262146:IBK327680 IBK327682:IBK393216 IBK393218:IBK458752 IBK458754:IBK524288 IBK524290:IBK589824 IBK589826:IBK655360 IBK655362:IBK720896 IBK720898:IBK786432 IBK786434:IBK851968 IBK851970:IBK917504 IBK917506:IBK983040 IBK983042:IBK1048576 ILG2:ILG65536 ILG65538:ILG131072 ILG131074:ILG196608 ILG196610:ILG262144 ILG262146:ILG327680 ILG327682:ILG393216 ILG393218:ILG458752 ILG458754:ILG524288 ILG524290:ILG589824 ILG589826:ILG655360 ILG655362:ILG720896 ILG720898:ILG786432 ILG786434:ILG851968 ILG851970:ILG917504 ILG917506:ILG983040 ILG983042:ILG1048576 IVC2:IVC65536 IVC65538:IVC131072 IVC131074:IVC196608 IVC196610:IVC262144 IVC262146:IVC327680 IVC327682:IVC393216 IVC393218:IVC458752 IVC458754:IVC524288 IVC524290:IVC589824 IVC589826:IVC655360 IVC655362:IVC720896 IVC720898:IVC786432 IVC786434:IVC851968 IVC851970:IVC917504 IVC917506:IVC983040 IVC983042:IVC1048576 JEY2:JEY65536 JEY65538:JEY131072 JEY131074:JEY196608 JEY196610:JEY262144 JEY262146:JEY327680 JEY327682:JEY393216 JEY393218:JEY458752 JEY458754:JEY524288 JEY524290:JEY589824 JEY589826:JEY655360 JEY655362:JEY720896 JEY720898:JEY786432 JEY786434:JEY851968 JEY851970:JEY917504 JEY917506:JEY983040 JEY983042:JEY1048576 JOU2:JOU65536 JOU65538:JOU131072 JOU131074:JOU196608 JOU196610:JOU262144 JOU262146:JOU327680 JOU327682:JOU393216 JOU393218:JOU458752 JOU458754:JOU524288 JOU524290:JOU589824 JOU589826:JOU655360 JOU655362:JOU720896 JOU720898:JOU786432 JOU786434:JOU851968 JOU851970:JOU917504 JOU917506:JOU983040 JOU983042:JOU1048576 JYQ2:JYQ65536 JYQ65538:JYQ131072 JYQ131074:JYQ196608 JYQ196610:JYQ262144 JYQ262146:JYQ327680 JYQ327682:JYQ393216 JYQ393218:JYQ458752 JYQ458754:JYQ524288 JYQ524290:JYQ589824 JYQ589826:JYQ655360 JYQ655362:JYQ720896 JYQ720898:JYQ786432 JYQ786434:JYQ851968 JYQ851970:JYQ917504 JYQ917506:JYQ983040 JYQ983042:JYQ1048576 KIM2:KIM65536 KIM65538:KIM131072 KIM131074:KIM196608 KIM196610:KIM262144 KIM262146:KIM327680 KIM327682:KIM393216 KIM393218:KIM458752 KIM458754:KIM524288 KIM524290:KIM589824 KIM589826:KIM655360 KIM655362:KIM720896 KIM720898:KIM786432 KIM786434:KIM851968 KIM851970:KIM917504 KIM917506:KIM983040 KIM983042:KIM1048576 KSI2:KSI65536 KSI65538:KSI131072 KSI131074:KSI196608 KSI196610:KSI262144 KSI262146:KSI327680 KSI327682:KSI393216 KSI393218:KSI458752 KSI458754:KSI524288 KSI524290:KSI589824 KSI589826:KSI655360 KSI655362:KSI720896 KSI720898:KSI786432 KSI786434:KSI851968 KSI851970:KSI917504 KSI917506:KSI983040 KSI983042:KSI1048576 LCE2:LCE65536 LCE65538:LCE131072 LCE131074:LCE196608 LCE196610:LCE262144 LCE262146:LCE327680 LCE327682:LCE393216 LCE393218:LCE458752 LCE458754:LCE524288 LCE524290:LCE589824 LCE589826:LCE655360 LCE655362:LCE720896 LCE720898:LCE786432 LCE786434:LCE851968 LCE851970:LCE917504 LCE917506:LCE983040 LCE983042:LCE1048576 LMA2:LMA65536 LMA65538:LMA131072 LMA131074:LMA196608 LMA196610:LMA262144 LMA262146:LMA327680 LMA327682:LMA393216 LMA393218:LMA458752 LMA458754:LMA524288 LMA524290:LMA589824 LMA589826:LMA655360 LMA655362:LMA720896 LMA720898:LMA786432 LMA786434:LMA851968 LMA851970:LMA917504 LMA917506:LMA983040 LMA983042:LMA1048576 LVW2:LVW65536 LVW65538:LVW131072 LVW131074:LVW196608 LVW196610:LVW262144 LVW262146:LVW327680 LVW327682:LVW393216 LVW393218:LVW458752 LVW458754:LVW524288 LVW524290:LVW589824 LVW589826:LVW655360 LVW655362:LVW720896 LVW720898:LVW786432 LVW786434:LVW851968 LVW851970:LVW917504 LVW917506:LVW983040 LVW983042:LVW1048576 MFS2:MFS65536 MFS65538:MFS131072 MFS131074:MFS196608 MFS196610:MFS262144 MFS262146:MFS327680 MFS327682:MFS393216 MFS393218:MFS458752 MFS458754:MFS524288 MFS524290:MFS589824 MFS589826:MFS655360 MFS655362:MFS720896 MFS720898:MFS786432 MFS786434:MFS851968 MFS851970:MFS917504 MFS917506:MFS983040 MFS983042:MFS1048576 MPO2:MPO65536 MPO65538:MPO131072 MPO131074:MPO196608 MPO196610:MPO262144 MPO262146:MPO327680 MPO327682:MPO393216 MPO393218:MPO458752 MPO458754:MPO524288 MPO524290:MPO589824 MPO589826:MPO655360 MPO655362:MPO720896 MPO720898:MPO786432 MPO786434:MPO851968 MPO851970:MPO917504 MPO917506:MPO983040 MPO983042:MPO1048576 MZK2:MZK65536 MZK65538:MZK131072 MZK131074:MZK196608 MZK196610:MZK262144 MZK262146:MZK327680 MZK327682:MZK393216 MZK393218:MZK458752 MZK458754:MZK524288 MZK524290:MZK589824 MZK589826:MZK655360 MZK655362:MZK720896 MZK720898:MZK786432 MZK786434:MZK851968 MZK851970:MZK917504 MZK917506:MZK983040 MZK983042:MZK1048576 NJG2:NJG65536 NJG65538:NJG131072 NJG131074:NJG196608 NJG196610:NJG262144 NJG262146:NJG327680 NJG327682:NJG393216 NJG393218:NJG458752 NJG458754:NJG524288 NJG524290:NJG589824 NJG589826:NJG655360 NJG655362:NJG720896 NJG720898:NJG786432 NJG786434:NJG851968 NJG851970:NJG917504 NJG917506:NJG983040 NJG983042:NJG1048576 NTC2:NTC65536 NTC65538:NTC131072 NTC131074:NTC196608 NTC196610:NTC262144 NTC262146:NTC327680 NTC327682:NTC393216 NTC393218:NTC458752 NTC458754:NTC524288 NTC524290:NTC589824 NTC589826:NTC655360 NTC655362:NTC720896 NTC720898:NTC786432 NTC786434:NTC851968 NTC851970:NTC917504 NTC917506:NTC983040 NTC983042:NTC1048576 OCY2:OCY65536 OCY65538:OCY131072 OCY131074:OCY196608 OCY196610:OCY262144 OCY262146:OCY327680 OCY327682:OCY393216 OCY393218:OCY458752 OCY458754:OCY524288 OCY524290:OCY589824 OCY589826:OCY655360 OCY655362:OCY720896 OCY720898:OCY786432 OCY786434:OCY851968 OCY851970:OCY917504 OCY917506:OCY983040 OCY983042:OCY1048576 OMU2:OMU65536 OMU65538:OMU131072 OMU131074:OMU196608 OMU196610:OMU262144 OMU262146:OMU327680 OMU327682:OMU393216 OMU393218:OMU458752 OMU458754:OMU524288 OMU524290:OMU589824 OMU589826:OMU655360 OMU655362:OMU720896 OMU720898:OMU786432 OMU786434:OMU851968 OMU851970:OMU917504 OMU917506:OMU983040 OMU983042:OMU1048576 OWQ2:OWQ65536 OWQ65538:OWQ131072 OWQ131074:OWQ196608 OWQ196610:OWQ262144 OWQ262146:OWQ327680 OWQ327682:OWQ393216 OWQ393218:OWQ458752 OWQ458754:OWQ524288 OWQ524290:OWQ589824 OWQ589826:OWQ655360 OWQ655362:OWQ720896 OWQ720898:OWQ786432 OWQ786434:OWQ851968 OWQ851970:OWQ917504 OWQ917506:OWQ983040 OWQ983042:OWQ1048576 PGM2:PGM65536 PGM65538:PGM131072 PGM131074:PGM196608 PGM196610:PGM262144 PGM262146:PGM327680 PGM327682:PGM393216 PGM393218:PGM458752 PGM458754:PGM524288 PGM524290:PGM589824 PGM589826:PGM655360 PGM655362:PGM720896 PGM720898:PGM786432 PGM786434:PGM851968 PGM851970:PGM917504 PGM917506:PGM983040 PGM983042:PGM1048576 PQI2:PQI65536 PQI65538:PQI131072 PQI131074:PQI196608 PQI196610:PQI262144 PQI262146:PQI327680 PQI327682:PQI393216 PQI393218:PQI458752 PQI458754:PQI524288 PQI524290:PQI589824 PQI589826:PQI655360 PQI655362:PQI720896 PQI720898:PQI786432 PQI786434:PQI851968 PQI851970:PQI917504 PQI917506:PQI983040 PQI983042:PQI1048576 QAE2:QAE65536 QAE65538:QAE131072 QAE131074:QAE196608 QAE196610:QAE262144 QAE262146:QAE327680 QAE327682:QAE393216 QAE393218:QAE458752 QAE458754:QAE524288 QAE524290:QAE589824 QAE589826:QAE655360 QAE655362:QAE720896 QAE720898:QAE786432 QAE786434:QAE851968 QAE851970:QAE917504 QAE917506:QAE983040 QAE983042:QAE1048576 QKA2:QKA65536 QKA65538:QKA131072 QKA131074:QKA196608 QKA196610:QKA262144 QKA262146:QKA327680 QKA327682:QKA393216 QKA393218:QKA458752 QKA458754:QKA524288 QKA524290:QKA589824 QKA589826:QKA655360 QKA655362:QKA720896 QKA720898:QKA786432 QKA786434:QKA851968 QKA851970:QKA917504 QKA917506:QKA983040 QKA983042:QKA1048576 QTW2:QTW65536 QTW65538:QTW131072 QTW131074:QTW196608 QTW196610:QTW262144 QTW262146:QTW327680 QTW327682:QTW393216 QTW393218:QTW458752 QTW458754:QTW524288 QTW524290:QTW589824 QTW589826:QTW655360 QTW655362:QTW720896 QTW720898:QTW786432 QTW786434:QTW851968 QTW851970:QTW917504 QTW917506:QTW983040 QTW983042:QTW1048576 RDS2:RDS65536 RDS65538:RDS131072 RDS131074:RDS196608 RDS196610:RDS262144 RDS262146:RDS327680 RDS327682:RDS393216 RDS393218:RDS458752 RDS458754:RDS524288 RDS524290:RDS589824 RDS589826:RDS655360 RDS655362:RDS720896 RDS720898:RDS786432 RDS786434:RDS851968 RDS851970:RDS917504 RDS917506:RDS983040 RDS983042:RDS1048576 RNO2:RNO65536 RNO65538:RNO131072 RNO131074:RNO196608 RNO196610:RNO262144 RNO262146:RNO327680 RNO327682:RNO393216 RNO393218:RNO458752 RNO458754:RNO524288 RNO524290:RNO589824 RNO589826:RNO655360 RNO655362:RNO720896 RNO720898:RNO786432 RNO786434:RNO851968 RNO851970:RNO917504 RNO917506:RNO983040 RNO983042:RNO1048576 RXK2:RXK65536 RXK65538:RXK131072 RXK131074:RXK196608 RXK196610:RXK262144 RXK262146:RXK327680 RXK327682:RXK393216 RXK393218:RXK458752 RXK458754:RXK524288 RXK524290:RXK589824 RXK589826:RXK655360 RXK655362:RXK720896 RXK720898:RXK786432 RXK786434:RXK851968 RXK851970:RXK917504 RXK917506:RXK983040 RXK983042:RXK1048576 SHG2:SHG65536 SHG65538:SHG131072 SHG131074:SHG196608 SHG196610:SHG262144 SHG262146:SHG327680 SHG327682:SHG393216 SHG393218:SHG458752 SHG458754:SHG524288 SHG524290:SHG589824 SHG589826:SHG655360 SHG655362:SHG720896 SHG720898:SHG786432 SHG786434:SHG851968 SHG851970:SHG917504 SHG917506:SHG983040 SHG983042:SHG1048576 SRC2:SRC65536 SRC65538:SRC131072 SRC131074:SRC196608 SRC196610:SRC262144 SRC262146:SRC327680 SRC327682:SRC393216 SRC393218:SRC458752 SRC458754:SRC524288 SRC524290:SRC589824 SRC589826:SRC655360 SRC655362:SRC720896 SRC720898:SRC786432 SRC786434:SRC851968 SRC851970:SRC917504 SRC917506:SRC983040 SRC983042:SRC1048576 TAY2:TAY65536 TAY65538:TAY131072 TAY131074:TAY196608 TAY196610:TAY262144 TAY262146:TAY327680 TAY327682:TAY393216 TAY393218:TAY458752 TAY458754:TAY524288 TAY524290:TAY589824 TAY589826:TAY655360 TAY655362:TAY720896 TAY720898:TAY786432 TAY786434:TAY851968 TAY851970:TAY917504 TAY917506:TAY983040 TAY983042:TAY1048576 TKU2:TKU65536 TKU65538:TKU131072 TKU131074:TKU196608 TKU196610:TKU262144 TKU262146:TKU327680 TKU327682:TKU393216 TKU393218:TKU458752 TKU458754:TKU524288 TKU524290:TKU589824 TKU589826:TKU655360 TKU655362:TKU720896 TKU720898:TKU786432 TKU786434:TKU851968 TKU851970:TKU917504 TKU917506:TKU983040 TKU983042:TKU1048576 TUQ2:TUQ65536 TUQ65538:TUQ131072 TUQ131074:TUQ196608 TUQ196610:TUQ262144 TUQ262146:TUQ327680 TUQ327682:TUQ393216 TUQ393218:TUQ458752 TUQ458754:TUQ524288 TUQ524290:TUQ589824 TUQ589826:TUQ655360 TUQ655362:TUQ720896 TUQ720898:TUQ786432 TUQ786434:TUQ851968 TUQ851970:TUQ917504 TUQ917506:TUQ983040 TUQ983042:TUQ1048576 UEM2:UEM65536 UEM65538:UEM131072 UEM131074:UEM196608 UEM196610:UEM262144 UEM262146:UEM327680 UEM327682:UEM393216 UEM393218:UEM458752 UEM458754:UEM524288 UEM524290:UEM589824 UEM589826:UEM655360 UEM655362:UEM720896 UEM720898:UEM786432 UEM786434:UEM851968 UEM851970:UEM917504 UEM917506:UEM983040 UEM983042:UEM1048576 UOI2:UOI65536 UOI65538:UOI131072 UOI131074:UOI196608 UOI196610:UOI262144 UOI262146:UOI327680 UOI327682:UOI393216 UOI393218:UOI458752 UOI458754:UOI524288 UOI524290:UOI589824 UOI589826:UOI655360 UOI655362:UOI720896 UOI720898:UOI786432 UOI786434:UOI851968 UOI851970:UOI917504 UOI917506:UOI983040 UOI983042:UOI1048576 UYE2:UYE65536 UYE65538:UYE131072 UYE131074:UYE196608 UYE196610:UYE262144 UYE262146:UYE327680 UYE327682:UYE393216 UYE393218:UYE458752 UYE458754:UYE524288 UYE524290:UYE589824 UYE589826:UYE655360 UYE655362:UYE720896 UYE720898:UYE786432 UYE786434:UYE851968 UYE851970:UYE917504 UYE917506:UYE983040 UYE983042:UYE1048576 VIA2:VIA65536 VIA65538:VIA131072 VIA131074:VIA196608 VIA196610:VIA262144 VIA262146:VIA327680 VIA327682:VIA393216 VIA393218:VIA458752 VIA458754:VIA524288 VIA524290:VIA589824 VIA589826:VIA655360 VIA655362:VIA720896 VIA720898:VIA786432 VIA786434:VIA851968 VIA851970:VIA917504 VIA917506:VIA983040 VIA983042:VIA1048576 VRW2:VRW65536 VRW65538:VRW131072 VRW131074:VRW196608 VRW196610:VRW262144 VRW262146:VRW327680 VRW327682:VRW393216 VRW393218:VRW458752 VRW458754:VRW524288 VRW524290:VRW589824 VRW589826:VRW655360 VRW655362:VRW720896 VRW720898:VRW786432 VRW786434:VRW851968 VRW851970:VRW917504 VRW917506:VRW983040 VRW983042:VRW1048576 WBS2:WBS65536 WBS65538:WBS131072 WBS131074:WBS196608 WBS196610:WBS262144 WBS262146:WBS327680 WBS327682:WBS393216 WBS393218:WBS458752 WBS458754:WBS524288 WBS524290:WBS589824 WBS589826:WBS655360 WBS655362:WBS720896 WBS720898:WBS786432 WBS786434:WBS851968 WBS851970:WBS917504 WBS917506:WBS983040 WBS983042:WBS1048576 WLO2:WLO65536 WLO65538:WLO131072 WLO131074:WLO196608 WLO196610:WLO262144 WLO262146:WLO327680 WLO327682:WLO393216 WLO393218:WLO458752 WLO458754:WLO524288 WLO524290:WLO589824 WLO589826:WLO655360 WLO655362:WLO720896 WLO720898:WLO786432 WLO786434:WLO851968 WLO851970:WLO917504 WLO917506:WLO983040 WLO983042:WLO1048576 WVK2:WVK65536 WVK65538:WVK131072 WVK131074:WVK196608 WVK196610:WVK262144 WVK262146:WVK327680 WVK327682:WVK393216 WVK393218:WVK458752 WVK458754:WVK524288 WVK524290:WVK589824 WVK589826:WVK655360 WVK655362:WVK720896 WVK720898:WVK786432 WVK786434:WVK851968 WVK851970:WVK917504 WVK917506:WVK983040 WVK983042:WVK1048576">
      <formula1>国籍</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formula1>性别</formula1>
    </dataValidation>
    <dataValidation type="list" allowBlank="1" showInputMessage="1" showErrorMessage="1" sqref="G2:G5 G7:G8 G10:G21 G30:G65536 G65538:G131072 G131074:G196608 G196610:G262144 G262146:G327680 G327682:G393216 G393218:G458752 G458754:G524288 G524290:G589824 G589826:G655360 G655362:G720896 G720898:G786432 G786434:G851968 G851970:G917504 G917506:G983040 G983042:G1048576 JC2:JC65536 JC65538:JC131072 JC131074:JC196608 JC196610:JC262144 JC262146:JC327680 JC327682:JC393216 JC393218:JC458752 JC458754:JC524288 JC524290:JC589824 JC589826:JC655360 JC655362:JC720896 JC720898:JC786432 JC786434:JC851968 JC851970:JC917504 JC917506:JC983040 JC983042:JC1048576 SY2:SY65536 SY65538:SY131072 SY131074:SY196608 SY196610:SY262144 SY262146:SY327680 SY327682:SY393216 SY393218:SY458752 SY458754:SY524288 SY524290:SY589824 SY589826:SY655360 SY655362:SY720896 SY720898:SY786432 SY786434:SY851968 SY851970:SY917504 SY917506:SY983040 SY983042:SY1048576 ACU2:ACU65536 ACU65538:ACU131072 ACU131074:ACU196608 ACU196610:ACU262144 ACU262146:ACU327680 ACU327682:ACU393216 ACU393218:ACU458752 ACU458754:ACU524288 ACU524290:ACU589824 ACU589826:ACU655360 ACU655362:ACU720896 ACU720898:ACU786432 ACU786434:ACU851968 ACU851970:ACU917504 ACU917506:ACU983040 ACU983042:ACU1048576 AMQ2:AMQ65536 AMQ65538:AMQ131072 AMQ131074:AMQ196608 AMQ196610:AMQ262144 AMQ262146:AMQ327680 AMQ327682:AMQ393216 AMQ393218:AMQ458752 AMQ458754:AMQ524288 AMQ524290:AMQ589824 AMQ589826:AMQ655360 AMQ655362:AMQ720896 AMQ720898:AMQ786432 AMQ786434:AMQ851968 AMQ851970:AMQ917504 AMQ917506:AMQ983040 AMQ983042:AMQ1048576 AWM2:AWM65536 AWM65538:AWM131072 AWM131074:AWM196608 AWM196610:AWM262144 AWM262146:AWM327680 AWM327682:AWM393216 AWM393218:AWM458752 AWM458754:AWM524288 AWM524290:AWM589824 AWM589826:AWM655360 AWM655362:AWM720896 AWM720898:AWM786432 AWM786434:AWM851968 AWM851970:AWM917504 AWM917506:AWM983040 AWM983042:AWM1048576 BGI2:BGI65536 BGI65538:BGI131072 BGI131074:BGI196608 BGI196610:BGI262144 BGI262146:BGI327680 BGI327682:BGI393216 BGI393218:BGI458752 BGI458754:BGI524288 BGI524290:BGI589824 BGI589826:BGI655360 BGI655362:BGI720896 BGI720898:BGI786432 BGI786434:BGI851968 BGI851970:BGI917504 BGI917506:BGI983040 BGI983042:BGI1048576 BQE2:BQE65536 BQE65538:BQE131072 BQE131074:BQE196608 BQE196610:BQE262144 BQE262146:BQE327680 BQE327682:BQE393216 BQE393218:BQE458752 BQE458754:BQE524288 BQE524290:BQE589824 BQE589826:BQE655360 BQE655362:BQE720896 BQE720898:BQE786432 BQE786434:BQE851968 BQE851970:BQE917504 BQE917506:BQE983040 BQE983042:BQE1048576 CAA2:CAA65536 CAA65538:CAA131072 CAA131074:CAA196608 CAA196610:CAA262144 CAA262146:CAA327680 CAA327682:CAA393216 CAA393218:CAA458752 CAA458754:CAA524288 CAA524290:CAA589824 CAA589826:CAA655360 CAA655362:CAA720896 CAA720898:CAA786432 CAA786434:CAA851968 CAA851970:CAA917504 CAA917506:CAA983040 CAA983042:CAA1048576 CJW2:CJW65536 CJW65538:CJW131072 CJW131074:CJW196608 CJW196610:CJW262144 CJW262146:CJW327680 CJW327682:CJW393216 CJW393218:CJW458752 CJW458754:CJW524288 CJW524290:CJW589824 CJW589826:CJW655360 CJW655362:CJW720896 CJW720898:CJW786432 CJW786434:CJW851968 CJW851970:CJW917504 CJW917506:CJW983040 CJW983042:CJW1048576 CTS2:CTS65536 CTS65538:CTS131072 CTS131074:CTS196608 CTS196610:CTS262144 CTS262146:CTS327680 CTS327682:CTS393216 CTS393218:CTS458752 CTS458754:CTS524288 CTS524290:CTS589824 CTS589826:CTS655360 CTS655362:CTS720896 CTS720898:CTS786432 CTS786434:CTS851968 CTS851970:CTS917504 CTS917506:CTS983040 CTS983042:CTS1048576 DDO2:DDO65536 DDO65538:DDO131072 DDO131074:DDO196608 DDO196610:DDO262144 DDO262146:DDO327680 DDO327682:DDO393216 DDO393218:DDO458752 DDO458754:DDO524288 DDO524290:DDO589824 DDO589826:DDO655360 DDO655362:DDO720896 DDO720898:DDO786432 DDO786434:DDO851968 DDO851970:DDO917504 DDO917506:DDO983040 DDO983042:DDO1048576 DNK2:DNK65536 DNK65538:DNK131072 DNK131074:DNK196608 DNK196610:DNK262144 DNK262146:DNK327680 DNK327682:DNK393216 DNK393218:DNK458752 DNK458754:DNK524288 DNK524290:DNK589824 DNK589826:DNK655360 DNK655362:DNK720896 DNK720898:DNK786432 DNK786434:DNK851968 DNK851970:DNK917504 DNK917506:DNK983040 DNK983042:DNK1048576 DXG2:DXG65536 DXG65538:DXG131072 DXG131074:DXG196608 DXG196610:DXG262144 DXG262146:DXG327680 DXG327682:DXG393216 DXG393218:DXG458752 DXG458754:DXG524288 DXG524290:DXG589824 DXG589826:DXG655360 DXG655362:DXG720896 DXG720898:DXG786432 DXG786434:DXG851968 DXG851970:DXG917504 DXG917506:DXG983040 DXG983042:DXG1048576 EHC2:EHC65536 EHC65538:EHC131072 EHC131074:EHC196608 EHC196610:EHC262144 EHC262146:EHC327680 EHC327682:EHC393216 EHC393218:EHC458752 EHC458754:EHC524288 EHC524290:EHC589824 EHC589826:EHC655360 EHC655362:EHC720896 EHC720898:EHC786432 EHC786434:EHC851968 EHC851970:EHC917504 EHC917506:EHC983040 EHC983042:EHC1048576 EQY2:EQY65536 EQY65538:EQY131072 EQY131074:EQY196608 EQY196610:EQY262144 EQY262146:EQY327680 EQY327682:EQY393216 EQY393218:EQY458752 EQY458754:EQY524288 EQY524290:EQY589824 EQY589826:EQY655360 EQY655362:EQY720896 EQY720898:EQY786432 EQY786434:EQY851968 EQY851970:EQY917504 EQY917506:EQY983040 EQY983042:EQY1048576 FAU2:FAU65536 FAU65538:FAU131072 FAU131074:FAU196608 FAU196610:FAU262144 FAU262146:FAU327680 FAU327682:FAU393216 FAU393218:FAU458752 FAU458754:FAU524288 FAU524290:FAU589824 FAU589826:FAU655360 FAU655362:FAU720896 FAU720898:FAU786432 FAU786434:FAU851968 FAU851970:FAU917504 FAU917506:FAU983040 FAU983042:FAU1048576 FKQ2:FKQ65536 FKQ65538:FKQ131072 FKQ131074:FKQ196608 FKQ196610:FKQ262144 FKQ262146:FKQ327680 FKQ327682:FKQ393216 FKQ393218:FKQ458752 FKQ458754:FKQ524288 FKQ524290:FKQ589824 FKQ589826:FKQ655360 FKQ655362:FKQ720896 FKQ720898:FKQ786432 FKQ786434:FKQ851968 FKQ851970:FKQ917504 FKQ917506:FKQ983040 FKQ983042:FKQ1048576 FUM2:FUM65536 FUM65538:FUM131072 FUM131074:FUM196608 FUM196610:FUM262144 FUM262146:FUM327680 FUM327682:FUM393216 FUM393218:FUM458752 FUM458754:FUM524288 FUM524290:FUM589824 FUM589826:FUM655360 FUM655362:FUM720896 FUM720898:FUM786432 FUM786434:FUM851968 FUM851970:FUM917504 FUM917506:FUM983040 FUM983042:FUM1048576 GEI2:GEI65536 GEI65538:GEI131072 GEI131074:GEI196608 GEI196610:GEI262144 GEI262146:GEI327680 GEI327682:GEI393216 GEI393218:GEI458752 GEI458754:GEI524288 GEI524290:GEI589824 GEI589826:GEI655360 GEI655362:GEI720896 GEI720898:GEI786432 GEI786434:GEI851968 GEI851970:GEI917504 GEI917506:GEI983040 GEI983042:GEI1048576 GOE2:GOE65536 GOE65538:GOE131072 GOE131074:GOE196608 GOE196610:GOE262144 GOE262146:GOE327680 GOE327682:GOE393216 GOE393218:GOE458752 GOE458754:GOE524288 GOE524290:GOE589824 GOE589826:GOE655360 GOE655362:GOE720896 GOE720898:GOE786432 GOE786434:GOE851968 GOE851970:GOE917504 GOE917506:GOE983040 GOE983042:GOE1048576 GYA2:GYA65536 GYA65538:GYA131072 GYA131074:GYA196608 GYA196610:GYA262144 GYA262146:GYA327680 GYA327682:GYA393216 GYA393218:GYA458752 GYA458754:GYA524288 GYA524290:GYA589824 GYA589826:GYA655360 GYA655362:GYA720896 GYA720898:GYA786432 GYA786434:GYA851968 GYA851970:GYA917504 GYA917506:GYA983040 GYA983042:GYA1048576 HHW2:HHW65536 HHW65538:HHW131072 HHW131074:HHW196608 HHW196610:HHW262144 HHW262146:HHW327680 HHW327682:HHW393216 HHW393218:HHW458752 HHW458754:HHW524288 HHW524290:HHW589824 HHW589826:HHW655360 HHW655362:HHW720896 HHW720898:HHW786432 HHW786434:HHW851968 HHW851970:HHW917504 HHW917506:HHW983040 HHW983042:HHW1048576 HRS2:HRS65536 HRS65538:HRS131072 HRS131074:HRS196608 HRS196610:HRS262144 HRS262146:HRS327680 HRS327682:HRS393216 HRS393218:HRS458752 HRS458754:HRS524288 HRS524290:HRS589824 HRS589826:HRS655360 HRS655362:HRS720896 HRS720898:HRS786432 HRS786434:HRS851968 HRS851970:HRS917504 HRS917506:HRS983040 HRS983042:HRS1048576 IBO2:IBO65536 IBO65538:IBO131072 IBO131074:IBO196608 IBO196610:IBO262144 IBO262146:IBO327680 IBO327682:IBO393216 IBO393218:IBO458752 IBO458754:IBO524288 IBO524290:IBO589824 IBO589826:IBO655360 IBO655362:IBO720896 IBO720898:IBO786432 IBO786434:IBO851968 IBO851970:IBO917504 IBO917506:IBO983040 IBO983042:IBO1048576 ILK2:ILK65536 ILK65538:ILK131072 ILK131074:ILK196608 ILK196610:ILK262144 ILK262146:ILK327680 ILK327682:ILK393216 ILK393218:ILK458752 ILK458754:ILK524288 ILK524290:ILK589824 ILK589826:ILK655360 ILK655362:ILK720896 ILK720898:ILK786432 ILK786434:ILK851968 ILK851970:ILK917504 ILK917506:ILK983040 ILK983042:ILK1048576 IVG2:IVG65536 IVG65538:IVG131072 IVG131074:IVG196608 IVG196610:IVG262144 IVG262146:IVG327680 IVG327682:IVG393216 IVG393218:IVG458752 IVG458754:IVG524288 IVG524290:IVG589824 IVG589826:IVG655360 IVG655362:IVG720896 IVG720898:IVG786432 IVG786434:IVG851968 IVG851970:IVG917504 IVG917506:IVG983040 IVG983042:IVG1048576 JFC2:JFC65536 JFC65538:JFC131072 JFC131074:JFC196608 JFC196610:JFC262144 JFC262146:JFC327680 JFC327682:JFC393216 JFC393218:JFC458752 JFC458754:JFC524288 JFC524290:JFC589824 JFC589826:JFC655360 JFC655362:JFC720896 JFC720898:JFC786432 JFC786434:JFC851968 JFC851970:JFC917504 JFC917506:JFC983040 JFC983042:JFC1048576 JOY2:JOY65536 JOY65538:JOY131072 JOY131074:JOY196608 JOY196610:JOY262144 JOY262146:JOY327680 JOY327682:JOY393216 JOY393218:JOY458752 JOY458754:JOY524288 JOY524290:JOY589824 JOY589826:JOY655360 JOY655362:JOY720896 JOY720898:JOY786432 JOY786434:JOY851968 JOY851970:JOY917504 JOY917506:JOY983040 JOY983042:JOY1048576 JYU2:JYU65536 JYU65538:JYU131072 JYU131074:JYU196608 JYU196610:JYU262144 JYU262146:JYU327680 JYU327682:JYU393216 JYU393218:JYU458752 JYU458754:JYU524288 JYU524290:JYU589824 JYU589826:JYU655360 JYU655362:JYU720896 JYU720898:JYU786432 JYU786434:JYU851968 JYU851970:JYU917504 JYU917506:JYU983040 JYU983042:JYU1048576 KIQ2:KIQ65536 KIQ65538:KIQ131072 KIQ131074:KIQ196608 KIQ196610:KIQ262144 KIQ262146:KIQ327680 KIQ327682:KIQ393216 KIQ393218:KIQ458752 KIQ458754:KIQ524288 KIQ524290:KIQ589824 KIQ589826:KIQ655360 KIQ655362:KIQ720896 KIQ720898:KIQ786432 KIQ786434:KIQ851968 KIQ851970:KIQ917504 KIQ917506:KIQ983040 KIQ983042:KIQ1048576 KSM2:KSM65536 KSM65538:KSM131072 KSM131074:KSM196608 KSM196610:KSM262144 KSM262146:KSM327680 KSM327682:KSM393216 KSM393218:KSM458752 KSM458754:KSM524288 KSM524290:KSM589824 KSM589826:KSM655360 KSM655362:KSM720896 KSM720898:KSM786432 KSM786434:KSM851968 KSM851970:KSM917504 KSM917506:KSM983040 KSM983042:KSM1048576 LCI2:LCI65536 LCI65538:LCI131072 LCI131074:LCI196608 LCI196610:LCI262144 LCI262146:LCI327680 LCI327682:LCI393216 LCI393218:LCI458752 LCI458754:LCI524288 LCI524290:LCI589824 LCI589826:LCI655360 LCI655362:LCI720896 LCI720898:LCI786432 LCI786434:LCI851968 LCI851970:LCI917504 LCI917506:LCI983040 LCI983042:LCI1048576 LME2:LME65536 LME65538:LME131072 LME131074:LME196608 LME196610:LME262144 LME262146:LME327680 LME327682:LME393216 LME393218:LME458752 LME458754:LME524288 LME524290:LME589824 LME589826:LME655360 LME655362:LME720896 LME720898:LME786432 LME786434:LME851968 LME851970:LME917504 LME917506:LME983040 LME983042:LME1048576 LWA2:LWA65536 LWA65538:LWA131072 LWA131074:LWA196608 LWA196610:LWA262144 LWA262146:LWA327680 LWA327682:LWA393216 LWA393218:LWA458752 LWA458754:LWA524288 LWA524290:LWA589824 LWA589826:LWA655360 LWA655362:LWA720896 LWA720898:LWA786432 LWA786434:LWA851968 LWA851970:LWA917504 LWA917506:LWA983040 LWA983042:LWA1048576 MFW2:MFW65536 MFW65538:MFW131072 MFW131074:MFW196608 MFW196610:MFW262144 MFW262146:MFW327680 MFW327682:MFW393216 MFW393218:MFW458752 MFW458754:MFW524288 MFW524290:MFW589824 MFW589826:MFW655360 MFW655362:MFW720896 MFW720898:MFW786432 MFW786434:MFW851968 MFW851970:MFW917504 MFW917506:MFW983040 MFW983042:MFW1048576 MPS2:MPS65536 MPS65538:MPS131072 MPS131074:MPS196608 MPS196610:MPS262144 MPS262146:MPS327680 MPS327682:MPS393216 MPS393218:MPS458752 MPS458754:MPS524288 MPS524290:MPS589824 MPS589826:MPS655360 MPS655362:MPS720896 MPS720898:MPS786432 MPS786434:MPS851968 MPS851970:MPS917504 MPS917506:MPS983040 MPS983042:MPS1048576 MZO2:MZO65536 MZO65538:MZO131072 MZO131074:MZO196608 MZO196610:MZO262144 MZO262146:MZO327680 MZO327682:MZO393216 MZO393218:MZO458752 MZO458754:MZO524288 MZO524290:MZO589824 MZO589826:MZO655360 MZO655362:MZO720896 MZO720898:MZO786432 MZO786434:MZO851968 MZO851970:MZO917504 MZO917506:MZO983040 MZO983042:MZO1048576 NJK2:NJK65536 NJK65538:NJK131072 NJK131074:NJK196608 NJK196610:NJK262144 NJK262146:NJK327680 NJK327682:NJK393216 NJK393218:NJK458752 NJK458754:NJK524288 NJK524290:NJK589824 NJK589826:NJK655360 NJK655362:NJK720896 NJK720898:NJK786432 NJK786434:NJK851968 NJK851970:NJK917504 NJK917506:NJK983040 NJK983042:NJK1048576 NTG2:NTG65536 NTG65538:NTG131072 NTG131074:NTG196608 NTG196610:NTG262144 NTG262146:NTG327680 NTG327682:NTG393216 NTG393218:NTG458752 NTG458754:NTG524288 NTG524290:NTG589824 NTG589826:NTG655360 NTG655362:NTG720896 NTG720898:NTG786432 NTG786434:NTG851968 NTG851970:NTG917504 NTG917506:NTG983040 NTG983042:NTG1048576 ODC2:ODC65536 ODC65538:ODC131072 ODC131074:ODC196608 ODC196610:ODC262144 ODC262146:ODC327680 ODC327682:ODC393216 ODC393218:ODC458752 ODC458754:ODC524288 ODC524290:ODC589824 ODC589826:ODC655360 ODC655362:ODC720896 ODC720898:ODC786432 ODC786434:ODC851968 ODC851970:ODC917504 ODC917506:ODC983040 ODC983042:ODC1048576 OMY2:OMY65536 OMY65538:OMY131072 OMY131074:OMY196608 OMY196610:OMY262144 OMY262146:OMY327680 OMY327682:OMY393216 OMY393218:OMY458752 OMY458754:OMY524288 OMY524290:OMY589824 OMY589826:OMY655360 OMY655362:OMY720896 OMY720898:OMY786432 OMY786434:OMY851968 OMY851970:OMY917504 OMY917506:OMY983040 OMY983042:OMY1048576 OWU2:OWU65536 OWU65538:OWU131072 OWU131074:OWU196608 OWU196610:OWU262144 OWU262146:OWU327680 OWU327682:OWU393216 OWU393218:OWU458752 OWU458754:OWU524288 OWU524290:OWU589824 OWU589826:OWU655360 OWU655362:OWU720896 OWU720898:OWU786432 OWU786434:OWU851968 OWU851970:OWU917504 OWU917506:OWU983040 OWU983042:OWU1048576 PGQ2:PGQ65536 PGQ65538:PGQ131072 PGQ131074:PGQ196608 PGQ196610:PGQ262144 PGQ262146:PGQ327680 PGQ327682:PGQ393216 PGQ393218:PGQ458752 PGQ458754:PGQ524288 PGQ524290:PGQ589824 PGQ589826:PGQ655360 PGQ655362:PGQ720896 PGQ720898:PGQ786432 PGQ786434:PGQ851968 PGQ851970:PGQ917504 PGQ917506:PGQ983040 PGQ983042:PGQ1048576 PQM2:PQM65536 PQM65538:PQM131072 PQM131074:PQM196608 PQM196610:PQM262144 PQM262146:PQM327680 PQM327682:PQM393216 PQM393218:PQM458752 PQM458754:PQM524288 PQM524290:PQM589824 PQM589826:PQM655360 PQM655362:PQM720896 PQM720898:PQM786432 PQM786434:PQM851968 PQM851970:PQM917504 PQM917506:PQM983040 PQM983042:PQM1048576 QAI2:QAI65536 QAI65538:QAI131072 QAI131074:QAI196608 QAI196610:QAI262144 QAI262146:QAI327680 QAI327682:QAI393216 QAI393218:QAI458752 QAI458754:QAI524288 QAI524290:QAI589824 QAI589826:QAI655360 QAI655362:QAI720896 QAI720898:QAI786432 QAI786434:QAI851968 QAI851970:QAI917504 QAI917506:QAI983040 QAI983042:QAI1048576 QKE2:QKE65536 QKE65538:QKE131072 QKE131074:QKE196608 QKE196610:QKE262144 QKE262146:QKE327680 QKE327682:QKE393216 QKE393218:QKE458752 QKE458754:QKE524288 QKE524290:QKE589824 QKE589826:QKE655360 QKE655362:QKE720896 QKE720898:QKE786432 QKE786434:QKE851968 QKE851970:QKE917504 QKE917506:QKE983040 QKE983042:QKE1048576 QUA2:QUA65536 QUA65538:QUA131072 QUA131074:QUA196608 QUA196610:QUA262144 QUA262146:QUA327680 QUA327682:QUA393216 QUA393218:QUA458752 QUA458754:QUA524288 QUA524290:QUA589824 QUA589826:QUA655360 QUA655362:QUA720896 QUA720898:QUA786432 QUA786434:QUA851968 QUA851970:QUA917504 QUA917506:QUA983040 QUA983042:QUA1048576 RDW2:RDW65536 RDW65538:RDW131072 RDW131074:RDW196608 RDW196610:RDW262144 RDW262146:RDW327680 RDW327682:RDW393216 RDW393218:RDW458752 RDW458754:RDW524288 RDW524290:RDW589824 RDW589826:RDW655360 RDW655362:RDW720896 RDW720898:RDW786432 RDW786434:RDW851968 RDW851970:RDW917504 RDW917506:RDW983040 RDW983042:RDW1048576 RNS2:RNS65536 RNS65538:RNS131072 RNS131074:RNS196608 RNS196610:RNS262144 RNS262146:RNS327680 RNS327682:RNS393216 RNS393218:RNS458752 RNS458754:RNS524288 RNS524290:RNS589824 RNS589826:RNS655360 RNS655362:RNS720896 RNS720898:RNS786432 RNS786434:RNS851968 RNS851970:RNS917504 RNS917506:RNS983040 RNS983042:RNS1048576 RXO2:RXO65536 RXO65538:RXO131072 RXO131074:RXO196608 RXO196610:RXO262144 RXO262146:RXO327680 RXO327682:RXO393216 RXO393218:RXO458752 RXO458754:RXO524288 RXO524290:RXO589824 RXO589826:RXO655360 RXO655362:RXO720896 RXO720898:RXO786432 RXO786434:RXO851968 RXO851970:RXO917504 RXO917506:RXO983040 RXO983042:RXO1048576 SHK2:SHK65536 SHK65538:SHK131072 SHK131074:SHK196608 SHK196610:SHK262144 SHK262146:SHK327680 SHK327682:SHK393216 SHK393218:SHK458752 SHK458754:SHK524288 SHK524290:SHK589824 SHK589826:SHK655360 SHK655362:SHK720896 SHK720898:SHK786432 SHK786434:SHK851968 SHK851970:SHK917504 SHK917506:SHK983040 SHK983042:SHK1048576 SRG2:SRG65536 SRG65538:SRG131072 SRG131074:SRG196608 SRG196610:SRG262144 SRG262146:SRG327680 SRG327682:SRG393216 SRG393218:SRG458752 SRG458754:SRG524288 SRG524290:SRG589824 SRG589826:SRG655360 SRG655362:SRG720896 SRG720898:SRG786432 SRG786434:SRG851968 SRG851970:SRG917504 SRG917506:SRG983040 SRG983042:SRG1048576 TBC2:TBC65536 TBC65538:TBC131072 TBC131074:TBC196608 TBC196610:TBC262144 TBC262146:TBC327680 TBC327682:TBC393216 TBC393218:TBC458752 TBC458754:TBC524288 TBC524290:TBC589824 TBC589826:TBC655360 TBC655362:TBC720896 TBC720898:TBC786432 TBC786434:TBC851968 TBC851970:TBC917504 TBC917506:TBC983040 TBC983042:TBC1048576 TKY2:TKY65536 TKY65538:TKY131072 TKY131074:TKY196608 TKY196610:TKY262144 TKY262146:TKY327680 TKY327682:TKY393216 TKY393218:TKY458752 TKY458754:TKY524288 TKY524290:TKY589824 TKY589826:TKY655360 TKY655362:TKY720896 TKY720898:TKY786432 TKY786434:TKY851968 TKY851970:TKY917504 TKY917506:TKY983040 TKY983042:TKY1048576 TUU2:TUU65536 TUU65538:TUU131072 TUU131074:TUU196608 TUU196610:TUU262144 TUU262146:TUU327680 TUU327682:TUU393216 TUU393218:TUU458752 TUU458754:TUU524288 TUU524290:TUU589824 TUU589826:TUU655360 TUU655362:TUU720896 TUU720898:TUU786432 TUU786434:TUU851968 TUU851970:TUU917504 TUU917506:TUU983040 TUU983042:TUU1048576 UEQ2:UEQ65536 UEQ65538:UEQ131072 UEQ131074:UEQ196608 UEQ196610:UEQ262144 UEQ262146:UEQ327680 UEQ327682:UEQ393216 UEQ393218:UEQ458752 UEQ458754:UEQ524288 UEQ524290:UEQ589824 UEQ589826:UEQ655360 UEQ655362:UEQ720896 UEQ720898:UEQ786432 UEQ786434:UEQ851968 UEQ851970:UEQ917504 UEQ917506:UEQ983040 UEQ983042:UEQ1048576 UOM2:UOM65536 UOM65538:UOM131072 UOM131074:UOM196608 UOM196610:UOM262144 UOM262146:UOM327680 UOM327682:UOM393216 UOM393218:UOM458752 UOM458754:UOM524288 UOM524290:UOM589824 UOM589826:UOM655360 UOM655362:UOM720896 UOM720898:UOM786432 UOM786434:UOM851968 UOM851970:UOM917504 UOM917506:UOM983040 UOM983042:UOM1048576 UYI2:UYI65536 UYI65538:UYI131072 UYI131074:UYI196608 UYI196610:UYI262144 UYI262146:UYI327680 UYI327682:UYI393216 UYI393218:UYI458752 UYI458754:UYI524288 UYI524290:UYI589824 UYI589826:UYI655360 UYI655362:UYI720896 UYI720898:UYI786432 UYI786434:UYI851968 UYI851970:UYI917504 UYI917506:UYI983040 UYI983042:UYI1048576 VIE2:VIE65536 VIE65538:VIE131072 VIE131074:VIE196608 VIE196610:VIE262144 VIE262146:VIE327680 VIE327682:VIE393216 VIE393218:VIE458752 VIE458754:VIE524288 VIE524290:VIE589824 VIE589826:VIE655360 VIE655362:VIE720896 VIE720898:VIE786432 VIE786434:VIE851968 VIE851970:VIE917504 VIE917506:VIE983040 VIE983042:VIE1048576 VSA2:VSA65536 VSA65538:VSA131072 VSA131074:VSA196608 VSA196610:VSA262144 VSA262146:VSA327680 VSA327682:VSA393216 VSA393218:VSA458752 VSA458754:VSA524288 VSA524290:VSA589824 VSA589826:VSA655360 VSA655362:VSA720896 VSA720898:VSA786432 VSA786434:VSA851968 VSA851970:VSA917504 VSA917506:VSA983040 VSA983042:VSA1048576 WBW2:WBW65536 WBW65538:WBW131072 WBW131074:WBW196608 WBW196610:WBW262144 WBW262146:WBW327680 WBW327682:WBW393216 WBW393218:WBW458752 WBW458754:WBW524288 WBW524290:WBW589824 WBW589826:WBW655360 WBW655362:WBW720896 WBW720898:WBW786432 WBW786434:WBW851968 WBW851970:WBW917504 WBW917506:WBW983040 WBW983042:WBW1048576 WLS2:WLS65536 WLS65538:WLS131072 WLS131074:WLS196608 WLS196610:WLS262144 WLS262146:WLS327680 WLS327682:WLS393216 WLS393218:WLS458752 WLS458754:WLS524288 WLS524290:WLS589824 WLS589826:WLS655360 WLS655362:WLS720896 WLS720898:WLS786432 WLS786434:WLS851968 WLS851970:WLS917504 WLS917506:WLS983040 WLS983042:WLS1048576 WVO2:WVO65536 WVO65538:WVO131072 WVO131074:WVO196608 WVO196610:WVO262144 WVO262146:WVO327680 WVO327682:WVO393216 WVO393218:WVO458752 WVO458754:WVO524288 WVO524290:WVO589824 WVO589826:WVO655360 WVO655362:WVO720896 WVO720898:WVO786432 WVO786434:WVO851968 WVO851970:WVO917504 WVO917506:WVO983040 WVO983042:WVO1048576">
      <formula1>职务</formula1>
    </dataValidation>
    <dataValidation type="list" allowBlank="1" showInputMessage="1" showErrorMessage="1" sqref="H2:H65536 H65538:H131072 H131074:H196608 H196610:H262144 H262146:H327680 H327682:H393216 H393218:H458752 H458754:H524288 H524290:H589824 H589826:H655360 H655362:H720896 H720898:H786432 H786434:H851968 H851970:H917504 H917506:H983040 H983042:H1048576 JD2:JD65536 JD65538:JD131072 JD131074:JD196608 JD196610:JD262144 JD262146:JD327680 JD327682:JD393216 JD393218:JD458752 JD458754:JD524288 JD524290:JD589824 JD589826:JD655360 JD655362:JD720896 JD720898:JD786432 JD786434:JD851968 JD851970:JD917504 JD917506:JD983040 JD983042:JD1048576 SZ2:SZ65536 SZ65538:SZ131072 SZ131074:SZ196608 SZ196610:SZ262144 SZ262146:SZ327680 SZ327682:SZ393216 SZ393218:SZ458752 SZ458754:SZ524288 SZ524290:SZ589824 SZ589826:SZ655360 SZ655362:SZ720896 SZ720898:SZ786432 SZ786434:SZ851968 SZ851970:SZ917504 SZ917506:SZ983040 SZ983042:SZ1048576 ACV2:ACV65536 ACV65538:ACV131072 ACV131074:ACV196608 ACV196610:ACV262144 ACV262146:ACV327680 ACV327682:ACV393216 ACV393218:ACV458752 ACV458754:ACV524288 ACV524290:ACV589824 ACV589826:ACV655360 ACV655362:ACV720896 ACV720898:ACV786432 ACV786434:ACV851968 ACV851970:ACV917504 ACV917506:ACV983040 ACV983042:ACV1048576 AMR2:AMR65536 AMR65538:AMR131072 AMR131074:AMR196608 AMR196610:AMR262144 AMR262146:AMR327680 AMR327682:AMR393216 AMR393218:AMR458752 AMR458754:AMR524288 AMR524290:AMR589824 AMR589826:AMR655360 AMR655362:AMR720896 AMR720898:AMR786432 AMR786434:AMR851968 AMR851970:AMR917504 AMR917506:AMR983040 AMR983042:AMR1048576 AWN2:AWN65536 AWN65538:AWN131072 AWN131074:AWN196608 AWN196610:AWN262144 AWN262146:AWN327680 AWN327682:AWN393216 AWN393218:AWN458752 AWN458754:AWN524288 AWN524290:AWN589824 AWN589826:AWN655360 AWN655362:AWN720896 AWN720898:AWN786432 AWN786434:AWN851968 AWN851970:AWN917504 AWN917506:AWN983040 AWN983042:AWN1048576 BGJ2:BGJ65536 BGJ65538:BGJ131072 BGJ131074:BGJ196608 BGJ196610:BGJ262144 BGJ262146:BGJ327680 BGJ327682:BGJ393216 BGJ393218:BGJ458752 BGJ458754:BGJ524288 BGJ524290:BGJ589824 BGJ589826:BGJ655360 BGJ655362:BGJ720896 BGJ720898:BGJ786432 BGJ786434:BGJ851968 BGJ851970:BGJ917504 BGJ917506:BGJ983040 BGJ983042:BGJ1048576 BQF2:BQF65536 BQF65538:BQF131072 BQF131074:BQF196608 BQF196610:BQF262144 BQF262146:BQF327680 BQF327682:BQF393216 BQF393218:BQF458752 BQF458754:BQF524288 BQF524290:BQF589824 BQF589826:BQF655360 BQF655362:BQF720896 BQF720898:BQF786432 BQF786434:BQF851968 BQF851970:BQF917504 BQF917506:BQF983040 BQF983042:BQF1048576 CAB2:CAB65536 CAB65538:CAB131072 CAB131074:CAB196608 CAB196610:CAB262144 CAB262146:CAB327680 CAB327682:CAB393216 CAB393218:CAB458752 CAB458754:CAB524288 CAB524290:CAB589824 CAB589826:CAB655360 CAB655362:CAB720896 CAB720898:CAB786432 CAB786434:CAB851968 CAB851970:CAB917504 CAB917506:CAB983040 CAB983042:CAB1048576 CJX2:CJX65536 CJX65538:CJX131072 CJX131074:CJX196608 CJX196610:CJX262144 CJX262146:CJX327680 CJX327682:CJX393216 CJX393218:CJX458752 CJX458754:CJX524288 CJX524290:CJX589824 CJX589826:CJX655360 CJX655362:CJX720896 CJX720898:CJX786432 CJX786434:CJX851968 CJX851970:CJX917504 CJX917506:CJX983040 CJX983042:CJX1048576 CTT2:CTT65536 CTT65538:CTT131072 CTT131074:CTT196608 CTT196610:CTT262144 CTT262146:CTT327680 CTT327682:CTT393216 CTT393218:CTT458752 CTT458754:CTT524288 CTT524290:CTT589824 CTT589826:CTT655360 CTT655362:CTT720896 CTT720898:CTT786432 CTT786434:CTT851968 CTT851970:CTT917504 CTT917506:CTT983040 CTT983042:CTT1048576 DDP2:DDP65536 DDP65538:DDP131072 DDP131074:DDP196608 DDP196610:DDP262144 DDP262146:DDP327680 DDP327682:DDP393216 DDP393218:DDP458752 DDP458754:DDP524288 DDP524290:DDP589824 DDP589826:DDP655360 DDP655362:DDP720896 DDP720898:DDP786432 DDP786434:DDP851968 DDP851970:DDP917504 DDP917506:DDP983040 DDP983042:DDP1048576 DNL2:DNL65536 DNL65538:DNL131072 DNL131074:DNL196608 DNL196610:DNL262144 DNL262146:DNL327680 DNL327682:DNL393216 DNL393218:DNL458752 DNL458754:DNL524288 DNL524290:DNL589824 DNL589826:DNL655360 DNL655362:DNL720896 DNL720898:DNL786432 DNL786434:DNL851968 DNL851970:DNL917504 DNL917506:DNL983040 DNL983042:DNL1048576 DXH2:DXH65536 DXH65538:DXH131072 DXH131074:DXH196608 DXH196610:DXH262144 DXH262146:DXH327680 DXH327682:DXH393216 DXH393218:DXH458752 DXH458754:DXH524288 DXH524290:DXH589824 DXH589826:DXH655360 DXH655362:DXH720896 DXH720898:DXH786432 DXH786434:DXH851968 DXH851970:DXH917504 DXH917506:DXH983040 DXH983042:DXH1048576 EHD2:EHD65536 EHD65538:EHD131072 EHD131074:EHD196608 EHD196610:EHD262144 EHD262146:EHD327680 EHD327682:EHD393216 EHD393218:EHD458752 EHD458754:EHD524288 EHD524290:EHD589824 EHD589826:EHD655360 EHD655362:EHD720896 EHD720898:EHD786432 EHD786434:EHD851968 EHD851970:EHD917504 EHD917506:EHD983040 EHD983042:EHD1048576 EQZ2:EQZ65536 EQZ65538:EQZ131072 EQZ131074:EQZ196608 EQZ196610:EQZ262144 EQZ262146:EQZ327680 EQZ327682:EQZ393216 EQZ393218:EQZ458752 EQZ458754:EQZ524288 EQZ524290:EQZ589824 EQZ589826:EQZ655360 EQZ655362:EQZ720896 EQZ720898:EQZ786432 EQZ786434:EQZ851968 EQZ851970:EQZ917504 EQZ917506:EQZ983040 EQZ983042:EQZ1048576 FAV2:FAV65536 FAV65538:FAV131072 FAV131074:FAV196608 FAV196610:FAV262144 FAV262146:FAV327680 FAV327682:FAV393216 FAV393218:FAV458752 FAV458754:FAV524288 FAV524290:FAV589824 FAV589826:FAV655360 FAV655362:FAV720896 FAV720898:FAV786432 FAV786434:FAV851968 FAV851970:FAV917504 FAV917506:FAV983040 FAV983042:FAV1048576 FKR2:FKR65536 FKR65538:FKR131072 FKR131074:FKR196608 FKR196610:FKR262144 FKR262146:FKR327680 FKR327682:FKR393216 FKR393218:FKR458752 FKR458754:FKR524288 FKR524290:FKR589824 FKR589826:FKR655360 FKR655362:FKR720896 FKR720898:FKR786432 FKR786434:FKR851968 FKR851970:FKR917504 FKR917506:FKR983040 FKR983042:FKR1048576 FUN2:FUN65536 FUN65538:FUN131072 FUN131074:FUN196608 FUN196610:FUN262144 FUN262146:FUN327680 FUN327682:FUN393216 FUN393218:FUN458752 FUN458754:FUN524288 FUN524290:FUN589824 FUN589826:FUN655360 FUN655362:FUN720896 FUN720898:FUN786432 FUN786434:FUN851968 FUN851970:FUN917504 FUN917506:FUN983040 FUN983042:FUN1048576 GEJ2:GEJ65536 GEJ65538:GEJ131072 GEJ131074:GEJ196608 GEJ196610:GEJ262144 GEJ262146:GEJ327680 GEJ327682:GEJ393216 GEJ393218:GEJ458752 GEJ458754:GEJ524288 GEJ524290:GEJ589824 GEJ589826:GEJ655360 GEJ655362:GEJ720896 GEJ720898:GEJ786432 GEJ786434:GEJ851968 GEJ851970:GEJ917504 GEJ917506:GEJ983040 GEJ983042:GEJ1048576 GOF2:GOF65536 GOF65538:GOF131072 GOF131074:GOF196608 GOF196610:GOF262144 GOF262146:GOF327680 GOF327682:GOF393216 GOF393218:GOF458752 GOF458754:GOF524288 GOF524290:GOF589824 GOF589826:GOF655360 GOF655362:GOF720896 GOF720898:GOF786432 GOF786434:GOF851968 GOF851970:GOF917504 GOF917506:GOF983040 GOF983042:GOF1048576 GYB2:GYB65536 GYB65538:GYB131072 GYB131074:GYB196608 GYB196610:GYB262144 GYB262146:GYB327680 GYB327682:GYB393216 GYB393218:GYB458752 GYB458754:GYB524288 GYB524290:GYB589824 GYB589826:GYB655360 GYB655362:GYB720896 GYB720898:GYB786432 GYB786434:GYB851968 GYB851970:GYB917504 GYB917506:GYB983040 GYB983042:GYB1048576 HHX2:HHX65536 HHX65538:HHX131072 HHX131074:HHX196608 HHX196610:HHX262144 HHX262146:HHX327680 HHX327682:HHX393216 HHX393218:HHX458752 HHX458754:HHX524288 HHX524290:HHX589824 HHX589826:HHX655360 HHX655362:HHX720896 HHX720898:HHX786432 HHX786434:HHX851968 HHX851970:HHX917504 HHX917506:HHX983040 HHX983042:HHX1048576 HRT2:HRT65536 HRT65538:HRT131072 HRT131074:HRT196608 HRT196610:HRT262144 HRT262146:HRT327680 HRT327682:HRT393216 HRT393218:HRT458752 HRT458754:HRT524288 HRT524290:HRT589824 HRT589826:HRT655360 HRT655362:HRT720896 HRT720898:HRT786432 HRT786434:HRT851968 HRT851970:HRT917504 HRT917506:HRT983040 HRT983042:HRT1048576 IBP2:IBP65536 IBP65538:IBP131072 IBP131074:IBP196608 IBP196610:IBP262144 IBP262146:IBP327680 IBP327682:IBP393216 IBP393218:IBP458752 IBP458754:IBP524288 IBP524290:IBP589824 IBP589826:IBP655360 IBP655362:IBP720896 IBP720898:IBP786432 IBP786434:IBP851968 IBP851970:IBP917504 IBP917506:IBP983040 IBP983042:IBP1048576 ILL2:ILL65536 ILL65538:ILL131072 ILL131074:ILL196608 ILL196610:ILL262144 ILL262146:ILL327680 ILL327682:ILL393216 ILL393218:ILL458752 ILL458754:ILL524288 ILL524290:ILL589824 ILL589826:ILL655360 ILL655362:ILL720896 ILL720898:ILL786432 ILL786434:ILL851968 ILL851970:ILL917504 ILL917506:ILL983040 ILL983042:ILL1048576 IVH2:IVH65536 IVH65538:IVH131072 IVH131074:IVH196608 IVH196610:IVH262144 IVH262146:IVH327680 IVH327682:IVH393216 IVH393218:IVH458752 IVH458754:IVH524288 IVH524290:IVH589824 IVH589826:IVH655360 IVH655362:IVH720896 IVH720898:IVH786432 IVH786434:IVH851968 IVH851970:IVH917504 IVH917506:IVH983040 IVH983042:IVH1048576 JFD2:JFD65536 JFD65538:JFD131072 JFD131074:JFD196608 JFD196610:JFD262144 JFD262146:JFD327680 JFD327682:JFD393216 JFD393218:JFD458752 JFD458754:JFD524288 JFD524290:JFD589824 JFD589826:JFD655360 JFD655362:JFD720896 JFD720898:JFD786432 JFD786434:JFD851968 JFD851970:JFD917504 JFD917506:JFD983040 JFD983042:JFD1048576 JOZ2:JOZ65536 JOZ65538:JOZ131072 JOZ131074:JOZ196608 JOZ196610:JOZ262144 JOZ262146:JOZ327680 JOZ327682:JOZ393216 JOZ393218:JOZ458752 JOZ458754:JOZ524288 JOZ524290:JOZ589824 JOZ589826:JOZ655360 JOZ655362:JOZ720896 JOZ720898:JOZ786432 JOZ786434:JOZ851968 JOZ851970:JOZ917504 JOZ917506:JOZ983040 JOZ983042:JOZ1048576 JYV2:JYV65536 JYV65538:JYV131072 JYV131074:JYV196608 JYV196610:JYV262144 JYV262146:JYV327680 JYV327682:JYV393216 JYV393218:JYV458752 JYV458754:JYV524288 JYV524290:JYV589824 JYV589826:JYV655360 JYV655362:JYV720896 JYV720898:JYV786432 JYV786434:JYV851968 JYV851970:JYV917504 JYV917506:JYV983040 JYV983042:JYV1048576 KIR2:KIR65536 KIR65538:KIR131072 KIR131074:KIR196608 KIR196610:KIR262144 KIR262146:KIR327680 KIR327682:KIR393216 KIR393218:KIR458752 KIR458754:KIR524288 KIR524290:KIR589824 KIR589826:KIR655360 KIR655362:KIR720896 KIR720898:KIR786432 KIR786434:KIR851968 KIR851970:KIR917504 KIR917506:KIR983040 KIR983042:KIR1048576 KSN2:KSN65536 KSN65538:KSN131072 KSN131074:KSN196608 KSN196610:KSN262144 KSN262146:KSN327680 KSN327682:KSN393216 KSN393218:KSN458752 KSN458754:KSN524288 KSN524290:KSN589824 KSN589826:KSN655360 KSN655362:KSN720896 KSN720898:KSN786432 KSN786434:KSN851968 KSN851970:KSN917504 KSN917506:KSN983040 KSN983042:KSN1048576 LCJ2:LCJ65536 LCJ65538:LCJ131072 LCJ131074:LCJ196608 LCJ196610:LCJ262144 LCJ262146:LCJ327680 LCJ327682:LCJ393216 LCJ393218:LCJ458752 LCJ458754:LCJ524288 LCJ524290:LCJ589824 LCJ589826:LCJ655360 LCJ655362:LCJ720896 LCJ720898:LCJ786432 LCJ786434:LCJ851968 LCJ851970:LCJ917504 LCJ917506:LCJ983040 LCJ983042:LCJ1048576 LMF2:LMF65536 LMF65538:LMF131072 LMF131074:LMF196608 LMF196610:LMF262144 LMF262146:LMF327680 LMF327682:LMF393216 LMF393218:LMF458752 LMF458754:LMF524288 LMF524290:LMF589824 LMF589826:LMF655360 LMF655362:LMF720896 LMF720898:LMF786432 LMF786434:LMF851968 LMF851970:LMF917504 LMF917506:LMF983040 LMF983042:LMF1048576 LWB2:LWB65536 LWB65538:LWB131072 LWB131074:LWB196608 LWB196610:LWB262144 LWB262146:LWB327680 LWB327682:LWB393216 LWB393218:LWB458752 LWB458754:LWB524288 LWB524290:LWB589824 LWB589826:LWB655360 LWB655362:LWB720896 LWB720898:LWB786432 LWB786434:LWB851968 LWB851970:LWB917504 LWB917506:LWB983040 LWB983042:LWB1048576 MFX2:MFX65536 MFX65538:MFX131072 MFX131074:MFX196608 MFX196610:MFX262144 MFX262146:MFX327680 MFX327682:MFX393216 MFX393218:MFX458752 MFX458754:MFX524288 MFX524290:MFX589824 MFX589826:MFX655360 MFX655362:MFX720896 MFX720898:MFX786432 MFX786434:MFX851968 MFX851970:MFX917504 MFX917506:MFX983040 MFX983042:MFX1048576 MPT2:MPT65536 MPT65538:MPT131072 MPT131074:MPT196608 MPT196610:MPT262144 MPT262146:MPT327680 MPT327682:MPT393216 MPT393218:MPT458752 MPT458754:MPT524288 MPT524290:MPT589824 MPT589826:MPT655360 MPT655362:MPT720896 MPT720898:MPT786432 MPT786434:MPT851968 MPT851970:MPT917504 MPT917506:MPT983040 MPT983042:MPT1048576 MZP2:MZP65536 MZP65538:MZP131072 MZP131074:MZP196608 MZP196610:MZP262144 MZP262146:MZP327680 MZP327682:MZP393216 MZP393218:MZP458752 MZP458754:MZP524288 MZP524290:MZP589824 MZP589826:MZP655360 MZP655362:MZP720896 MZP720898:MZP786432 MZP786434:MZP851968 MZP851970:MZP917504 MZP917506:MZP983040 MZP983042:MZP1048576 NJL2:NJL65536 NJL65538:NJL131072 NJL131074:NJL196608 NJL196610:NJL262144 NJL262146:NJL327680 NJL327682:NJL393216 NJL393218:NJL458752 NJL458754:NJL524288 NJL524290:NJL589824 NJL589826:NJL655360 NJL655362:NJL720896 NJL720898:NJL786432 NJL786434:NJL851968 NJL851970:NJL917504 NJL917506:NJL983040 NJL983042:NJL1048576 NTH2:NTH65536 NTH65538:NTH131072 NTH131074:NTH196608 NTH196610:NTH262144 NTH262146:NTH327680 NTH327682:NTH393216 NTH393218:NTH458752 NTH458754:NTH524288 NTH524290:NTH589824 NTH589826:NTH655360 NTH655362:NTH720896 NTH720898:NTH786432 NTH786434:NTH851968 NTH851970:NTH917504 NTH917506:NTH983040 NTH983042:NTH1048576 ODD2:ODD65536 ODD65538:ODD131072 ODD131074:ODD196608 ODD196610:ODD262144 ODD262146:ODD327680 ODD327682:ODD393216 ODD393218:ODD458752 ODD458754:ODD524288 ODD524290:ODD589824 ODD589826:ODD655360 ODD655362:ODD720896 ODD720898:ODD786432 ODD786434:ODD851968 ODD851970:ODD917504 ODD917506:ODD983040 ODD983042:ODD1048576 OMZ2:OMZ65536 OMZ65538:OMZ131072 OMZ131074:OMZ196608 OMZ196610:OMZ262144 OMZ262146:OMZ327680 OMZ327682:OMZ393216 OMZ393218:OMZ458752 OMZ458754:OMZ524288 OMZ524290:OMZ589824 OMZ589826:OMZ655360 OMZ655362:OMZ720896 OMZ720898:OMZ786432 OMZ786434:OMZ851968 OMZ851970:OMZ917504 OMZ917506:OMZ983040 OMZ983042:OMZ1048576 OWV2:OWV65536 OWV65538:OWV131072 OWV131074:OWV196608 OWV196610:OWV262144 OWV262146:OWV327680 OWV327682:OWV393216 OWV393218:OWV458752 OWV458754:OWV524288 OWV524290:OWV589824 OWV589826:OWV655360 OWV655362:OWV720896 OWV720898:OWV786432 OWV786434:OWV851968 OWV851970:OWV917504 OWV917506:OWV983040 OWV983042:OWV1048576 PGR2:PGR65536 PGR65538:PGR131072 PGR131074:PGR196608 PGR196610:PGR262144 PGR262146:PGR327680 PGR327682:PGR393216 PGR393218:PGR458752 PGR458754:PGR524288 PGR524290:PGR589824 PGR589826:PGR655360 PGR655362:PGR720896 PGR720898:PGR786432 PGR786434:PGR851968 PGR851970:PGR917504 PGR917506:PGR983040 PGR983042:PGR1048576 PQN2:PQN65536 PQN65538:PQN131072 PQN131074:PQN196608 PQN196610:PQN262144 PQN262146:PQN327680 PQN327682:PQN393216 PQN393218:PQN458752 PQN458754:PQN524288 PQN524290:PQN589824 PQN589826:PQN655360 PQN655362:PQN720896 PQN720898:PQN786432 PQN786434:PQN851968 PQN851970:PQN917504 PQN917506:PQN983040 PQN983042:PQN1048576 QAJ2:QAJ65536 QAJ65538:QAJ131072 QAJ131074:QAJ196608 QAJ196610:QAJ262144 QAJ262146:QAJ327680 QAJ327682:QAJ393216 QAJ393218:QAJ458752 QAJ458754:QAJ524288 QAJ524290:QAJ589824 QAJ589826:QAJ655360 QAJ655362:QAJ720896 QAJ720898:QAJ786432 QAJ786434:QAJ851968 QAJ851970:QAJ917504 QAJ917506:QAJ983040 QAJ983042:QAJ1048576 QKF2:QKF65536 QKF65538:QKF131072 QKF131074:QKF196608 QKF196610:QKF262144 QKF262146:QKF327680 QKF327682:QKF393216 QKF393218:QKF458752 QKF458754:QKF524288 QKF524290:QKF589824 QKF589826:QKF655360 QKF655362:QKF720896 QKF720898:QKF786432 QKF786434:QKF851968 QKF851970:QKF917504 QKF917506:QKF983040 QKF983042:QKF1048576 QUB2:QUB65536 QUB65538:QUB131072 QUB131074:QUB196608 QUB196610:QUB262144 QUB262146:QUB327680 QUB327682:QUB393216 QUB393218:QUB458752 QUB458754:QUB524288 QUB524290:QUB589824 QUB589826:QUB655360 QUB655362:QUB720896 QUB720898:QUB786432 QUB786434:QUB851968 QUB851970:QUB917504 QUB917506:QUB983040 QUB983042:QUB1048576 RDX2:RDX65536 RDX65538:RDX131072 RDX131074:RDX196608 RDX196610:RDX262144 RDX262146:RDX327680 RDX327682:RDX393216 RDX393218:RDX458752 RDX458754:RDX524288 RDX524290:RDX589824 RDX589826:RDX655360 RDX655362:RDX720896 RDX720898:RDX786432 RDX786434:RDX851968 RDX851970:RDX917504 RDX917506:RDX983040 RDX983042:RDX1048576 RNT2:RNT65536 RNT65538:RNT131072 RNT131074:RNT196608 RNT196610:RNT262144 RNT262146:RNT327680 RNT327682:RNT393216 RNT393218:RNT458752 RNT458754:RNT524288 RNT524290:RNT589824 RNT589826:RNT655360 RNT655362:RNT720896 RNT720898:RNT786432 RNT786434:RNT851968 RNT851970:RNT917504 RNT917506:RNT983040 RNT983042:RNT1048576 RXP2:RXP65536 RXP65538:RXP131072 RXP131074:RXP196608 RXP196610:RXP262144 RXP262146:RXP327680 RXP327682:RXP393216 RXP393218:RXP458752 RXP458754:RXP524288 RXP524290:RXP589824 RXP589826:RXP655360 RXP655362:RXP720896 RXP720898:RXP786432 RXP786434:RXP851968 RXP851970:RXP917504 RXP917506:RXP983040 RXP983042:RXP1048576 SHL2:SHL65536 SHL65538:SHL131072 SHL131074:SHL196608 SHL196610:SHL262144 SHL262146:SHL327680 SHL327682:SHL393216 SHL393218:SHL458752 SHL458754:SHL524288 SHL524290:SHL589824 SHL589826:SHL655360 SHL655362:SHL720896 SHL720898:SHL786432 SHL786434:SHL851968 SHL851970:SHL917504 SHL917506:SHL983040 SHL983042:SHL1048576 SRH2:SRH65536 SRH65538:SRH131072 SRH131074:SRH196608 SRH196610:SRH262144 SRH262146:SRH327680 SRH327682:SRH393216 SRH393218:SRH458752 SRH458754:SRH524288 SRH524290:SRH589824 SRH589826:SRH655360 SRH655362:SRH720896 SRH720898:SRH786432 SRH786434:SRH851968 SRH851970:SRH917504 SRH917506:SRH983040 SRH983042:SRH1048576 TBD2:TBD65536 TBD65538:TBD131072 TBD131074:TBD196608 TBD196610:TBD262144 TBD262146:TBD327680 TBD327682:TBD393216 TBD393218:TBD458752 TBD458754:TBD524288 TBD524290:TBD589824 TBD589826:TBD655360 TBD655362:TBD720896 TBD720898:TBD786432 TBD786434:TBD851968 TBD851970:TBD917504 TBD917506:TBD983040 TBD983042:TBD1048576 TKZ2:TKZ65536 TKZ65538:TKZ131072 TKZ131074:TKZ196608 TKZ196610:TKZ262144 TKZ262146:TKZ327680 TKZ327682:TKZ393216 TKZ393218:TKZ458752 TKZ458754:TKZ524288 TKZ524290:TKZ589824 TKZ589826:TKZ655360 TKZ655362:TKZ720896 TKZ720898:TKZ786432 TKZ786434:TKZ851968 TKZ851970:TKZ917504 TKZ917506:TKZ983040 TKZ983042:TKZ1048576 TUV2:TUV65536 TUV65538:TUV131072 TUV131074:TUV196608 TUV196610:TUV262144 TUV262146:TUV327680 TUV327682:TUV393216 TUV393218:TUV458752 TUV458754:TUV524288 TUV524290:TUV589824 TUV589826:TUV655360 TUV655362:TUV720896 TUV720898:TUV786432 TUV786434:TUV851968 TUV851970:TUV917504 TUV917506:TUV983040 TUV983042:TUV1048576 UER2:UER65536 UER65538:UER131072 UER131074:UER196608 UER196610:UER262144 UER262146:UER327680 UER327682:UER393216 UER393218:UER458752 UER458754:UER524288 UER524290:UER589824 UER589826:UER655360 UER655362:UER720896 UER720898:UER786432 UER786434:UER851968 UER851970:UER917504 UER917506:UER983040 UER983042:UER1048576 UON2:UON65536 UON65538:UON131072 UON131074:UON196608 UON196610:UON262144 UON262146:UON327680 UON327682:UON393216 UON393218:UON458752 UON458754:UON524288 UON524290:UON589824 UON589826:UON655360 UON655362:UON720896 UON720898:UON786432 UON786434:UON851968 UON851970:UON917504 UON917506:UON983040 UON983042:UON1048576 UYJ2:UYJ65536 UYJ65538:UYJ131072 UYJ131074:UYJ196608 UYJ196610:UYJ262144 UYJ262146:UYJ327680 UYJ327682:UYJ393216 UYJ393218:UYJ458752 UYJ458754:UYJ524288 UYJ524290:UYJ589824 UYJ589826:UYJ655360 UYJ655362:UYJ720896 UYJ720898:UYJ786432 UYJ786434:UYJ851968 UYJ851970:UYJ917504 UYJ917506:UYJ983040 UYJ983042:UYJ1048576 VIF2:VIF65536 VIF65538:VIF131072 VIF131074:VIF196608 VIF196610:VIF262144 VIF262146:VIF327680 VIF327682:VIF393216 VIF393218:VIF458752 VIF458754:VIF524288 VIF524290:VIF589824 VIF589826:VIF655360 VIF655362:VIF720896 VIF720898:VIF786432 VIF786434:VIF851968 VIF851970:VIF917504 VIF917506:VIF983040 VIF983042:VIF1048576 VSB2:VSB65536 VSB65538:VSB131072 VSB131074:VSB196608 VSB196610:VSB262144 VSB262146:VSB327680 VSB327682:VSB393216 VSB393218:VSB458752 VSB458754:VSB524288 VSB524290:VSB589824 VSB589826:VSB655360 VSB655362:VSB720896 VSB720898:VSB786432 VSB786434:VSB851968 VSB851970:VSB917504 VSB917506:VSB983040 VSB983042:VSB1048576 WBX2:WBX65536 WBX65538:WBX131072 WBX131074:WBX196608 WBX196610:WBX262144 WBX262146:WBX327680 WBX327682:WBX393216 WBX393218:WBX458752 WBX458754:WBX524288 WBX524290:WBX589824 WBX589826:WBX655360 WBX655362:WBX720896 WBX720898:WBX786432 WBX786434:WBX851968 WBX851970:WBX917504 WBX917506:WBX983040 WBX983042:WBX1048576 WLT2:WLT65536 WLT65538:WLT131072 WLT131074:WLT196608 WLT196610:WLT262144 WLT262146:WLT327680 WLT327682:WLT393216 WLT393218:WLT458752 WLT458754:WLT524288 WLT524290:WLT589824 WLT589826:WLT655360 WLT655362:WLT720896 WLT720898:WLT786432 WLT786434:WLT851968 WLT851970:WLT917504 WLT917506:WLT983040 WLT983042:WLT1048576 WVP2:WVP65536 WVP65538:WVP131072 WVP131074:WVP196608 WVP196610:WVP262144 WVP262146:WVP327680 WVP327682:WVP393216 WVP393218:WVP458752 WVP458754:WVP524288 WVP524290:WVP589824 WVP589826:WVP655360 WVP655362:WVP720896 WVP720898:WVP786432 WVP786434:WVP851968 WVP851970:WVP917504 WVP917506:WVP983040 WVP983042:WVP1048576">
      <formula1>签证种类</formula1>
    </dataValidation>
    <dataValidation type="list" allowBlank="1" showInputMessage="1" showErrorMessage="1" sqref="J2:J65536 J65538:J131072 J131074:J196608 J196610:J262144 J262146:J327680 J327682:J393216 J393218:J458752 J458754:J524288 J524290:J589824 J589826:J655360 J655362:J720896 J720898:J786432 J786434:J851968 J851970:J917504 J917506:J983040 J983042:J1048576 JF2:JF65536 JF65538:JF131072 JF131074:JF196608 JF196610:JF262144 JF262146:JF327680 JF327682:JF393216 JF393218:JF458752 JF458754:JF524288 JF524290:JF589824 JF589826:JF655360 JF655362:JF720896 JF720898:JF786432 JF786434:JF851968 JF851970:JF917504 JF917506:JF983040 JF983042:JF1048576 TB2:TB65536 TB65538:TB131072 TB131074:TB196608 TB196610:TB262144 TB262146:TB327680 TB327682:TB393216 TB393218:TB458752 TB458754:TB524288 TB524290:TB589824 TB589826:TB655360 TB655362:TB720896 TB720898:TB786432 TB786434:TB851968 TB851970:TB917504 TB917506:TB983040 TB983042:TB1048576 ACX2:ACX65536 ACX65538:ACX131072 ACX131074:ACX196608 ACX196610:ACX262144 ACX262146:ACX327680 ACX327682:ACX393216 ACX393218:ACX458752 ACX458754:ACX524288 ACX524290:ACX589824 ACX589826:ACX655360 ACX655362:ACX720896 ACX720898:ACX786432 ACX786434:ACX851968 ACX851970:ACX917504 ACX917506:ACX983040 ACX983042:ACX1048576 AMT2:AMT65536 AMT65538:AMT131072 AMT131074:AMT196608 AMT196610:AMT262144 AMT262146:AMT327680 AMT327682:AMT393216 AMT393218:AMT458752 AMT458754:AMT524288 AMT524290:AMT589824 AMT589826:AMT655360 AMT655362:AMT720896 AMT720898:AMT786432 AMT786434:AMT851968 AMT851970:AMT917504 AMT917506:AMT983040 AMT983042:AMT1048576 AWP2:AWP65536 AWP65538:AWP131072 AWP131074:AWP196608 AWP196610:AWP262144 AWP262146:AWP327680 AWP327682:AWP393216 AWP393218:AWP458752 AWP458754:AWP524288 AWP524290:AWP589824 AWP589826:AWP655360 AWP655362:AWP720896 AWP720898:AWP786432 AWP786434:AWP851968 AWP851970:AWP917504 AWP917506:AWP983040 AWP983042:AWP1048576 BGL2:BGL65536 BGL65538:BGL131072 BGL131074:BGL196608 BGL196610:BGL262144 BGL262146:BGL327680 BGL327682:BGL393216 BGL393218:BGL458752 BGL458754:BGL524288 BGL524290:BGL589824 BGL589826:BGL655360 BGL655362:BGL720896 BGL720898:BGL786432 BGL786434:BGL851968 BGL851970:BGL917504 BGL917506:BGL983040 BGL983042:BGL1048576 BQH2:BQH65536 BQH65538:BQH131072 BQH131074:BQH196608 BQH196610:BQH262144 BQH262146:BQH327680 BQH327682:BQH393216 BQH393218:BQH458752 BQH458754:BQH524288 BQH524290:BQH589824 BQH589826:BQH655360 BQH655362:BQH720896 BQH720898:BQH786432 BQH786434:BQH851968 BQH851970:BQH917504 BQH917506:BQH983040 BQH983042:BQH1048576 CAD2:CAD65536 CAD65538:CAD131072 CAD131074:CAD196608 CAD196610:CAD262144 CAD262146:CAD327680 CAD327682:CAD393216 CAD393218:CAD458752 CAD458754:CAD524288 CAD524290:CAD589824 CAD589826:CAD655360 CAD655362:CAD720896 CAD720898:CAD786432 CAD786434:CAD851968 CAD851970:CAD917504 CAD917506:CAD983040 CAD983042:CAD1048576 CJZ2:CJZ65536 CJZ65538:CJZ131072 CJZ131074:CJZ196608 CJZ196610:CJZ262144 CJZ262146:CJZ327680 CJZ327682:CJZ393216 CJZ393218:CJZ458752 CJZ458754:CJZ524288 CJZ524290:CJZ589824 CJZ589826:CJZ655360 CJZ655362:CJZ720896 CJZ720898:CJZ786432 CJZ786434:CJZ851968 CJZ851970:CJZ917504 CJZ917506:CJZ983040 CJZ983042:CJZ1048576 CTV2:CTV65536 CTV65538:CTV131072 CTV131074:CTV196608 CTV196610:CTV262144 CTV262146:CTV327680 CTV327682:CTV393216 CTV393218:CTV458752 CTV458754:CTV524288 CTV524290:CTV589824 CTV589826:CTV655360 CTV655362:CTV720896 CTV720898:CTV786432 CTV786434:CTV851968 CTV851970:CTV917504 CTV917506:CTV983040 CTV983042:CTV1048576 DDR2:DDR65536 DDR65538:DDR131072 DDR131074:DDR196608 DDR196610:DDR262144 DDR262146:DDR327680 DDR327682:DDR393216 DDR393218:DDR458752 DDR458754:DDR524288 DDR524290:DDR589824 DDR589826:DDR655360 DDR655362:DDR720896 DDR720898:DDR786432 DDR786434:DDR851968 DDR851970:DDR917504 DDR917506:DDR983040 DDR983042:DDR1048576 DNN2:DNN65536 DNN65538:DNN131072 DNN131074:DNN196608 DNN196610:DNN262144 DNN262146:DNN327680 DNN327682:DNN393216 DNN393218:DNN458752 DNN458754:DNN524288 DNN524290:DNN589824 DNN589826:DNN655360 DNN655362:DNN720896 DNN720898:DNN786432 DNN786434:DNN851968 DNN851970:DNN917504 DNN917506:DNN983040 DNN983042:DNN1048576 DXJ2:DXJ65536 DXJ65538:DXJ131072 DXJ131074:DXJ196608 DXJ196610:DXJ262144 DXJ262146:DXJ327680 DXJ327682:DXJ393216 DXJ393218:DXJ458752 DXJ458754:DXJ524288 DXJ524290:DXJ589824 DXJ589826:DXJ655360 DXJ655362:DXJ720896 DXJ720898:DXJ786432 DXJ786434:DXJ851968 DXJ851970:DXJ917504 DXJ917506:DXJ983040 DXJ983042:DXJ1048576 EHF2:EHF65536 EHF65538:EHF131072 EHF131074:EHF196608 EHF196610:EHF262144 EHF262146:EHF327680 EHF327682:EHF393216 EHF393218:EHF458752 EHF458754:EHF524288 EHF524290:EHF589824 EHF589826:EHF655360 EHF655362:EHF720896 EHF720898:EHF786432 EHF786434:EHF851968 EHF851970:EHF917504 EHF917506:EHF983040 EHF983042:EHF1048576 ERB2:ERB65536 ERB65538:ERB131072 ERB131074:ERB196608 ERB196610:ERB262144 ERB262146:ERB327680 ERB327682:ERB393216 ERB393218:ERB458752 ERB458754:ERB524288 ERB524290:ERB589824 ERB589826:ERB655360 ERB655362:ERB720896 ERB720898:ERB786432 ERB786434:ERB851968 ERB851970:ERB917504 ERB917506:ERB983040 ERB983042:ERB1048576 FAX2:FAX65536 FAX65538:FAX131072 FAX131074:FAX196608 FAX196610:FAX262144 FAX262146:FAX327680 FAX327682:FAX393216 FAX393218:FAX458752 FAX458754:FAX524288 FAX524290:FAX589824 FAX589826:FAX655360 FAX655362:FAX720896 FAX720898:FAX786432 FAX786434:FAX851968 FAX851970:FAX917504 FAX917506:FAX983040 FAX983042:FAX1048576 FKT2:FKT65536 FKT65538:FKT131072 FKT131074:FKT196608 FKT196610:FKT262144 FKT262146:FKT327680 FKT327682:FKT393216 FKT393218:FKT458752 FKT458754:FKT524288 FKT524290:FKT589824 FKT589826:FKT655360 FKT655362:FKT720896 FKT720898:FKT786432 FKT786434:FKT851968 FKT851970:FKT917504 FKT917506:FKT983040 FKT983042:FKT1048576 FUP2:FUP65536 FUP65538:FUP131072 FUP131074:FUP196608 FUP196610:FUP262144 FUP262146:FUP327680 FUP327682:FUP393216 FUP393218:FUP458752 FUP458754:FUP524288 FUP524290:FUP589824 FUP589826:FUP655360 FUP655362:FUP720896 FUP720898:FUP786432 FUP786434:FUP851968 FUP851970:FUP917504 FUP917506:FUP983040 FUP983042:FUP1048576 GEL2:GEL65536 GEL65538:GEL131072 GEL131074:GEL196608 GEL196610:GEL262144 GEL262146:GEL327680 GEL327682:GEL393216 GEL393218:GEL458752 GEL458754:GEL524288 GEL524290:GEL589824 GEL589826:GEL655360 GEL655362:GEL720896 GEL720898:GEL786432 GEL786434:GEL851968 GEL851970:GEL917504 GEL917506:GEL983040 GEL983042:GEL1048576 GOH2:GOH65536 GOH65538:GOH131072 GOH131074:GOH196608 GOH196610:GOH262144 GOH262146:GOH327680 GOH327682:GOH393216 GOH393218:GOH458752 GOH458754:GOH524288 GOH524290:GOH589824 GOH589826:GOH655360 GOH655362:GOH720896 GOH720898:GOH786432 GOH786434:GOH851968 GOH851970:GOH917504 GOH917506:GOH983040 GOH983042:GOH1048576 GYD2:GYD65536 GYD65538:GYD131072 GYD131074:GYD196608 GYD196610:GYD262144 GYD262146:GYD327680 GYD327682:GYD393216 GYD393218:GYD458752 GYD458754:GYD524288 GYD524290:GYD589824 GYD589826:GYD655360 GYD655362:GYD720896 GYD720898:GYD786432 GYD786434:GYD851968 GYD851970:GYD917504 GYD917506:GYD983040 GYD983042:GYD1048576 HHZ2:HHZ65536 HHZ65538:HHZ131072 HHZ131074:HHZ196608 HHZ196610:HHZ262144 HHZ262146:HHZ327680 HHZ327682:HHZ393216 HHZ393218:HHZ458752 HHZ458754:HHZ524288 HHZ524290:HHZ589824 HHZ589826:HHZ655360 HHZ655362:HHZ720896 HHZ720898:HHZ786432 HHZ786434:HHZ851968 HHZ851970:HHZ917504 HHZ917506:HHZ983040 HHZ983042:HHZ1048576 HRV2:HRV65536 HRV65538:HRV131072 HRV131074:HRV196608 HRV196610:HRV262144 HRV262146:HRV327680 HRV327682:HRV393216 HRV393218:HRV458752 HRV458754:HRV524288 HRV524290:HRV589824 HRV589826:HRV655360 HRV655362:HRV720896 HRV720898:HRV786432 HRV786434:HRV851968 HRV851970:HRV917504 HRV917506:HRV983040 HRV983042:HRV1048576 IBR2:IBR65536 IBR65538:IBR131072 IBR131074:IBR196608 IBR196610:IBR262144 IBR262146:IBR327680 IBR327682:IBR393216 IBR393218:IBR458752 IBR458754:IBR524288 IBR524290:IBR589824 IBR589826:IBR655360 IBR655362:IBR720896 IBR720898:IBR786432 IBR786434:IBR851968 IBR851970:IBR917504 IBR917506:IBR983040 IBR983042:IBR1048576 ILN2:ILN65536 ILN65538:ILN131072 ILN131074:ILN196608 ILN196610:ILN262144 ILN262146:ILN327680 ILN327682:ILN393216 ILN393218:ILN458752 ILN458754:ILN524288 ILN524290:ILN589824 ILN589826:ILN655360 ILN655362:ILN720896 ILN720898:ILN786432 ILN786434:ILN851968 ILN851970:ILN917504 ILN917506:ILN983040 ILN983042:ILN1048576 IVJ2:IVJ65536 IVJ65538:IVJ131072 IVJ131074:IVJ196608 IVJ196610:IVJ262144 IVJ262146:IVJ327680 IVJ327682:IVJ393216 IVJ393218:IVJ458752 IVJ458754:IVJ524288 IVJ524290:IVJ589824 IVJ589826:IVJ655360 IVJ655362:IVJ720896 IVJ720898:IVJ786432 IVJ786434:IVJ851968 IVJ851970:IVJ917504 IVJ917506:IVJ983040 IVJ983042:IVJ1048576 JFF2:JFF65536 JFF65538:JFF131072 JFF131074:JFF196608 JFF196610:JFF262144 JFF262146:JFF327680 JFF327682:JFF393216 JFF393218:JFF458752 JFF458754:JFF524288 JFF524290:JFF589824 JFF589826:JFF655360 JFF655362:JFF720896 JFF720898:JFF786432 JFF786434:JFF851968 JFF851970:JFF917504 JFF917506:JFF983040 JFF983042:JFF1048576 JPB2:JPB65536 JPB65538:JPB131072 JPB131074:JPB196608 JPB196610:JPB262144 JPB262146:JPB327680 JPB327682:JPB393216 JPB393218:JPB458752 JPB458754:JPB524288 JPB524290:JPB589824 JPB589826:JPB655360 JPB655362:JPB720896 JPB720898:JPB786432 JPB786434:JPB851968 JPB851970:JPB917504 JPB917506:JPB983040 JPB983042:JPB1048576 JYX2:JYX65536 JYX65538:JYX131072 JYX131074:JYX196608 JYX196610:JYX262144 JYX262146:JYX327680 JYX327682:JYX393216 JYX393218:JYX458752 JYX458754:JYX524288 JYX524290:JYX589824 JYX589826:JYX655360 JYX655362:JYX720896 JYX720898:JYX786432 JYX786434:JYX851968 JYX851970:JYX917504 JYX917506:JYX983040 JYX983042:JYX1048576 KIT2:KIT65536 KIT65538:KIT131072 KIT131074:KIT196608 KIT196610:KIT262144 KIT262146:KIT327680 KIT327682:KIT393216 KIT393218:KIT458752 KIT458754:KIT524288 KIT524290:KIT589824 KIT589826:KIT655360 KIT655362:KIT720896 KIT720898:KIT786432 KIT786434:KIT851968 KIT851970:KIT917504 KIT917506:KIT983040 KIT983042:KIT1048576 KSP2:KSP65536 KSP65538:KSP131072 KSP131074:KSP196608 KSP196610:KSP262144 KSP262146:KSP327680 KSP327682:KSP393216 KSP393218:KSP458752 KSP458754:KSP524288 KSP524290:KSP589824 KSP589826:KSP655360 KSP655362:KSP720896 KSP720898:KSP786432 KSP786434:KSP851968 KSP851970:KSP917504 KSP917506:KSP983040 KSP983042:KSP1048576 LCL2:LCL65536 LCL65538:LCL131072 LCL131074:LCL196608 LCL196610:LCL262144 LCL262146:LCL327680 LCL327682:LCL393216 LCL393218:LCL458752 LCL458754:LCL524288 LCL524290:LCL589824 LCL589826:LCL655360 LCL655362:LCL720896 LCL720898:LCL786432 LCL786434:LCL851968 LCL851970:LCL917504 LCL917506:LCL983040 LCL983042:LCL1048576 LMH2:LMH65536 LMH65538:LMH131072 LMH131074:LMH196608 LMH196610:LMH262144 LMH262146:LMH327680 LMH327682:LMH393216 LMH393218:LMH458752 LMH458754:LMH524288 LMH524290:LMH589824 LMH589826:LMH655360 LMH655362:LMH720896 LMH720898:LMH786432 LMH786434:LMH851968 LMH851970:LMH917504 LMH917506:LMH983040 LMH983042:LMH1048576 LWD2:LWD65536 LWD65538:LWD131072 LWD131074:LWD196608 LWD196610:LWD262144 LWD262146:LWD327680 LWD327682:LWD393216 LWD393218:LWD458752 LWD458754:LWD524288 LWD524290:LWD589824 LWD589826:LWD655360 LWD655362:LWD720896 LWD720898:LWD786432 LWD786434:LWD851968 LWD851970:LWD917504 LWD917506:LWD983040 LWD983042:LWD1048576 MFZ2:MFZ65536 MFZ65538:MFZ131072 MFZ131074:MFZ196608 MFZ196610:MFZ262144 MFZ262146:MFZ327680 MFZ327682:MFZ393216 MFZ393218:MFZ458752 MFZ458754:MFZ524288 MFZ524290:MFZ589824 MFZ589826:MFZ655360 MFZ655362:MFZ720896 MFZ720898:MFZ786432 MFZ786434:MFZ851968 MFZ851970:MFZ917504 MFZ917506:MFZ983040 MFZ983042:MFZ1048576 MPV2:MPV65536 MPV65538:MPV131072 MPV131074:MPV196608 MPV196610:MPV262144 MPV262146:MPV327680 MPV327682:MPV393216 MPV393218:MPV458752 MPV458754:MPV524288 MPV524290:MPV589824 MPV589826:MPV655360 MPV655362:MPV720896 MPV720898:MPV786432 MPV786434:MPV851968 MPV851970:MPV917504 MPV917506:MPV983040 MPV983042:MPV1048576 MZR2:MZR65536 MZR65538:MZR131072 MZR131074:MZR196608 MZR196610:MZR262144 MZR262146:MZR327680 MZR327682:MZR393216 MZR393218:MZR458752 MZR458754:MZR524288 MZR524290:MZR589824 MZR589826:MZR655360 MZR655362:MZR720896 MZR720898:MZR786432 MZR786434:MZR851968 MZR851970:MZR917504 MZR917506:MZR983040 MZR983042:MZR1048576 NJN2:NJN65536 NJN65538:NJN131072 NJN131074:NJN196608 NJN196610:NJN262144 NJN262146:NJN327680 NJN327682:NJN393216 NJN393218:NJN458752 NJN458754:NJN524288 NJN524290:NJN589824 NJN589826:NJN655360 NJN655362:NJN720896 NJN720898:NJN786432 NJN786434:NJN851968 NJN851970:NJN917504 NJN917506:NJN983040 NJN983042:NJN1048576 NTJ2:NTJ65536 NTJ65538:NTJ131072 NTJ131074:NTJ196608 NTJ196610:NTJ262144 NTJ262146:NTJ327680 NTJ327682:NTJ393216 NTJ393218:NTJ458752 NTJ458754:NTJ524288 NTJ524290:NTJ589824 NTJ589826:NTJ655360 NTJ655362:NTJ720896 NTJ720898:NTJ786432 NTJ786434:NTJ851968 NTJ851970:NTJ917504 NTJ917506:NTJ983040 NTJ983042:NTJ1048576 ODF2:ODF65536 ODF65538:ODF131072 ODF131074:ODF196608 ODF196610:ODF262144 ODF262146:ODF327680 ODF327682:ODF393216 ODF393218:ODF458752 ODF458754:ODF524288 ODF524290:ODF589824 ODF589826:ODF655360 ODF655362:ODF720896 ODF720898:ODF786432 ODF786434:ODF851968 ODF851970:ODF917504 ODF917506:ODF983040 ODF983042:ODF1048576 ONB2:ONB65536 ONB65538:ONB131072 ONB131074:ONB196608 ONB196610:ONB262144 ONB262146:ONB327680 ONB327682:ONB393216 ONB393218:ONB458752 ONB458754:ONB524288 ONB524290:ONB589824 ONB589826:ONB655360 ONB655362:ONB720896 ONB720898:ONB786432 ONB786434:ONB851968 ONB851970:ONB917504 ONB917506:ONB983040 ONB983042:ONB1048576 OWX2:OWX65536 OWX65538:OWX131072 OWX131074:OWX196608 OWX196610:OWX262144 OWX262146:OWX327680 OWX327682:OWX393216 OWX393218:OWX458752 OWX458754:OWX524288 OWX524290:OWX589824 OWX589826:OWX655360 OWX655362:OWX720896 OWX720898:OWX786432 OWX786434:OWX851968 OWX851970:OWX917504 OWX917506:OWX983040 OWX983042:OWX1048576 PGT2:PGT65536 PGT65538:PGT131072 PGT131074:PGT196608 PGT196610:PGT262144 PGT262146:PGT327680 PGT327682:PGT393216 PGT393218:PGT458752 PGT458754:PGT524288 PGT524290:PGT589824 PGT589826:PGT655360 PGT655362:PGT720896 PGT720898:PGT786432 PGT786434:PGT851968 PGT851970:PGT917504 PGT917506:PGT983040 PGT983042:PGT1048576 PQP2:PQP65536 PQP65538:PQP131072 PQP131074:PQP196608 PQP196610:PQP262144 PQP262146:PQP327680 PQP327682:PQP393216 PQP393218:PQP458752 PQP458754:PQP524288 PQP524290:PQP589824 PQP589826:PQP655360 PQP655362:PQP720896 PQP720898:PQP786432 PQP786434:PQP851968 PQP851970:PQP917504 PQP917506:PQP983040 PQP983042:PQP1048576 QAL2:QAL65536 QAL65538:QAL131072 QAL131074:QAL196608 QAL196610:QAL262144 QAL262146:QAL327680 QAL327682:QAL393216 QAL393218:QAL458752 QAL458754:QAL524288 QAL524290:QAL589824 QAL589826:QAL655360 QAL655362:QAL720896 QAL720898:QAL786432 QAL786434:QAL851968 QAL851970:QAL917504 QAL917506:QAL983040 QAL983042:QAL1048576 QKH2:QKH65536 QKH65538:QKH131072 QKH131074:QKH196608 QKH196610:QKH262144 QKH262146:QKH327680 QKH327682:QKH393216 QKH393218:QKH458752 QKH458754:QKH524288 QKH524290:QKH589824 QKH589826:QKH655360 QKH655362:QKH720896 QKH720898:QKH786432 QKH786434:QKH851968 QKH851970:QKH917504 QKH917506:QKH983040 QKH983042:QKH1048576 QUD2:QUD65536 QUD65538:QUD131072 QUD131074:QUD196608 QUD196610:QUD262144 QUD262146:QUD327680 QUD327682:QUD393216 QUD393218:QUD458752 QUD458754:QUD524288 QUD524290:QUD589824 QUD589826:QUD655360 QUD655362:QUD720896 QUD720898:QUD786432 QUD786434:QUD851968 QUD851970:QUD917504 QUD917506:QUD983040 QUD983042:QUD1048576 RDZ2:RDZ65536 RDZ65538:RDZ131072 RDZ131074:RDZ196608 RDZ196610:RDZ262144 RDZ262146:RDZ327680 RDZ327682:RDZ393216 RDZ393218:RDZ458752 RDZ458754:RDZ524288 RDZ524290:RDZ589824 RDZ589826:RDZ655360 RDZ655362:RDZ720896 RDZ720898:RDZ786432 RDZ786434:RDZ851968 RDZ851970:RDZ917504 RDZ917506:RDZ983040 RDZ983042:RDZ1048576 RNV2:RNV65536 RNV65538:RNV131072 RNV131074:RNV196608 RNV196610:RNV262144 RNV262146:RNV327680 RNV327682:RNV393216 RNV393218:RNV458752 RNV458754:RNV524288 RNV524290:RNV589824 RNV589826:RNV655360 RNV655362:RNV720896 RNV720898:RNV786432 RNV786434:RNV851968 RNV851970:RNV917504 RNV917506:RNV983040 RNV983042:RNV1048576 RXR2:RXR65536 RXR65538:RXR131072 RXR131074:RXR196608 RXR196610:RXR262144 RXR262146:RXR327680 RXR327682:RXR393216 RXR393218:RXR458752 RXR458754:RXR524288 RXR524290:RXR589824 RXR589826:RXR655360 RXR655362:RXR720896 RXR720898:RXR786432 RXR786434:RXR851968 RXR851970:RXR917504 RXR917506:RXR983040 RXR983042:RXR1048576 SHN2:SHN65536 SHN65538:SHN131072 SHN131074:SHN196608 SHN196610:SHN262144 SHN262146:SHN327680 SHN327682:SHN393216 SHN393218:SHN458752 SHN458754:SHN524288 SHN524290:SHN589824 SHN589826:SHN655360 SHN655362:SHN720896 SHN720898:SHN786432 SHN786434:SHN851968 SHN851970:SHN917504 SHN917506:SHN983040 SHN983042:SHN1048576 SRJ2:SRJ65536 SRJ65538:SRJ131072 SRJ131074:SRJ196608 SRJ196610:SRJ262144 SRJ262146:SRJ327680 SRJ327682:SRJ393216 SRJ393218:SRJ458752 SRJ458754:SRJ524288 SRJ524290:SRJ589824 SRJ589826:SRJ655360 SRJ655362:SRJ720896 SRJ720898:SRJ786432 SRJ786434:SRJ851968 SRJ851970:SRJ917504 SRJ917506:SRJ983040 SRJ983042:SRJ1048576 TBF2:TBF65536 TBF65538:TBF131072 TBF131074:TBF196608 TBF196610:TBF262144 TBF262146:TBF327680 TBF327682:TBF393216 TBF393218:TBF458752 TBF458754:TBF524288 TBF524290:TBF589824 TBF589826:TBF655360 TBF655362:TBF720896 TBF720898:TBF786432 TBF786434:TBF851968 TBF851970:TBF917504 TBF917506:TBF983040 TBF983042:TBF1048576 TLB2:TLB65536 TLB65538:TLB131072 TLB131074:TLB196608 TLB196610:TLB262144 TLB262146:TLB327680 TLB327682:TLB393216 TLB393218:TLB458752 TLB458754:TLB524288 TLB524290:TLB589824 TLB589826:TLB655360 TLB655362:TLB720896 TLB720898:TLB786432 TLB786434:TLB851968 TLB851970:TLB917504 TLB917506:TLB983040 TLB983042:TLB1048576 TUX2:TUX65536 TUX65538:TUX131072 TUX131074:TUX196608 TUX196610:TUX262144 TUX262146:TUX327680 TUX327682:TUX393216 TUX393218:TUX458752 TUX458754:TUX524288 TUX524290:TUX589824 TUX589826:TUX655360 TUX655362:TUX720896 TUX720898:TUX786432 TUX786434:TUX851968 TUX851970:TUX917504 TUX917506:TUX983040 TUX983042:TUX1048576 UET2:UET65536 UET65538:UET131072 UET131074:UET196608 UET196610:UET262144 UET262146:UET327680 UET327682:UET393216 UET393218:UET458752 UET458754:UET524288 UET524290:UET589824 UET589826:UET655360 UET655362:UET720896 UET720898:UET786432 UET786434:UET851968 UET851970:UET917504 UET917506:UET983040 UET983042:UET1048576 UOP2:UOP65536 UOP65538:UOP131072 UOP131074:UOP196608 UOP196610:UOP262144 UOP262146:UOP327680 UOP327682:UOP393216 UOP393218:UOP458752 UOP458754:UOP524288 UOP524290:UOP589824 UOP589826:UOP655360 UOP655362:UOP720896 UOP720898:UOP786432 UOP786434:UOP851968 UOP851970:UOP917504 UOP917506:UOP983040 UOP983042:UOP1048576 UYL2:UYL65536 UYL65538:UYL131072 UYL131074:UYL196608 UYL196610:UYL262144 UYL262146:UYL327680 UYL327682:UYL393216 UYL393218:UYL458752 UYL458754:UYL524288 UYL524290:UYL589824 UYL589826:UYL655360 UYL655362:UYL720896 UYL720898:UYL786432 UYL786434:UYL851968 UYL851970:UYL917504 UYL917506:UYL983040 UYL983042:UYL1048576 VIH2:VIH65536 VIH65538:VIH131072 VIH131074:VIH196608 VIH196610:VIH262144 VIH262146:VIH327680 VIH327682:VIH393216 VIH393218:VIH458752 VIH458754:VIH524288 VIH524290:VIH589824 VIH589826:VIH655360 VIH655362:VIH720896 VIH720898:VIH786432 VIH786434:VIH851968 VIH851970:VIH917504 VIH917506:VIH983040 VIH983042:VIH1048576 VSD2:VSD65536 VSD65538:VSD131072 VSD131074:VSD196608 VSD196610:VSD262144 VSD262146:VSD327680 VSD327682:VSD393216 VSD393218:VSD458752 VSD458754:VSD524288 VSD524290:VSD589824 VSD589826:VSD655360 VSD655362:VSD720896 VSD720898:VSD786432 VSD786434:VSD851968 VSD851970:VSD917504 VSD917506:VSD983040 VSD983042:VSD1048576 WBZ2:WBZ65536 WBZ65538:WBZ131072 WBZ131074:WBZ196608 WBZ196610:WBZ262144 WBZ262146:WBZ327680 WBZ327682:WBZ393216 WBZ393218:WBZ458752 WBZ458754:WBZ524288 WBZ524290:WBZ589824 WBZ589826:WBZ655360 WBZ655362:WBZ720896 WBZ720898:WBZ786432 WBZ786434:WBZ851968 WBZ851970:WBZ917504 WBZ917506:WBZ983040 WBZ983042:WBZ1048576 WLV2:WLV65536 WLV65538:WLV131072 WLV131074:WLV196608 WLV196610:WLV262144 WLV262146:WLV327680 WLV327682:WLV393216 WLV393218:WLV458752 WLV458754:WLV524288 WLV524290:WLV589824 WLV589826:WLV655360 WLV655362:WLV720896 WLV720898:WLV786432 WLV786434:WLV851968 WLV851970:WLV917504 WLV917506:WLV983040 WLV983042:WLV1048576 WVR2:WVR65536 WVR65538:WVR131072 WVR131074:WVR196608 WVR196610:WVR262144 WVR262146:WVR327680 WVR327682:WVR393216 WVR393218:WVR458752 WVR458754:WVR524288 WVR524290:WVR589824 WVR589826:WVR655360 WVR655362:WVR720896 WVR720898:WVR786432 WVR786434:WVR851968 WVR851970:WVR917504 WVR917506:WVR983040 WVR983042:WVR1048576">
      <formula1>出入境事由</formula1>
    </dataValidation>
  </dataValidations>
  <pageMargins left="0.699305555555556" right="0.699305555555556"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H20"/>
  <sheetViews>
    <sheetView view="pageBreakPreview" zoomScaleNormal="100" topLeftCell="A4" workbookViewId="0">
      <selection activeCell="B11" sqref="B11:C11"/>
    </sheetView>
  </sheetViews>
  <sheetFormatPr defaultColWidth="9" defaultRowHeight="18.75" outlineLevelCol="7"/>
  <cols>
    <col min="1" max="1" width="6.125" style="493" customWidth="1"/>
    <col min="2" max="2" width="10.5" style="494" customWidth="1"/>
    <col min="3" max="3" width="16.5" style="494" customWidth="1"/>
    <col min="4" max="4" width="11.5" style="494" customWidth="1"/>
    <col min="5" max="5" width="11.25" style="495" customWidth="1"/>
    <col min="6" max="6" width="8.625" style="494" customWidth="1"/>
    <col min="7" max="7" width="12.25" style="494" customWidth="1"/>
    <col min="8" max="8" width="13.375" style="494" customWidth="1"/>
    <col min="9" max="16384" width="9" style="494"/>
  </cols>
  <sheetData>
    <row r="1" s="491" customFormat="1" ht="33.75" customHeight="1" spans="1:8">
      <c r="A1" s="496"/>
      <c r="B1" s="497" t="s">
        <v>339</v>
      </c>
      <c r="C1" s="497"/>
      <c r="D1" s="497"/>
      <c r="E1" s="497"/>
      <c r="F1" s="497"/>
      <c r="G1" s="497"/>
      <c r="H1" s="497"/>
    </row>
    <row r="2" s="491" customFormat="1" ht="33.75" customHeight="1" spans="1:8">
      <c r="A2" s="496"/>
      <c r="B2" s="498" t="s">
        <v>340</v>
      </c>
      <c r="C2" s="498"/>
      <c r="D2" s="498"/>
      <c r="E2" s="498"/>
      <c r="F2" s="498"/>
      <c r="G2" s="498"/>
      <c r="H2" s="498"/>
    </row>
    <row r="3" s="491" customFormat="1" spans="1:8">
      <c r="A3" s="496"/>
      <c r="B3" s="499"/>
      <c r="C3" s="499"/>
      <c r="D3" s="499"/>
      <c r="E3" s="500"/>
      <c r="F3" s="499"/>
      <c r="G3" s="499"/>
      <c r="H3" s="499"/>
    </row>
    <row r="4" s="491" customFormat="1" customHeight="1" spans="1:8">
      <c r="A4" s="496"/>
      <c r="B4" s="501" t="s">
        <v>341</v>
      </c>
      <c r="C4" s="502"/>
      <c r="D4" s="503" t="str">
        <f>'Gen Inb'!I6</f>
        <v>马士基奋进</v>
      </c>
      <c r="E4" s="504"/>
      <c r="F4" s="505"/>
      <c r="G4" s="502" t="s">
        <v>342</v>
      </c>
      <c r="H4" s="506" t="str">
        <f>'Gen Inb'!F8</f>
        <v>巴拿马</v>
      </c>
    </row>
    <row r="5" s="491" customFormat="1" customHeight="1" spans="1:8">
      <c r="A5" s="496"/>
      <c r="B5" s="507" t="s">
        <v>343</v>
      </c>
      <c r="C5" s="508"/>
      <c r="D5" s="509" t="str">
        <f>'Gen Inb'!I7</f>
        <v>ERASMUS EFFORT</v>
      </c>
      <c r="E5" s="510"/>
      <c r="F5" s="511"/>
      <c r="G5" s="508" t="s">
        <v>344</v>
      </c>
      <c r="H5" s="512" t="str">
        <f>'Gen Inb'!F9</f>
        <v>PANAMA</v>
      </c>
    </row>
    <row r="6" s="667" customFormat="1" ht="31.5" customHeight="1" spans="1:8">
      <c r="A6" s="668"/>
      <c r="B6" s="513" t="s">
        <v>345</v>
      </c>
      <c r="C6" s="514"/>
      <c r="D6" s="515" t="s">
        <v>346</v>
      </c>
      <c r="E6" s="516" t="s">
        <v>309</v>
      </c>
      <c r="F6" s="517" t="s">
        <v>347</v>
      </c>
      <c r="G6" s="518" t="s">
        <v>348</v>
      </c>
      <c r="H6" s="515" t="s">
        <v>349</v>
      </c>
    </row>
    <row r="7" s="491" customFormat="1" ht="24.75" customHeight="1" spans="1:8">
      <c r="A7" s="496"/>
      <c r="B7" s="519" t="s">
        <v>350</v>
      </c>
      <c r="C7" s="520"/>
      <c r="D7" s="521" t="s">
        <v>344</v>
      </c>
      <c r="E7" s="522" t="s">
        <v>351</v>
      </c>
      <c r="F7" s="521" t="s">
        <v>352</v>
      </c>
      <c r="G7" s="523" t="s">
        <v>353</v>
      </c>
      <c r="H7" s="523" t="s">
        <v>354</v>
      </c>
    </row>
    <row r="8" s="491" customFormat="1" ht="30" customHeight="1" spans="1:8">
      <c r="A8" s="496"/>
      <c r="B8" s="669" t="s">
        <v>355</v>
      </c>
      <c r="C8" s="670"/>
      <c r="D8" s="526" t="s">
        <v>317</v>
      </c>
      <c r="E8" s="527">
        <v>29025</v>
      </c>
      <c r="F8" s="528" t="s">
        <v>356</v>
      </c>
      <c r="G8" s="529" t="s">
        <v>357</v>
      </c>
      <c r="H8" s="530" t="s">
        <v>358</v>
      </c>
    </row>
    <row r="9" s="491" customFormat="1" ht="30" customHeight="1" spans="1:8">
      <c r="A9" s="496"/>
      <c r="B9" s="671"/>
      <c r="C9" s="670"/>
      <c r="D9" s="529"/>
      <c r="E9" s="527"/>
      <c r="F9" s="532"/>
      <c r="G9" s="533"/>
      <c r="H9" s="534"/>
    </row>
    <row r="10" s="491" customFormat="1" ht="30" customHeight="1" spans="1:8">
      <c r="A10" s="496"/>
      <c r="B10" s="671"/>
      <c r="C10" s="670"/>
      <c r="D10" s="529"/>
      <c r="E10" s="527"/>
      <c r="F10" s="532"/>
      <c r="G10" s="533"/>
      <c r="H10" s="534"/>
    </row>
    <row r="11" s="491" customFormat="1" ht="30" customHeight="1" spans="1:8">
      <c r="A11" s="496"/>
      <c r="B11" s="671"/>
      <c r="C11" s="670"/>
      <c r="D11" s="529"/>
      <c r="E11" s="527"/>
      <c r="F11" s="532"/>
      <c r="G11" s="533"/>
      <c r="H11" s="534"/>
    </row>
    <row r="12" s="491" customFormat="1" ht="30" customHeight="1" spans="1:8">
      <c r="A12" s="496"/>
      <c r="B12" s="671"/>
      <c r="C12" s="670"/>
      <c r="D12" s="529"/>
      <c r="E12" s="527"/>
      <c r="F12" s="532"/>
      <c r="G12" s="533"/>
      <c r="H12" s="534"/>
    </row>
    <row r="13" s="491" customFormat="1" ht="30" customHeight="1" spans="1:8">
      <c r="A13" s="496"/>
      <c r="B13" s="671"/>
      <c r="C13" s="670"/>
      <c r="D13" s="529"/>
      <c r="E13" s="527"/>
      <c r="F13" s="532"/>
      <c r="G13" s="533"/>
      <c r="H13" s="534"/>
    </row>
    <row r="14" s="491" customFormat="1" ht="30" customHeight="1" spans="1:8">
      <c r="A14" s="496"/>
      <c r="B14" s="671"/>
      <c r="C14" s="670"/>
      <c r="D14" s="529"/>
      <c r="E14" s="527"/>
      <c r="F14" s="532"/>
      <c r="G14" s="533"/>
      <c r="H14" s="534"/>
    </row>
    <row r="15" s="491" customFormat="1" ht="30" customHeight="1" spans="1:8">
      <c r="A15" s="496"/>
      <c r="B15" s="671"/>
      <c r="C15" s="670"/>
      <c r="D15" s="529"/>
      <c r="E15" s="527"/>
      <c r="F15" s="532"/>
      <c r="G15" s="533"/>
      <c r="H15" s="534"/>
    </row>
    <row r="16" s="491" customFormat="1" ht="18" customHeight="1" spans="1:8">
      <c r="A16" s="496"/>
      <c r="B16" s="535"/>
      <c r="C16" s="535"/>
      <c r="D16" s="535"/>
      <c r="E16" s="536"/>
      <c r="F16" s="535"/>
      <c r="G16" s="537"/>
      <c r="H16" s="538"/>
    </row>
    <row r="17" s="492" customFormat="1" spans="1:8">
      <c r="A17" s="539"/>
      <c r="B17" s="540"/>
      <c r="C17" s="540"/>
      <c r="D17" s="540"/>
      <c r="E17" s="541"/>
      <c r="F17" s="542"/>
      <c r="G17" s="543" t="s">
        <v>359</v>
      </c>
      <c r="H17" s="544"/>
    </row>
    <row r="18" s="492" customFormat="1" customHeight="1" spans="1:8">
      <c r="A18" s="539"/>
      <c r="B18" s="545">
        <f>'Gen Inb'!P12</f>
        <v>0</v>
      </c>
      <c r="C18" s="545"/>
      <c r="D18" s="545"/>
      <c r="E18" s="545"/>
      <c r="F18" s="546"/>
      <c r="G18" s="672" t="s">
        <v>360</v>
      </c>
      <c r="H18" s="548"/>
    </row>
    <row r="19" s="492" customFormat="1" spans="1:8">
      <c r="A19" s="539"/>
      <c r="B19" s="549" t="s">
        <v>361</v>
      </c>
      <c r="C19" s="549"/>
      <c r="D19" s="549"/>
      <c r="E19" s="549"/>
      <c r="F19" s="550"/>
      <c r="G19" s="551" t="s">
        <v>362</v>
      </c>
      <c r="H19" s="552">
        <f>'Gen Inb'!X6</f>
        <v>46238</v>
      </c>
    </row>
    <row r="20" s="492" customFormat="1" spans="1:8">
      <c r="A20" s="539"/>
      <c r="B20" s="549"/>
      <c r="C20" s="549"/>
      <c r="D20" s="549"/>
      <c r="E20" s="549"/>
      <c r="G20" s="547" t="s">
        <v>363</v>
      </c>
      <c r="H20" s="133"/>
    </row>
  </sheetData>
  <mergeCells count="20">
    <mergeCell ref="B1:H1"/>
    <mergeCell ref="B2:H2"/>
    <mergeCell ref="B4:C4"/>
    <mergeCell ref="D4:F4"/>
    <mergeCell ref="B5:C5"/>
    <mergeCell ref="D5:F5"/>
    <mergeCell ref="B6:C6"/>
    <mergeCell ref="B7:C7"/>
    <mergeCell ref="B8:C8"/>
    <mergeCell ref="B9:C9"/>
    <mergeCell ref="B10:C10"/>
    <mergeCell ref="B11:C11"/>
    <mergeCell ref="B12:C12"/>
    <mergeCell ref="B13:C13"/>
    <mergeCell ref="B14:C14"/>
    <mergeCell ref="B15:C15"/>
    <mergeCell ref="B18:E18"/>
    <mergeCell ref="H17:H18"/>
    <mergeCell ref="H19:H20"/>
    <mergeCell ref="B19:E20"/>
  </mergeCells>
  <pageMargins left="0.707638888888889" right="0.707638888888889" top="0.747916666666667" bottom="0.747916666666667" header="0.313888888888889" footer="0.313888888888889"/>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C000"/>
    <pageSetUpPr fitToPage="1"/>
  </sheetPr>
  <dimension ref="A1:L56"/>
  <sheetViews>
    <sheetView view="pageBreakPreview" zoomScale="70" zoomScaleNormal="100" workbookViewId="0">
      <selection activeCell="C16" sqref="C16"/>
    </sheetView>
  </sheetViews>
  <sheetFormatPr defaultColWidth="9" defaultRowHeight="18.75"/>
  <cols>
    <col min="1" max="1" width="4" style="554" customWidth="1"/>
    <col min="2" max="2" width="4.375" style="554" customWidth="1"/>
    <col min="3" max="3" width="61.5" style="555" customWidth="1"/>
    <col min="4" max="4" width="3" style="555" customWidth="1"/>
    <col min="5" max="5" width="5" style="554" customWidth="1"/>
    <col min="6" max="6" width="12" style="554" customWidth="1"/>
    <col min="7" max="7" width="12.5" style="554" customWidth="1"/>
    <col min="8" max="9" width="15" style="554" customWidth="1"/>
    <col min="10" max="10" width="3.75" style="554" customWidth="1"/>
    <col min="11" max="11" width="18.125" style="555" customWidth="1"/>
    <col min="12" max="12" width="11" style="556" customWidth="1"/>
    <col min="13" max="16384" width="9" style="557"/>
  </cols>
  <sheetData>
    <row r="1" customHeight="1" spans="1:12">
      <c r="A1" s="558" t="s">
        <v>219</v>
      </c>
      <c r="B1" s="558"/>
      <c r="C1" s="558"/>
      <c r="D1" s="558"/>
      <c r="E1" s="558"/>
      <c r="F1" s="558"/>
      <c r="G1" s="558"/>
      <c r="H1" s="558"/>
      <c r="I1" s="558"/>
      <c r="J1" s="558"/>
      <c r="K1" s="558"/>
    </row>
    <row r="2" ht="13.5" spans="1:12">
      <c r="A2" s="559"/>
      <c r="B2" s="559"/>
      <c r="C2" s="559"/>
      <c r="D2" s="559"/>
      <c r="E2" s="559"/>
      <c r="F2" s="559"/>
      <c r="G2" s="559"/>
      <c r="H2" s="559"/>
      <c r="I2" s="559"/>
      <c r="J2" s="559"/>
      <c r="K2" s="560" t="s">
        <v>220</v>
      </c>
    </row>
    <row r="3" ht="12.75" customHeight="1" spans="1:12">
      <c r="A3" s="559"/>
      <c r="B3" s="559"/>
      <c r="C3" s="559"/>
      <c r="D3" s="559"/>
      <c r="E3" s="559"/>
      <c r="F3" s="559"/>
      <c r="G3" s="561"/>
      <c r="H3" s="561"/>
      <c r="I3" s="559"/>
      <c r="J3" s="559"/>
      <c r="K3" s="562" t="s">
        <v>221</v>
      </c>
    </row>
    <row r="4" ht="5.25" customHeight="1" spans="1:12">
      <c r="A4" s="559"/>
      <c r="B4" s="559"/>
      <c r="C4" s="563"/>
      <c r="D4" s="563"/>
      <c r="E4" s="559"/>
      <c r="F4" s="559"/>
      <c r="G4" s="561"/>
      <c r="H4" s="561"/>
      <c r="I4" s="559"/>
      <c r="J4" s="559"/>
    </row>
    <row r="5" ht="20.25" customHeight="1" spans="1:12">
      <c r="A5" s="559"/>
      <c r="B5" s="564" t="s">
        <v>222</v>
      </c>
      <c r="C5" s="565"/>
      <c r="D5" s="566" t="str">
        <f>'Gen Inb'!I7</f>
        <v>ERASMUS EFFORT</v>
      </c>
      <c r="E5" s="566"/>
      <c r="F5" s="567" t="str">
        <f>'Gen Inb'!M7</f>
        <v>Container</v>
      </c>
      <c r="G5" s="568" t="s">
        <v>223</v>
      </c>
      <c r="H5" s="568"/>
      <c r="I5" s="568"/>
      <c r="J5" s="564" t="s">
        <v>224</v>
      </c>
      <c r="K5" s="569"/>
      <c r="L5" s="570"/>
    </row>
    <row r="6" ht="20.25" customHeight="1" spans="1:12">
      <c r="A6" s="559"/>
      <c r="B6" s="571" t="s">
        <v>225</v>
      </c>
      <c r="C6" s="572"/>
      <c r="D6" s="573" t="str">
        <f>'Gen Inb'!I10</f>
        <v>IMO:1032452</v>
      </c>
      <c r="E6" s="573"/>
      <c r="F6" s="574"/>
      <c r="G6" s="575" t="str">
        <f>'Gen Inb'!S7</f>
        <v>NANSHA NEW PORT</v>
      </c>
      <c r="H6" s="575"/>
      <c r="I6" s="575"/>
      <c r="J6" s="576">
        <f>'Gen Outb'!X6</f>
        <v>44160</v>
      </c>
      <c r="K6" s="577"/>
      <c r="L6" s="578"/>
    </row>
    <row r="7" ht="20.25" customHeight="1" spans="1:12">
      <c r="A7" s="559"/>
      <c r="B7" s="579" t="s">
        <v>226</v>
      </c>
      <c r="C7" s="580"/>
      <c r="D7" s="581" t="str">
        <f>'Gen Inb'!R26</f>
        <v>3E8968</v>
      </c>
      <c r="E7" s="581"/>
      <c r="F7" s="582"/>
      <c r="G7" s="583"/>
      <c r="H7" s="583"/>
      <c r="I7" s="583"/>
      <c r="J7" s="584"/>
      <c r="K7" s="585"/>
      <c r="L7" s="586"/>
    </row>
    <row r="8" ht="12.75" customHeight="1" spans="1:12">
      <c r="A8" s="559"/>
      <c r="B8" s="587" t="s">
        <v>227</v>
      </c>
      <c r="C8" s="588"/>
      <c r="D8" s="588"/>
      <c r="E8" s="588"/>
      <c r="F8" s="589"/>
      <c r="G8" s="587" t="s">
        <v>228</v>
      </c>
      <c r="H8" s="588"/>
      <c r="I8" s="589"/>
      <c r="J8" s="564" t="s">
        <v>229</v>
      </c>
      <c r="K8" s="569"/>
      <c r="L8" s="590" t="s">
        <v>364</v>
      </c>
    </row>
    <row r="9" customHeight="1" spans="1:12">
      <c r="A9" s="559"/>
      <c r="B9" s="591" t="str">
        <f>'Gen Inb'!F9</f>
        <v>PANAMA</v>
      </c>
      <c r="C9" s="592"/>
      <c r="D9" s="592"/>
      <c r="E9" s="592"/>
      <c r="F9" s="593"/>
      <c r="G9" s="591" t="str">
        <f>'Gen Inb'!W9</f>
        <v>HO CHI MINH CITY</v>
      </c>
      <c r="H9" s="592"/>
      <c r="I9" s="593"/>
      <c r="J9" s="571"/>
      <c r="K9" s="594"/>
      <c r="L9" s="595"/>
    </row>
    <row r="10" ht="12.75" customHeight="1" spans="1:12">
      <c r="A10" s="559"/>
      <c r="B10" s="596" t="s">
        <v>230</v>
      </c>
      <c r="C10" s="564" t="s">
        <v>231</v>
      </c>
      <c r="D10" s="569"/>
      <c r="E10" s="569" t="s">
        <v>232</v>
      </c>
      <c r="F10" s="597" t="s">
        <v>233</v>
      </c>
      <c r="G10" s="598" t="s">
        <v>234</v>
      </c>
      <c r="H10" s="596" t="s">
        <v>235</v>
      </c>
      <c r="I10" s="599"/>
      <c r="J10" s="579"/>
      <c r="K10" s="600"/>
      <c r="L10" s="595"/>
    </row>
    <row r="11" ht="45" customHeight="1" spans="1:12">
      <c r="A11" s="601" t="s">
        <v>236</v>
      </c>
      <c r="B11" s="602">
        <v>1</v>
      </c>
      <c r="C11" s="603" t="s">
        <v>365</v>
      </c>
      <c r="D11" s="604"/>
      <c r="E11" s="605" t="s">
        <v>238</v>
      </c>
      <c r="F11" s="606" t="s">
        <v>239</v>
      </c>
      <c r="G11" s="607" t="s">
        <v>240</v>
      </c>
      <c r="H11" s="608">
        <v>29228</v>
      </c>
      <c r="I11" s="609" t="s">
        <v>240</v>
      </c>
      <c r="J11" s="610" t="s">
        <v>218</v>
      </c>
      <c r="K11" s="1243" t="s">
        <v>241</v>
      </c>
      <c r="L11" s="612"/>
    </row>
    <row r="12" ht="45" customHeight="1" spans="1:12">
      <c r="A12" s="601"/>
      <c r="B12" s="602">
        <v>2</v>
      </c>
      <c r="C12" s="613" t="s">
        <v>366</v>
      </c>
      <c r="D12" s="604"/>
      <c r="E12" s="605" t="s">
        <v>238</v>
      </c>
      <c r="F12" s="614" t="s">
        <v>244</v>
      </c>
      <c r="G12" s="607" t="s">
        <v>245</v>
      </c>
      <c r="H12" s="615">
        <v>24515</v>
      </c>
      <c r="I12" s="609" t="s">
        <v>245</v>
      </c>
      <c r="J12" s="610" t="s">
        <v>218</v>
      </c>
      <c r="K12" s="616" t="s">
        <v>367</v>
      </c>
      <c r="L12" s="612"/>
    </row>
    <row r="13" ht="45" customHeight="1" spans="1:12">
      <c r="A13" s="601"/>
      <c r="B13" s="602">
        <v>3</v>
      </c>
      <c r="C13" s="613" t="s">
        <v>368</v>
      </c>
      <c r="D13" s="604"/>
      <c r="E13" s="605" t="s">
        <v>238</v>
      </c>
      <c r="F13" s="614" t="s">
        <v>248</v>
      </c>
      <c r="G13" s="607" t="s">
        <v>249</v>
      </c>
      <c r="H13" s="615">
        <v>29167</v>
      </c>
      <c r="I13" s="609" t="s">
        <v>249</v>
      </c>
      <c r="J13" s="610" t="s">
        <v>218</v>
      </c>
      <c r="K13" s="616" t="s">
        <v>250</v>
      </c>
      <c r="L13" s="612"/>
    </row>
    <row r="14" ht="45" customHeight="1" spans="1:12">
      <c r="A14" s="601"/>
      <c r="B14" s="602">
        <v>4</v>
      </c>
      <c r="C14" s="613" t="s">
        <v>251</v>
      </c>
      <c r="D14" s="604"/>
      <c r="E14" s="605" t="s">
        <v>238</v>
      </c>
      <c r="F14" s="614" t="s">
        <v>252</v>
      </c>
      <c r="G14" s="607" t="s">
        <v>249</v>
      </c>
      <c r="H14" s="615">
        <v>34095</v>
      </c>
      <c r="I14" s="609" t="s">
        <v>249</v>
      </c>
      <c r="J14" s="610" t="s">
        <v>218</v>
      </c>
      <c r="K14" s="617" t="s">
        <v>253</v>
      </c>
      <c r="L14" s="612"/>
    </row>
    <row r="15" ht="45" customHeight="1" spans="1:12">
      <c r="A15" s="601"/>
      <c r="B15" s="602">
        <v>5</v>
      </c>
      <c r="C15" s="613" t="s">
        <v>369</v>
      </c>
      <c r="D15" s="604"/>
      <c r="E15" s="605" t="s">
        <v>238</v>
      </c>
      <c r="F15" s="614" t="s">
        <v>255</v>
      </c>
      <c r="G15" s="607" t="s">
        <v>245</v>
      </c>
      <c r="H15" s="615">
        <v>27961</v>
      </c>
      <c r="I15" s="618" t="s">
        <v>245</v>
      </c>
      <c r="J15" s="610" t="s">
        <v>218</v>
      </c>
      <c r="K15" s="616" t="s">
        <v>370</v>
      </c>
      <c r="L15" s="612"/>
    </row>
    <row r="16" ht="45" customHeight="1" spans="1:12">
      <c r="A16" s="601"/>
      <c r="B16" s="602">
        <v>6</v>
      </c>
      <c r="C16" s="613" t="s">
        <v>257</v>
      </c>
      <c r="D16" s="604"/>
      <c r="E16" s="605" t="s">
        <v>238</v>
      </c>
      <c r="F16" s="619" t="s">
        <v>258</v>
      </c>
      <c r="G16" s="607" t="s">
        <v>245</v>
      </c>
      <c r="H16" s="615">
        <v>24595</v>
      </c>
      <c r="I16" s="609" t="s">
        <v>245</v>
      </c>
      <c r="J16" s="610" t="s">
        <v>218</v>
      </c>
      <c r="K16" s="1245" t="s">
        <v>371</v>
      </c>
      <c r="L16" s="612"/>
    </row>
    <row r="17" ht="45" customHeight="1" spans="1:12">
      <c r="A17" s="601"/>
      <c r="B17" s="602">
        <v>7</v>
      </c>
      <c r="C17" s="613" t="s">
        <v>260</v>
      </c>
      <c r="D17" s="604"/>
      <c r="E17" s="605" t="s">
        <v>238</v>
      </c>
      <c r="F17" s="614" t="s">
        <v>261</v>
      </c>
      <c r="G17" s="607" t="s">
        <v>249</v>
      </c>
      <c r="H17" s="615">
        <v>34157</v>
      </c>
      <c r="I17" s="609" t="s">
        <v>249</v>
      </c>
      <c r="J17" s="610" t="s">
        <v>218</v>
      </c>
      <c r="K17" s="616" t="s">
        <v>262</v>
      </c>
      <c r="L17" s="612"/>
    </row>
    <row r="18" ht="45" customHeight="1" spans="1:12">
      <c r="A18" s="601"/>
      <c r="B18" s="602">
        <v>8</v>
      </c>
      <c r="C18" s="613" t="s">
        <v>263</v>
      </c>
      <c r="D18" s="604"/>
      <c r="E18" s="605" t="s">
        <v>238</v>
      </c>
      <c r="F18" s="614" t="s">
        <v>264</v>
      </c>
      <c r="G18" s="607" t="s">
        <v>249</v>
      </c>
      <c r="H18" s="615">
        <v>32956</v>
      </c>
      <c r="I18" s="609" t="s">
        <v>249</v>
      </c>
      <c r="J18" s="610" t="s">
        <v>218</v>
      </c>
      <c r="K18" s="616" t="s">
        <v>265</v>
      </c>
      <c r="L18" s="612"/>
    </row>
    <row r="19" ht="45" customHeight="1" spans="1:12">
      <c r="A19" s="601"/>
      <c r="B19" s="602">
        <v>9</v>
      </c>
      <c r="C19" s="613" t="s">
        <v>266</v>
      </c>
      <c r="D19" s="604"/>
      <c r="E19" s="605" t="s">
        <v>238</v>
      </c>
      <c r="F19" s="619" t="s">
        <v>267</v>
      </c>
      <c r="G19" s="607" t="s">
        <v>249</v>
      </c>
      <c r="H19" s="615">
        <v>25430</v>
      </c>
      <c r="I19" s="609" t="s">
        <v>249</v>
      </c>
      <c r="J19" s="610" t="s">
        <v>218</v>
      </c>
      <c r="K19" s="616" t="s">
        <v>268</v>
      </c>
      <c r="L19" s="620"/>
    </row>
    <row r="20" ht="45" customHeight="1" spans="1:12">
      <c r="A20" s="601"/>
      <c r="B20" s="602">
        <v>10</v>
      </c>
      <c r="C20" s="613" t="s">
        <v>269</v>
      </c>
      <c r="D20" s="604"/>
      <c r="E20" s="605" t="s">
        <v>238</v>
      </c>
      <c r="F20" s="619" t="s">
        <v>270</v>
      </c>
      <c r="G20" s="607" t="s">
        <v>249</v>
      </c>
      <c r="H20" s="615">
        <v>29746</v>
      </c>
      <c r="I20" s="609" t="s">
        <v>249</v>
      </c>
      <c r="J20" s="610" t="s">
        <v>218</v>
      </c>
      <c r="K20" s="616" t="s">
        <v>271</v>
      </c>
      <c r="L20" s="612"/>
    </row>
    <row r="21" ht="45" customHeight="1" spans="1:12">
      <c r="A21" s="601"/>
      <c r="B21" s="602">
        <v>11</v>
      </c>
      <c r="C21" s="613" t="s">
        <v>272</v>
      </c>
      <c r="D21" s="604"/>
      <c r="E21" s="605" t="s">
        <v>238</v>
      </c>
      <c r="F21" s="619" t="s">
        <v>270</v>
      </c>
      <c r="G21" s="607" t="s">
        <v>249</v>
      </c>
      <c r="H21" s="615">
        <v>28234</v>
      </c>
      <c r="I21" s="609" t="s">
        <v>249</v>
      </c>
      <c r="J21" s="610" t="s">
        <v>218</v>
      </c>
      <c r="K21" s="616" t="s">
        <v>273</v>
      </c>
      <c r="L21" s="612"/>
    </row>
    <row r="22" ht="45" customHeight="1" spans="1:12">
      <c r="A22" s="601"/>
      <c r="B22" s="602">
        <v>12</v>
      </c>
      <c r="C22" s="613" t="s">
        <v>274</v>
      </c>
      <c r="D22" s="604"/>
      <c r="E22" s="605" t="s">
        <v>238</v>
      </c>
      <c r="F22" s="619" t="s">
        <v>270</v>
      </c>
      <c r="G22" s="607" t="s">
        <v>249</v>
      </c>
      <c r="H22" s="615">
        <v>30471</v>
      </c>
      <c r="I22" s="609" t="s">
        <v>249</v>
      </c>
      <c r="J22" s="610" t="s">
        <v>218</v>
      </c>
      <c r="K22" s="616" t="s">
        <v>275</v>
      </c>
      <c r="L22" s="612"/>
    </row>
    <row r="23" ht="45" customHeight="1" spans="1:12">
      <c r="A23" s="601"/>
      <c r="B23" s="602">
        <v>13</v>
      </c>
      <c r="C23" s="613" t="s">
        <v>276</v>
      </c>
      <c r="D23" s="604"/>
      <c r="E23" s="605" t="s">
        <v>238</v>
      </c>
      <c r="F23" s="619" t="s">
        <v>277</v>
      </c>
      <c r="G23" s="607" t="s">
        <v>249</v>
      </c>
      <c r="H23" s="615">
        <v>30822</v>
      </c>
      <c r="I23" s="609" t="s">
        <v>249</v>
      </c>
      <c r="J23" s="610" t="s">
        <v>218</v>
      </c>
      <c r="K23" s="616" t="s">
        <v>278</v>
      </c>
      <c r="L23" s="612"/>
    </row>
    <row r="24" ht="45" customHeight="1" spans="1:12">
      <c r="A24" s="601"/>
      <c r="B24" s="602">
        <v>14</v>
      </c>
      <c r="C24" s="613" t="s">
        <v>279</v>
      </c>
      <c r="D24" s="604"/>
      <c r="E24" s="605" t="s">
        <v>238</v>
      </c>
      <c r="F24" s="614" t="s">
        <v>277</v>
      </c>
      <c r="G24" s="607" t="s">
        <v>249</v>
      </c>
      <c r="H24" s="615">
        <v>33702</v>
      </c>
      <c r="I24" s="609" t="s">
        <v>249</v>
      </c>
      <c r="J24" s="610" t="s">
        <v>218</v>
      </c>
      <c r="K24" s="616" t="s">
        <v>280</v>
      </c>
      <c r="L24" s="612"/>
    </row>
    <row r="25" ht="45" customHeight="1" spans="1:12">
      <c r="A25" s="601"/>
      <c r="B25" s="602">
        <v>15</v>
      </c>
      <c r="C25" s="613" t="s">
        <v>281</v>
      </c>
      <c r="D25" s="604"/>
      <c r="E25" s="605" t="s">
        <v>238</v>
      </c>
      <c r="F25" s="614" t="s">
        <v>282</v>
      </c>
      <c r="G25" s="607" t="s">
        <v>249</v>
      </c>
      <c r="H25" s="615">
        <v>24553</v>
      </c>
      <c r="I25" s="609" t="s">
        <v>249</v>
      </c>
      <c r="J25" s="610" t="s">
        <v>218</v>
      </c>
      <c r="K25" s="616" t="s">
        <v>283</v>
      </c>
      <c r="L25" s="612"/>
    </row>
    <row r="26" ht="45" customHeight="1" spans="1:12">
      <c r="A26" s="601"/>
      <c r="B26" s="602">
        <v>16</v>
      </c>
      <c r="C26" s="613" t="s">
        <v>284</v>
      </c>
      <c r="D26" s="604"/>
      <c r="E26" s="605" t="s">
        <v>238</v>
      </c>
      <c r="F26" s="614" t="s">
        <v>285</v>
      </c>
      <c r="G26" s="607" t="s">
        <v>249</v>
      </c>
      <c r="H26" s="615">
        <v>28098</v>
      </c>
      <c r="I26" s="609" t="s">
        <v>249</v>
      </c>
      <c r="J26" s="610" t="s">
        <v>218</v>
      </c>
      <c r="K26" s="616" t="s">
        <v>286</v>
      </c>
      <c r="L26" s="612"/>
    </row>
    <row r="27" ht="45" customHeight="1" spans="1:12">
      <c r="A27" s="601"/>
      <c r="B27" s="602">
        <v>17</v>
      </c>
      <c r="C27" s="613" t="s">
        <v>287</v>
      </c>
      <c r="D27" s="604"/>
      <c r="E27" s="605" t="s">
        <v>238</v>
      </c>
      <c r="F27" s="614" t="s">
        <v>288</v>
      </c>
      <c r="G27" s="607" t="s">
        <v>249</v>
      </c>
      <c r="H27" s="615">
        <v>34260</v>
      </c>
      <c r="I27" s="609" t="s">
        <v>249</v>
      </c>
      <c r="J27" s="610" t="s">
        <v>218</v>
      </c>
      <c r="K27" s="616" t="s">
        <v>289</v>
      </c>
      <c r="L27" s="612"/>
    </row>
    <row r="28" ht="45" customHeight="1" spans="1:12">
      <c r="A28" s="601"/>
      <c r="B28" s="602">
        <v>18</v>
      </c>
      <c r="C28" s="613" t="s">
        <v>290</v>
      </c>
      <c r="D28" s="604"/>
      <c r="E28" s="605" t="s">
        <v>238</v>
      </c>
      <c r="F28" s="614" t="s">
        <v>288</v>
      </c>
      <c r="G28" s="607" t="s">
        <v>249</v>
      </c>
      <c r="H28" s="615">
        <v>34455</v>
      </c>
      <c r="I28" s="609" t="s">
        <v>249</v>
      </c>
      <c r="J28" s="610" t="s">
        <v>218</v>
      </c>
      <c r="K28" s="616" t="s">
        <v>291</v>
      </c>
      <c r="L28" s="612"/>
    </row>
    <row r="29" ht="45" customHeight="1" spans="1:12">
      <c r="A29" s="601"/>
      <c r="B29" s="602">
        <v>19</v>
      </c>
      <c r="C29" s="613" t="s">
        <v>292</v>
      </c>
      <c r="D29" s="604"/>
      <c r="E29" s="605" t="s">
        <v>238</v>
      </c>
      <c r="F29" s="614" t="s">
        <v>293</v>
      </c>
      <c r="G29" s="607" t="s">
        <v>249</v>
      </c>
      <c r="H29" s="615">
        <v>24484</v>
      </c>
      <c r="I29" s="609" t="s">
        <v>249</v>
      </c>
      <c r="J29" s="610" t="s">
        <v>218</v>
      </c>
      <c r="K29" s="616" t="s">
        <v>294</v>
      </c>
      <c r="L29" s="620"/>
    </row>
    <row r="30" ht="45" customHeight="1" spans="1:12">
      <c r="A30" s="601"/>
      <c r="B30" s="602">
        <v>20</v>
      </c>
      <c r="C30" s="613" t="s">
        <v>295</v>
      </c>
      <c r="D30" s="604"/>
      <c r="E30" s="605" t="s">
        <v>238</v>
      </c>
      <c r="F30" s="614" t="s">
        <v>296</v>
      </c>
      <c r="G30" s="607" t="s">
        <v>249</v>
      </c>
      <c r="H30" s="615">
        <v>31563</v>
      </c>
      <c r="I30" s="609" t="s">
        <v>249</v>
      </c>
      <c r="J30" s="610" t="s">
        <v>218</v>
      </c>
      <c r="K30" s="616" t="s">
        <v>297</v>
      </c>
      <c r="L30" s="612"/>
    </row>
    <row r="31" ht="22.5" hidden="1" customHeight="1" spans="1:12">
      <c r="A31" s="601"/>
      <c r="B31" s="621">
        <f>IF(C31&lt;&gt;"",COUNTA(C$11:C31),"")</f>
        <v>21</v>
      </c>
      <c r="C31" s="622" t="s">
        <v>372</v>
      </c>
      <c r="D31" s="623"/>
      <c r="E31" s="605" t="s">
        <v>373</v>
      </c>
      <c r="F31" s="614" t="s">
        <v>374</v>
      </c>
      <c r="G31" s="607" t="s">
        <v>375</v>
      </c>
      <c r="H31" s="615">
        <v>23573</v>
      </c>
      <c r="I31" s="609" t="s">
        <v>376</v>
      </c>
      <c r="J31" s="610" t="s">
        <v>218</v>
      </c>
      <c r="K31" s="616" t="s">
        <v>377</v>
      </c>
    </row>
    <row r="32" ht="22.5" hidden="1" customHeight="1" spans="1:12">
      <c r="A32" s="601"/>
      <c r="B32" s="621" t="str">
        <f>IF(C32&lt;&gt;"",COUNTA(C$11:C32),"")</f>
        <v/>
      </c>
      <c r="C32" s="624"/>
      <c r="D32" s="625"/>
      <c r="E32" s="626"/>
      <c r="F32" s="626"/>
      <c r="G32" s="627"/>
      <c r="H32" s="628"/>
      <c r="I32" s="629"/>
      <c r="J32" s="609" t="str">
        <f t="shared" ref="J32:J43" si="0">IF(C32="","","P")</f>
        <v/>
      </c>
      <c r="K32" s="630"/>
    </row>
    <row r="33" ht="22.5" hidden="1" customHeight="1" spans="1:11">
      <c r="A33" s="601"/>
      <c r="B33" s="621" t="str">
        <f>IF(C33&lt;&gt;"",COUNTA(C$11:C33),"")</f>
        <v/>
      </c>
      <c r="C33" s="624"/>
      <c r="D33" s="625"/>
      <c r="E33" s="626"/>
      <c r="F33" s="626"/>
      <c r="G33" s="627"/>
      <c r="H33" s="628"/>
      <c r="I33" s="629"/>
      <c r="J33" s="609" t="str">
        <f t="shared" si="0"/>
        <v/>
      </c>
      <c r="K33" s="630"/>
    </row>
    <row r="34" ht="22.5" hidden="1" customHeight="1" spans="1:11">
      <c r="A34" s="601"/>
      <c r="B34" s="621" t="str">
        <f>IF(C34&lt;&gt;"",COUNTA(C$11:C34),"")</f>
        <v/>
      </c>
      <c r="C34" s="624"/>
      <c r="D34" s="625"/>
      <c r="E34" s="626"/>
      <c r="F34" s="626"/>
      <c r="G34" s="627"/>
      <c r="H34" s="628"/>
      <c r="I34" s="629"/>
      <c r="J34" s="609" t="str">
        <f t="shared" si="0"/>
        <v/>
      </c>
      <c r="K34" s="630"/>
    </row>
    <row r="35" ht="22.5" hidden="1" customHeight="1" spans="1:11">
      <c r="A35" s="601"/>
      <c r="B35" s="621" t="str">
        <f>IF(C35&lt;&gt;"",COUNTA(C$11:C35),"")</f>
        <v/>
      </c>
      <c r="C35" s="624"/>
      <c r="D35" s="625"/>
      <c r="E35" s="626"/>
      <c r="F35" s="626"/>
      <c r="G35" s="627"/>
      <c r="H35" s="628"/>
      <c r="I35" s="629"/>
      <c r="J35" s="609" t="str">
        <f t="shared" si="0"/>
        <v/>
      </c>
      <c r="K35" s="630"/>
    </row>
    <row r="36" ht="22.5" hidden="1" customHeight="1" spans="1:11">
      <c r="A36" s="601"/>
      <c r="B36" s="621" t="str">
        <f>IF(C36&lt;&gt;"",COUNTA(C$11:C36),"")</f>
        <v/>
      </c>
      <c r="C36" s="624"/>
      <c r="D36" s="625"/>
      <c r="E36" s="626"/>
      <c r="F36" s="626"/>
      <c r="G36" s="627"/>
      <c r="H36" s="628"/>
      <c r="I36" s="629"/>
      <c r="J36" s="609" t="str">
        <f t="shared" si="0"/>
        <v/>
      </c>
      <c r="K36" s="630"/>
    </row>
    <row r="37" ht="22.5" hidden="1" customHeight="1" spans="1:11">
      <c r="A37" s="601"/>
      <c r="B37" s="621" t="str">
        <f>IF(C37&lt;&gt;"",COUNTA(C$11:C37),"")</f>
        <v/>
      </c>
      <c r="C37" s="624"/>
      <c r="D37" s="625"/>
      <c r="E37" s="626"/>
      <c r="F37" s="626"/>
      <c r="G37" s="627"/>
      <c r="H37" s="628"/>
      <c r="I37" s="629"/>
      <c r="J37" s="609" t="str">
        <f t="shared" si="0"/>
        <v/>
      </c>
      <c r="K37" s="630"/>
    </row>
    <row r="38" ht="22.5" hidden="1" customHeight="1" spans="1:11">
      <c r="A38" s="601"/>
      <c r="B38" s="621" t="str">
        <f>IF(C38&lt;&gt;"",COUNTA(C$11:C38),"")</f>
        <v/>
      </c>
      <c r="C38" s="624"/>
      <c r="D38" s="625"/>
      <c r="E38" s="626"/>
      <c r="F38" s="626"/>
      <c r="G38" s="627"/>
      <c r="H38" s="628"/>
      <c r="I38" s="629"/>
      <c r="J38" s="609" t="str">
        <f t="shared" si="0"/>
        <v/>
      </c>
      <c r="K38" s="630"/>
    </row>
    <row r="39" ht="22.5" hidden="1" customHeight="1" spans="1:11">
      <c r="A39" s="601"/>
      <c r="B39" s="621" t="str">
        <f>IF(C39&lt;&gt;"",COUNTA(C$11:C39),"")</f>
        <v/>
      </c>
      <c r="C39" s="624"/>
      <c r="D39" s="625"/>
      <c r="E39" s="626"/>
      <c r="F39" s="626"/>
      <c r="G39" s="627"/>
      <c r="H39" s="628"/>
      <c r="I39" s="629"/>
      <c r="J39" s="609" t="str">
        <f t="shared" si="0"/>
        <v/>
      </c>
      <c r="K39" s="630"/>
    </row>
    <row r="40" ht="22.5" hidden="1" customHeight="1" spans="1:11">
      <c r="A40" s="631"/>
      <c r="B40" s="621" t="str">
        <f>IF(C40&lt;&gt;"",COUNTA(C$11:C40),"")</f>
        <v/>
      </c>
      <c r="C40" s="624"/>
      <c r="D40" s="625"/>
      <c r="E40" s="626"/>
      <c r="F40" s="626"/>
      <c r="G40" s="627"/>
      <c r="H40" s="628"/>
      <c r="I40" s="629"/>
      <c r="J40" s="609" t="str">
        <f t="shared" si="0"/>
        <v/>
      </c>
      <c r="K40" s="630"/>
    </row>
    <row r="41" ht="22.5" hidden="1" customHeight="1" spans="1:11">
      <c r="A41" s="631"/>
      <c r="B41" s="621" t="str">
        <f>IF(C41&lt;&gt;"",COUNTA(C$11:C41),"")</f>
        <v/>
      </c>
      <c r="C41" s="624"/>
      <c r="D41" s="625"/>
      <c r="E41" s="626"/>
      <c r="F41" s="626"/>
      <c r="G41" s="627"/>
      <c r="H41" s="628"/>
      <c r="I41" s="629"/>
      <c r="J41" s="609" t="str">
        <f t="shared" si="0"/>
        <v/>
      </c>
      <c r="K41" s="630"/>
    </row>
    <row r="42" ht="22.5" hidden="1" customHeight="1" spans="1:11">
      <c r="A42" s="631"/>
      <c r="B42" s="621" t="str">
        <f>IF(C42&lt;&gt;"",COUNTA(C$11:C42),"")</f>
        <v/>
      </c>
      <c r="C42" s="624"/>
      <c r="D42" s="625"/>
      <c r="E42" s="626"/>
      <c r="F42" s="626"/>
      <c r="G42" s="627"/>
      <c r="H42" s="628"/>
      <c r="I42" s="629"/>
      <c r="J42" s="609" t="str">
        <f t="shared" si="0"/>
        <v/>
      </c>
      <c r="K42" s="630"/>
    </row>
    <row r="43" ht="22.5" hidden="1" customHeight="1" spans="1:11">
      <c r="A43" s="631"/>
      <c r="B43" s="621" t="str">
        <f>IF(C43&lt;&gt;"",COUNTA(C$11:C43),"")</f>
        <v/>
      </c>
      <c r="C43" s="624"/>
      <c r="D43" s="625"/>
      <c r="E43" s="626"/>
      <c r="F43" s="626"/>
      <c r="G43" s="627"/>
      <c r="H43" s="628"/>
      <c r="I43" s="629"/>
      <c r="J43" s="609" t="str">
        <f t="shared" si="0"/>
        <v/>
      </c>
      <c r="K43" s="630"/>
    </row>
    <row r="44" ht="22.5" hidden="1" customHeight="1" spans="1:11">
      <c r="A44" s="631"/>
      <c r="B44" s="621" t="str">
        <f>IF(C44&lt;&gt;"",COUNTA(C$11:C44),"")</f>
        <v/>
      </c>
      <c r="C44" s="624"/>
      <c r="D44" s="625"/>
      <c r="E44" s="626"/>
      <c r="F44" s="626"/>
      <c r="G44" s="627"/>
      <c r="H44" s="628"/>
      <c r="I44" s="629"/>
      <c r="J44" s="609" t="str">
        <f t="shared" ref="J44:J45" si="1">IF(C44="","","P")</f>
        <v/>
      </c>
      <c r="K44" s="630"/>
    </row>
    <row r="45" ht="22.5" hidden="1" customHeight="1" spans="1:11">
      <c r="A45" s="632"/>
      <c r="B45" s="633" t="str">
        <f>IF(C45&lt;&gt;"",COUNTA(C$11:C45),"")</f>
        <v/>
      </c>
      <c r="C45" s="634"/>
      <c r="D45" s="635"/>
      <c r="E45" s="636"/>
      <c r="F45" s="636"/>
      <c r="G45" s="637"/>
      <c r="H45" s="638"/>
      <c r="I45" s="639"/>
      <c r="J45" s="640" t="str">
        <f t="shared" si="1"/>
        <v/>
      </c>
      <c r="K45" s="641"/>
    </row>
    <row r="46" spans="1:11">
      <c r="A46" s="642"/>
      <c r="B46" s="643" t="s">
        <v>298</v>
      </c>
      <c r="C46" s="644"/>
      <c r="D46" s="644"/>
      <c r="E46" s="644"/>
      <c r="F46" s="644"/>
      <c r="G46" s="644"/>
      <c r="H46" s="644"/>
      <c r="I46" s="644"/>
      <c r="J46" s="644"/>
      <c r="K46" s="645"/>
    </row>
    <row r="47" ht="22.5" customHeight="1" spans="1:11">
      <c r="A47" s="646"/>
      <c r="B47" s="647" t="s">
        <v>299</v>
      </c>
      <c r="C47" s="648"/>
      <c r="D47" s="649"/>
      <c r="E47" s="650"/>
      <c r="F47" s="651"/>
      <c r="G47" s="652"/>
      <c r="H47" s="653"/>
      <c r="I47" s="654" t="s">
        <v>300</v>
      </c>
      <c r="J47" s="654"/>
      <c r="K47" s="655"/>
    </row>
    <row r="48" ht="11.25" customHeight="1" spans="1:11">
      <c r="A48" s="646"/>
      <c r="B48" s="557"/>
      <c r="C48" s="656"/>
      <c r="D48" s="656"/>
      <c r="E48" s="557"/>
      <c r="F48" s="557"/>
      <c r="G48" s="557"/>
      <c r="H48" s="557"/>
      <c r="I48" s="557"/>
      <c r="J48" s="557"/>
      <c r="K48" s="656"/>
    </row>
    <row r="49" ht="11.25" customHeight="1" spans="1:11">
      <c r="B49" s="657" t="s">
        <v>301</v>
      </c>
      <c r="C49" s="658"/>
      <c r="D49" s="658"/>
      <c r="E49" s="659"/>
      <c r="F49" s="659"/>
      <c r="G49" s="659"/>
      <c r="H49" s="659"/>
      <c r="I49" s="659"/>
      <c r="J49" s="659"/>
      <c r="K49" s="658"/>
    </row>
    <row r="50" ht="11.25" customHeight="1" spans="1:11">
      <c r="B50" s="660" t="s">
        <v>302</v>
      </c>
      <c r="D50" s="661"/>
      <c r="E50" s="662"/>
      <c r="F50" s="662"/>
      <c r="G50" s="662"/>
      <c r="H50" s="662"/>
      <c r="I50" s="662"/>
      <c r="J50" s="662"/>
      <c r="K50" s="658"/>
    </row>
    <row r="51" ht="11.25" customHeight="1" spans="1:11">
      <c r="B51" s="657" t="s">
        <v>303</v>
      </c>
      <c r="C51" s="661"/>
      <c r="D51" s="661"/>
      <c r="E51" s="662"/>
      <c r="F51" s="663"/>
      <c r="G51" s="662"/>
      <c r="H51" s="662"/>
      <c r="I51" s="662"/>
      <c r="J51" s="662"/>
      <c r="K51" s="658"/>
    </row>
    <row r="52" ht="24.95" customHeight="1" spans="1:11">
      <c r="A52" s="557"/>
      <c r="B52" s="656" t="s">
        <v>378</v>
      </c>
      <c r="C52" s="656"/>
      <c r="D52" s="656" t="s">
        <v>379</v>
      </c>
      <c r="E52" s="656"/>
      <c r="F52" s="656"/>
      <c r="G52" s="656"/>
      <c r="H52" s="656" t="s">
        <v>380</v>
      </c>
      <c r="I52" s="656"/>
      <c r="J52" s="656"/>
      <c r="K52" s="656"/>
    </row>
    <row r="53" spans="1:11">
      <c r="A53" s="664"/>
      <c r="B53" s="665" t="s">
        <v>381</v>
      </c>
      <c r="D53" s="656" t="s">
        <v>382</v>
      </c>
      <c r="E53" s="656"/>
      <c r="F53" s="656"/>
      <c r="G53" s="656"/>
      <c r="H53" s="656" t="s">
        <v>383</v>
      </c>
      <c r="I53" s="656"/>
      <c r="J53" s="656"/>
      <c r="K53" s="656"/>
    </row>
    <row r="54" spans="1:11">
      <c r="A54" s="666"/>
      <c r="B54" s="666"/>
      <c r="F54" s="557"/>
      <c r="G54" s="557"/>
      <c r="H54" s="557"/>
      <c r="I54" s="557"/>
      <c r="J54" s="557"/>
      <c r="K54" s="656"/>
    </row>
    <row r="55" spans="1:11">
      <c r="A55" s="666"/>
      <c r="B55" s="666"/>
      <c r="F55" s="557"/>
      <c r="G55" s="557"/>
      <c r="H55" s="557"/>
      <c r="I55" s="557"/>
      <c r="J55" s="557"/>
      <c r="K55" s="656"/>
    </row>
    <row r="56" spans="1:11">
      <c r="A56" s="557"/>
      <c r="B56" s="557"/>
      <c r="C56" s="656"/>
      <c r="D56" s="656"/>
      <c r="E56" s="557"/>
      <c r="F56" s="557"/>
      <c r="G56" s="557"/>
      <c r="H56" s="557"/>
      <c r="I56" s="557"/>
      <c r="J56" s="557"/>
      <c r="K56" s="656"/>
    </row>
  </sheetData>
  <mergeCells count="27">
    <mergeCell ref="A1:K1"/>
    <mergeCell ref="A2:I2"/>
    <mergeCell ref="A3:F3"/>
    <mergeCell ref="B5:C5"/>
    <mergeCell ref="D5:E5"/>
    <mergeCell ref="G5:I5"/>
    <mergeCell ref="J5:K5"/>
    <mergeCell ref="B6:C6"/>
    <mergeCell ref="D6:F6"/>
    <mergeCell ref="B7:C7"/>
    <mergeCell ref="D7:F7"/>
    <mergeCell ref="B8:F8"/>
    <mergeCell ref="G8:I8"/>
    <mergeCell ref="B9:F9"/>
    <mergeCell ref="G9:I9"/>
    <mergeCell ref="C10:D10"/>
    <mergeCell ref="H10:I10"/>
    <mergeCell ref="B46:I46"/>
    <mergeCell ref="B47:C47"/>
    <mergeCell ref="A5:A7"/>
    <mergeCell ref="A8:A9"/>
    <mergeCell ref="A11:A39"/>
    <mergeCell ref="L5:L7"/>
    <mergeCell ref="L8:L10"/>
    <mergeCell ref="J8:K10"/>
    <mergeCell ref="G6:I7"/>
    <mergeCell ref="J6:K7"/>
  </mergeCells>
  <printOptions horizontalCentered="1"/>
  <pageMargins left="0.235416666666667" right="0.235416666666667" top="0.432638888888889" bottom="0.432638888888889" header="0.15625" footer="0.15625"/>
  <pageSetup paperSize="9" scale="65"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21505" name="Check Box 1" r:id="rId3">
              <controlPr defaultSize="0">
                <anchor moveWithCells="1">
                  <from>
                    <xdr:col>6</xdr:col>
                    <xdr:colOff>171450</xdr:colOff>
                    <xdr:row>1</xdr:row>
                    <xdr:rowOff>171450</xdr:rowOff>
                  </from>
                  <to>
                    <xdr:col>6</xdr:col>
                    <xdr:colOff>895350</xdr:colOff>
                    <xdr:row>3</xdr:row>
                    <xdr:rowOff>28575</xdr:rowOff>
                  </to>
                </anchor>
              </controlPr>
            </control>
          </mc:Choice>
        </mc:AlternateContent>
        <mc:AlternateContent xmlns:mc="http://schemas.openxmlformats.org/markup-compatibility/2006">
          <mc:Choice Requires="x14">
            <control shapeId="21506" name="Check Box 2" r:id="rId4">
              <controlPr defaultSize="0">
                <anchor moveWithCells="1">
                  <from>
                    <xdr:col>7</xdr:col>
                    <xdr:colOff>57150</xdr:colOff>
                    <xdr:row>1</xdr:row>
                    <xdr:rowOff>171450</xdr:rowOff>
                  </from>
                  <to>
                    <xdr:col>7</xdr:col>
                    <xdr:colOff>923925</xdr:colOff>
                    <xdr:row>3</xdr:row>
                    <xdr:rowOff>28575</xdr:rowOff>
                  </to>
                </anchor>
              </controlPr>
            </control>
          </mc:Choice>
        </mc:AlternateContent>
        <mc:AlternateContent xmlns:mc="http://schemas.openxmlformats.org/markup-compatibility/2006">
          <mc:Choice Requires="x14">
            <control shapeId="21507" name="Check Box 3" r:id="rId5">
              <controlPr defaultSize="0">
                <anchor moveWithCells="1">
                  <from>
                    <xdr:col>6</xdr:col>
                    <xdr:colOff>171450</xdr:colOff>
                    <xdr:row>1</xdr:row>
                    <xdr:rowOff>171450</xdr:rowOff>
                  </from>
                  <to>
                    <xdr:col>6</xdr:col>
                    <xdr:colOff>895350</xdr:colOff>
                    <xdr:row>3</xdr:row>
                    <xdr:rowOff>28575</xdr:rowOff>
                  </to>
                </anchor>
              </controlPr>
            </control>
          </mc:Choice>
        </mc:AlternateContent>
        <mc:AlternateContent xmlns:mc="http://schemas.openxmlformats.org/markup-compatibility/2006">
          <mc:Choice Requires="x14">
            <control shapeId="21508" name="Check Box 4" r:id="rId6">
              <controlPr defaultSize="0">
                <anchor moveWithCells="1">
                  <from>
                    <xdr:col>7</xdr:col>
                    <xdr:colOff>57150</xdr:colOff>
                    <xdr:row>1</xdr:row>
                    <xdr:rowOff>171450</xdr:rowOff>
                  </from>
                  <to>
                    <xdr:col>7</xdr:col>
                    <xdr:colOff>923925</xdr:colOff>
                    <xdr:row>3</xdr:row>
                    <xdr:rowOff>28575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H20"/>
  <sheetViews>
    <sheetView workbookViewId="0">
      <selection activeCell="K11" sqref="K11"/>
    </sheetView>
  </sheetViews>
  <sheetFormatPr defaultColWidth="9" defaultRowHeight="18.75" outlineLevelCol="7"/>
  <cols>
    <col min="1" max="1" width="6.125" style="493" customWidth="1"/>
    <col min="2" max="2" width="10.5" style="494" customWidth="1"/>
    <col min="3" max="3" width="16.5" style="494" customWidth="1"/>
    <col min="4" max="4" width="11.5" style="494" customWidth="1"/>
    <col min="5" max="5" width="11.25" style="495" customWidth="1"/>
    <col min="6" max="6" width="8.625" style="494" customWidth="1"/>
    <col min="7" max="7" width="12.25" style="494" customWidth="1"/>
    <col min="8" max="8" width="13.375" style="494" customWidth="1"/>
    <col min="9" max="16384" width="9" style="494"/>
  </cols>
  <sheetData>
    <row r="1" s="491" customFormat="1" ht="33.75" customHeight="1" spans="1:8">
      <c r="A1" s="496"/>
      <c r="B1" s="497" t="s">
        <v>339</v>
      </c>
      <c r="C1" s="497"/>
      <c r="D1" s="497"/>
      <c r="E1" s="497"/>
      <c r="F1" s="497"/>
      <c r="G1" s="497"/>
      <c r="H1" s="497"/>
    </row>
    <row r="2" s="491" customFormat="1" ht="33.75" customHeight="1" spans="1:8">
      <c r="A2" s="496"/>
      <c r="B2" s="498" t="s">
        <v>340</v>
      </c>
      <c r="C2" s="498"/>
      <c r="D2" s="498"/>
      <c r="E2" s="498"/>
      <c r="F2" s="498"/>
      <c r="G2" s="498"/>
      <c r="H2" s="498"/>
    </row>
    <row r="3" s="491" customFormat="1" spans="1:8">
      <c r="A3" s="496"/>
      <c r="B3" s="499"/>
      <c r="C3" s="499"/>
      <c r="D3" s="499"/>
      <c r="E3" s="500"/>
      <c r="F3" s="499"/>
      <c r="G3" s="499"/>
      <c r="H3" s="499"/>
    </row>
    <row r="4" s="491" customFormat="1" customHeight="1" spans="1:8">
      <c r="A4" s="496"/>
      <c r="B4" s="501" t="s">
        <v>341</v>
      </c>
      <c r="C4" s="502"/>
      <c r="D4" s="503" t="str">
        <f>'Gen Inb'!I6</f>
        <v>马士基奋进</v>
      </c>
      <c r="E4" s="504"/>
      <c r="F4" s="505"/>
      <c r="G4" s="502" t="s">
        <v>342</v>
      </c>
      <c r="H4" s="506" t="str">
        <f>'Gen Inb'!F8</f>
        <v>巴拿马</v>
      </c>
    </row>
    <row r="5" s="491" customFormat="1" customHeight="1" spans="1:8">
      <c r="A5" s="496"/>
      <c r="B5" s="507" t="s">
        <v>343</v>
      </c>
      <c r="C5" s="508"/>
      <c r="D5" s="509" t="str">
        <f>'Gen Inb'!I7</f>
        <v>ERASMUS EFFORT</v>
      </c>
      <c r="E5" s="510"/>
      <c r="F5" s="511"/>
      <c r="G5" s="508" t="s">
        <v>344</v>
      </c>
      <c r="H5" s="512" t="str">
        <f>'Gen Inb'!F9</f>
        <v>PANAMA</v>
      </c>
    </row>
    <row r="6" s="491" customFormat="1" ht="36.75" customHeight="1" spans="1:8">
      <c r="A6" s="496"/>
      <c r="B6" s="513" t="s">
        <v>345</v>
      </c>
      <c r="C6" s="514"/>
      <c r="D6" s="515" t="s">
        <v>346</v>
      </c>
      <c r="E6" s="516" t="s">
        <v>309</v>
      </c>
      <c r="F6" s="517" t="s">
        <v>347</v>
      </c>
      <c r="G6" s="518" t="s">
        <v>348</v>
      </c>
      <c r="H6" s="515" t="s">
        <v>349</v>
      </c>
    </row>
    <row r="7" s="491" customFormat="1" ht="24.75" customHeight="1" spans="1:8">
      <c r="A7" s="496"/>
      <c r="B7" s="519" t="s">
        <v>350</v>
      </c>
      <c r="C7" s="520"/>
      <c r="D7" s="521" t="s">
        <v>344</v>
      </c>
      <c r="E7" s="522" t="s">
        <v>351</v>
      </c>
      <c r="F7" s="521" t="s">
        <v>352</v>
      </c>
      <c r="G7" s="523" t="s">
        <v>353</v>
      </c>
      <c r="H7" s="523" t="s">
        <v>354</v>
      </c>
    </row>
    <row r="8" s="491" customFormat="1" ht="30" customHeight="1" spans="1:8">
      <c r="A8" s="496"/>
      <c r="B8" s="524"/>
      <c r="C8" s="525"/>
      <c r="D8" s="526"/>
      <c r="E8" s="527"/>
      <c r="F8" s="528"/>
      <c r="G8" s="529"/>
      <c r="H8" s="530"/>
    </row>
    <row r="9" s="491" customFormat="1" ht="30" customHeight="1" spans="1:8">
      <c r="A9" s="496"/>
      <c r="B9" s="531"/>
      <c r="C9" s="525"/>
      <c r="D9" s="529"/>
      <c r="E9" s="527"/>
      <c r="F9" s="532"/>
      <c r="G9" s="533"/>
      <c r="H9" s="534"/>
    </row>
    <row r="10" s="491" customFormat="1" ht="30" customHeight="1" spans="1:8">
      <c r="A10" s="496"/>
      <c r="B10" s="531"/>
      <c r="C10" s="525"/>
      <c r="D10" s="529"/>
      <c r="E10" s="527"/>
      <c r="F10" s="532"/>
      <c r="G10" s="533"/>
      <c r="H10" s="534"/>
    </row>
    <row r="11" s="491" customFormat="1" ht="30" customHeight="1" spans="1:8">
      <c r="A11" s="496"/>
      <c r="B11" s="531"/>
      <c r="C11" s="525"/>
      <c r="D11" s="529"/>
      <c r="E11" s="527"/>
      <c r="F11" s="532"/>
      <c r="G11" s="533"/>
      <c r="H11" s="534"/>
    </row>
    <row r="12" s="491" customFormat="1" ht="30" customHeight="1" spans="1:8">
      <c r="A12" s="496"/>
      <c r="B12" s="531"/>
      <c r="C12" s="525"/>
      <c r="D12" s="529"/>
      <c r="E12" s="527"/>
      <c r="F12" s="532"/>
      <c r="G12" s="533"/>
      <c r="H12" s="534"/>
    </row>
    <row r="13" s="491" customFormat="1" ht="30" customHeight="1" spans="1:8">
      <c r="A13" s="496"/>
      <c r="B13" s="531"/>
      <c r="C13" s="525"/>
      <c r="D13" s="529"/>
      <c r="E13" s="527"/>
      <c r="F13" s="532"/>
      <c r="G13" s="533"/>
      <c r="H13" s="534"/>
    </row>
    <row r="14" s="491" customFormat="1" ht="30" customHeight="1" spans="1:8">
      <c r="A14" s="496"/>
      <c r="B14" s="531"/>
      <c r="C14" s="525"/>
      <c r="D14" s="529"/>
      <c r="E14" s="527"/>
      <c r="F14" s="532"/>
      <c r="G14" s="533"/>
      <c r="H14" s="534"/>
    </row>
    <row r="15" s="491" customFormat="1" ht="30" customHeight="1" spans="1:8">
      <c r="A15" s="496"/>
      <c r="B15" s="531"/>
      <c r="C15" s="525"/>
      <c r="D15" s="529"/>
      <c r="E15" s="527"/>
      <c r="F15" s="532"/>
      <c r="G15" s="533"/>
      <c r="H15" s="534"/>
    </row>
    <row r="16" s="491" customFormat="1" ht="18" customHeight="1" spans="1:8">
      <c r="A16" s="496"/>
      <c r="B16" s="535"/>
      <c r="C16" s="535"/>
      <c r="D16" s="535"/>
      <c r="E16" s="536"/>
      <c r="F16" s="535"/>
      <c r="G16" s="537"/>
      <c r="H16" s="538"/>
    </row>
    <row r="17" s="492" customFormat="1" spans="1:8">
      <c r="A17" s="539"/>
      <c r="B17" s="540"/>
      <c r="C17" s="540"/>
      <c r="D17" s="540"/>
      <c r="E17" s="541"/>
      <c r="F17" s="542"/>
      <c r="G17" s="543" t="s">
        <v>359</v>
      </c>
      <c r="H17" s="544"/>
    </row>
    <row r="18" s="492" customFormat="1" customHeight="1" spans="1:8">
      <c r="A18" s="539"/>
      <c r="B18" s="545">
        <f>'Gen Inb'!P12</f>
        <v>0</v>
      </c>
      <c r="C18" s="545"/>
      <c r="D18" s="545"/>
      <c r="E18" s="545"/>
      <c r="F18" s="546"/>
      <c r="G18" s="547" t="s">
        <v>360</v>
      </c>
      <c r="H18" s="548"/>
    </row>
    <row r="19" s="492" customFormat="1" spans="1:8">
      <c r="A19" s="539"/>
      <c r="B19" s="549" t="s">
        <v>361</v>
      </c>
      <c r="C19" s="549"/>
      <c r="D19" s="549"/>
      <c r="E19" s="549"/>
      <c r="F19" s="550"/>
      <c r="G19" s="551" t="s">
        <v>362</v>
      </c>
      <c r="H19" s="552">
        <f>'Gen Outb'!X6</f>
        <v>44160</v>
      </c>
    </row>
    <row r="20" s="492" customFormat="1" spans="1:8">
      <c r="A20" s="539"/>
      <c r="B20" s="549"/>
      <c r="C20" s="549"/>
      <c r="D20" s="549"/>
      <c r="E20" s="549"/>
      <c r="G20" s="547" t="s">
        <v>363</v>
      </c>
      <c r="H20" s="553"/>
    </row>
  </sheetData>
  <mergeCells count="20">
    <mergeCell ref="B1:H1"/>
    <mergeCell ref="B2:H2"/>
    <mergeCell ref="B4:C4"/>
    <mergeCell ref="D4:F4"/>
    <mergeCell ref="B5:C5"/>
    <mergeCell ref="D5:F5"/>
    <mergeCell ref="B6:C6"/>
    <mergeCell ref="B7:C7"/>
    <mergeCell ref="B8:C8"/>
    <mergeCell ref="B9:C9"/>
    <mergeCell ref="B10:C10"/>
    <mergeCell ref="B11:C11"/>
    <mergeCell ref="B12:C12"/>
    <mergeCell ref="B13:C13"/>
    <mergeCell ref="B14:C14"/>
    <mergeCell ref="B15:C15"/>
    <mergeCell ref="B18:E18"/>
    <mergeCell ref="H17:H18"/>
    <mergeCell ref="H19:H20"/>
    <mergeCell ref="B19:E20"/>
  </mergeCells>
  <pageMargins left="0.707638888888889" right="0.707638888888889" top="0.747916666666667" bottom="0.747916666666667" header="0.313888888888889" footer="0.313888888888889"/>
  <pageSetup paperSize="9" orientation="portrait"/>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N17"/>
  <sheetViews>
    <sheetView workbookViewId="0">
      <selection activeCell="R7" sqref="R7"/>
    </sheetView>
  </sheetViews>
  <sheetFormatPr defaultColWidth="9" defaultRowHeight="13.5"/>
  <cols>
    <col min="1" max="1" width="5.875" style="31" customWidth="1"/>
    <col min="2" max="2" width="12.5" style="31" customWidth="1"/>
    <col min="3" max="3" width="6.625" style="31" customWidth="1"/>
    <col min="4" max="5" width="3.25" style="31" customWidth="1"/>
    <col min="6" max="6" width="5.125" style="31" customWidth="1"/>
    <col min="7" max="7" width="1.25" style="31" customWidth="1"/>
    <col min="8" max="8" width="2.125" style="31" customWidth="1"/>
    <col min="9" max="9" width="7.25" style="31" customWidth="1"/>
    <col min="10" max="10" width="1.375" style="31" customWidth="1"/>
    <col min="11" max="11" width="4.875" style="31" customWidth="1"/>
    <col min="12" max="12" width="7.25" style="31" customWidth="1"/>
    <col min="13" max="13" width="9" style="31"/>
    <col min="14" max="14" width="9.125" style="31" customWidth="1"/>
    <col min="15" max="256" width="9" style="31"/>
    <col min="257" max="257" width="5.875" style="31" customWidth="1"/>
    <col min="258" max="258" width="10.625" style="31" customWidth="1"/>
    <col min="259" max="259" width="6.625" style="31" customWidth="1"/>
    <col min="260" max="261" width="3.25" style="31" customWidth="1"/>
    <col min="262" max="262" width="5.125" style="31" customWidth="1"/>
    <col min="263" max="263" width="1.25" style="31" customWidth="1"/>
    <col min="264" max="264" width="2.125" style="31" customWidth="1"/>
    <col min="265" max="265" width="9.125" style="31" customWidth="1"/>
    <col min="266" max="266" width="1.375" style="31" customWidth="1"/>
    <col min="267" max="267" width="4.875" style="31" customWidth="1"/>
    <col min="268" max="268" width="7.25" style="31" customWidth="1"/>
    <col min="269" max="269" width="9" style="31"/>
    <col min="270" max="270" width="9.125" style="31" customWidth="1"/>
    <col min="271" max="512" width="9" style="31"/>
    <col min="513" max="513" width="5.875" style="31" customWidth="1"/>
    <col min="514" max="514" width="10.625" style="31" customWidth="1"/>
    <col min="515" max="515" width="6.625" style="31" customWidth="1"/>
    <col min="516" max="517" width="3.25" style="31" customWidth="1"/>
    <col min="518" max="518" width="5.125" style="31" customWidth="1"/>
    <col min="519" max="519" width="1.25" style="31" customWidth="1"/>
    <col min="520" max="520" width="2.125" style="31" customWidth="1"/>
    <col min="521" max="521" width="9.125" style="31" customWidth="1"/>
    <col min="522" max="522" width="1.375" style="31" customWidth="1"/>
    <col min="523" max="523" width="4.875" style="31" customWidth="1"/>
    <col min="524" max="524" width="7.25" style="31" customWidth="1"/>
    <col min="525" max="525" width="9" style="31"/>
    <col min="526" max="526" width="9.125" style="31" customWidth="1"/>
    <col min="527" max="768" width="9" style="31"/>
    <col min="769" max="769" width="5.875" style="31" customWidth="1"/>
    <col min="770" max="770" width="10.625" style="31" customWidth="1"/>
    <col min="771" max="771" width="6.625" style="31" customWidth="1"/>
    <col min="772" max="773" width="3.25" style="31" customWidth="1"/>
    <col min="774" max="774" width="5.125" style="31" customWidth="1"/>
    <col min="775" max="775" width="1.25" style="31" customWidth="1"/>
    <col min="776" max="776" width="2.125" style="31" customWidth="1"/>
    <col min="777" max="777" width="9.125" style="31" customWidth="1"/>
    <col min="778" max="778" width="1.375" style="31" customWidth="1"/>
    <col min="779" max="779" width="4.875" style="31" customWidth="1"/>
    <col min="780" max="780" width="7.25" style="31" customWidth="1"/>
    <col min="781" max="781" width="9" style="31"/>
    <col min="782" max="782" width="9.125" style="31" customWidth="1"/>
    <col min="783" max="1024" width="9" style="31"/>
    <col min="1025" max="1025" width="5.875" style="31" customWidth="1"/>
    <col min="1026" max="1026" width="10.625" style="31" customWidth="1"/>
    <col min="1027" max="1027" width="6.625" style="31" customWidth="1"/>
    <col min="1028" max="1029" width="3.25" style="31" customWidth="1"/>
    <col min="1030" max="1030" width="5.125" style="31" customWidth="1"/>
    <col min="1031" max="1031" width="1.25" style="31" customWidth="1"/>
    <col min="1032" max="1032" width="2.125" style="31" customWidth="1"/>
    <col min="1033" max="1033" width="9.125" style="31" customWidth="1"/>
    <col min="1034" max="1034" width="1.375" style="31" customWidth="1"/>
    <col min="1035" max="1035" width="4.875" style="31" customWidth="1"/>
    <col min="1036" max="1036" width="7.25" style="31" customWidth="1"/>
    <col min="1037" max="1037" width="9" style="31"/>
    <col min="1038" max="1038" width="9.125" style="31" customWidth="1"/>
    <col min="1039" max="1280" width="9" style="31"/>
    <col min="1281" max="1281" width="5.875" style="31" customWidth="1"/>
    <col min="1282" max="1282" width="10.625" style="31" customWidth="1"/>
    <col min="1283" max="1283" width="6.625" style="31" customWidth="1"/>
    <col min="1284" max="1285" width="3.25" style="31" customWidth="1"/>
    <col min="1286" max="1286" width="5.125" style="31" customWidth="1"/>
    <col min="1287" max="1287" width="1.25" style="31" customWidth="1"/>
    <col min="1288" max="1288" width="2.125" style="31" customWidth="1"/>
    <col min="1289" max="1289" width="9.125" style="31" customWidth="1"/>
    <col min="1290" max="1290" width="1.375" style="31" customWidth="1"/>
    <col min="1291" max="1291" width="4.875" style="31" customWidth="1"/>
    <col min="1292" max="1292" width="7.25" style="31" customWidth="1"/>
    <col min="1293" max="1293" width="9" style="31"/>
    <col min="1294" max="1294" width="9.125" style="31" customWidth="1"/>
    <col min="1295" max="1536" width="9" style="31"/>
    <col min="1537" max="1537" width="5.875" style="31" customWidth="1"/>
    <col min="1538" max="1538" width="10.625" style="31" customWidth="1"/>
    <col min="1539" max="1539" width="6.625" style="31" customWidth="1"/>
    <col min="1540" max="1541" width="3.25" style="31" customWidth="1"/>
    <col min="1542" max="1542" width="5.125" style="31" customWidth="1"/>
    <col min="1543" max="1543" width="1.25" style="31" customWidth="1"/>
    <col min="1544" max="1544" width="2.125" style="31" customWidth="1"/>
    <col min="1545" max="1545" width="9.125" style="31" customWidth="1"/>
    <col min="1546" max="1546" width="1.375" style="31" customWidth="1"/>
    <col min="1547" max="1547" width="4.875" style="31" customWidth="1"/>
    <col min="1548" max="1548" width="7.25" style="31" customWidth="1"/>
    <col min="1549" max="1549" width="9" style="31"/>
    <col min="1550" max="1550" width="9.125" style="31" customWidth="1"/>
    <col min="1551" max="1792" width="9" style="31"/>
    <col min="1793" max="1793" width="5.875" style="31" customWidth="1"/>
    <col min="1794" max="1794" width="10.625" style="31" customWidth="1"/>
    <col min="1795" max="1795" width="6.625" style="31" customWidth="1"/>
    <col min="1796" max="1797" width="3.25" style="31" customWidth="1"/>
    <col min="1798" max="1798" width="5.125" style="31" customWidth="1"/>
    <col min="1799" max="1799" width="1.25" style="31" customWidth="1"/>
    <col min="1800" max="1800" width="2.125" style="31" customWidth="1"/>
    <col min="1801" max="1801" width="9.125" style="31" customWidth="1"/>
    <col min="1802" max="1802" width="1.375" style="31" customWidth="1"/>
    <col min="1803" max="1803" width="4.875" style="31" customWidth="1"/>
    <col min="1804" max="1804" width="7.25" style="31" customWidth="1"/>
    <col min="1805" max="1805" width="9" style="31"/>
    <col min="1806" max="1806" width="9.125" style="31" customWidth="1"/>
    <col min="1807" max="2048" width="9" style="31"/>
    <col min="2049" max="2049" width="5.875" style="31" customWidth="1"/>
    <col min="2050" max="2050" width="10.625" style="31" customWidth="1"/>
    <col min="2051" max="2051" width="6.625" style="31" customWidth="1"/>
    <col min="2052" max="2053" width="3.25" style="31" customWidth="1"/>
    <col min="2054" max="2054" width="5.125" style="31" customWidth="1"/>
    <col min="2055" max="2055" width="1.25" style="31" customWidth="1"/>
    <col min="2056" max="2056" width="2.125" style="31" customWidth="1"/>
    <col min="2057" max="2057" width="9.125" style="31" customWidth="1"/>
    <col min="2058" max="2058" width="1.375" style="31" customWidth="1"/>
    <col min="2059" max="2059" width="4.875" style="31" customWidth="1"/>
    <col min="2060" max="2060" width="7.25" style="31" customWidth="1"/>
    <col min="2061" max="2061" width="9" style="31"/>
    <col min="2062" max="2062" width="9.125" style="31" customWidth="1"/>
    <col min="2063" max="2304" width="9" style="31"/>
    <col min="2305" max="2305" width="5.875" style="31" customWidth="1"/>
    <col min="2306" max="2306" width="10.625" style="31" customWidth="1"/>
    <col min="2307" max="2307" width="6.625" style="31" customWidth="1"/>
    <col min="2308" max="2309" width="3.25" style="31" customWidth="1"/>
    <col min="2310" max="2310" width="5.125" style="31" customWidth="1"/>
    <col min="2311" max="2311" width="1.25" style="31" customWidth="1"/>
    <col min="2312" max="2312" width="2.125" style="31" customWidth="1"/>
    <col min="2313" max="2313" width="9.125" style="31" customWidth="1"/>
    <col min="2314" max="2314" width="1.375" style="31" customWidth="1"/>
    <col min="2315" max="2315" width="4.875" style="31" customWidth="1"/>
    <col min="2316" max="2316" width="7.25" style="31" customWidth="1"/>
    <col min="2317" max="2317" width="9" style="31"/>
    <col min="2318" max="2318" width="9.125" style="31" customWidth="1"/>
    <col min="2319" max="2560" width="9" style="31"/>
    <col min="2561" max="2561" width="5.875" style="31" customWidth="1"/>
    <col min="2562" max="2562" width="10.625" style="31" customWidth="1"/>
    <col min="2563" max="2563" width="6.625" style="31" customWidth="1"/>
    <col min="2564" max="2565" width="3.25" style="31" customWidth="1"/>
    <col min="2566" max="2566" width="5.125" style="31" customWidth="1"/>
    <col min="2567" max="2567" width="1.25" style="31" customWidth="1"/>
    <col min="2568" max="2568" width="2.125" style="31" customWidth="1"/>
    <col min="2569" max="2569" width="9.125" style="31" customWidth="1"/>
    <col min="2570" max="2570" width="1.375" style="31" customWidth="1"/>
    <col min="2571" max="2571" width="4.875" style="31" customWidth="1"/>
    <col min="2572" max="2572" width="7.25" style="31" customWidth="1"/>
    <col min="2573" max="2573" width="9" style="31"/>
    <col min="2574" max="2574" width="9.125" style="31" customWidth="1"/>
    <col min="2575" max="2816" width="9" style="31"/>
    <col min="2817" max="2817" width="5.875" style="31" customWidth="1"/>
    <col min="2818" max="2818" width="10.625" style="31" customWidth="1"/>
    <col min="2819" max="2819" width="6.625" style="31" customWidth="1"/>
    <col min="2820" max="2821" width="3.25" style="31" customWidth="1"/>
    <col min="2822" max="2822" width="5.125" style="31" customWidth="1"/>
    <col min="2823" max="2823" width="1.25" style="31" customWidth="1"/>
    <col min="2824" max="2824" width="2.125" style="31" customWidth="1"/>
    <col min="2825" max="2825" width="9.125" style="31" customWidth="1"/>
    <col min="2826" max="2826" width="1.375" style="31" customWidth="1"/>
    <col min="2827" max="2827" width="4.875" style="31" customWidth="1"/>
    <col min="2828" max="2828" width="7.25" style="31" customWidth="1"/>
    <col min="2829" max="2829" width="9" style="31"/>
    <col min="2830" max="2830" width="9.125" style="31" customWidth="1"/>
    <col min="2831" max="3072" width="9" style="31"/>
    <col min="3073" max="3073" width="5.875" style="31" customWidth="1"/>
    <col min="3074" max="3074" width="10.625" style="31" customWidth="1"/>
    <col min="3075" max="3075" width="6.625" style="31" customWidth="1"/>
    <col min="3076" max="3077" width="3.25" style="31" customWidth="1"/>
    <col min="3078" max="3078" width="5.125" style="31" customWidth="1"/>
    <col min="3079" max="3079" width="1.25" style="31" customWidth="1"/>
    <col min="3080" max="3080" width="2.125" style="31" customWidth="1"/>
    <col min="3081" max="3081" width="9.125" style="31" customWidth="1"/>
    <col min="3082" max="3082" width="1.375" style="31" customWidth="1"/>
    <col min="3083" max="3083" width="4.875" style="31" customWidth="1"/>
    <col min="3084" max="3084" width="7.25" style="31" customWidth="1"/>
    <col min="3085" max="3085" width="9" style="31"/>
    <col min="3086" max="3086" width="9.125" style="31" customWidth="1"/>
    <col min="3087" max="3328" width="9" style="31"/>
    <col min="3329" max="3329" width="5.875" style="31" customWidth="1"/>
    <col min="3330" max="3330" width="10.625" style="31" customWidth="1"/>
    <col min="3331" max="3331" width="6.625" style="31" customWidth="1"/>
    <col min="3332" max="3333" width="3.25" style="31" customWidth="1"/>
    <col min="3334" max="3334" width="5.125" style="31" customWidth="1"/>
    <col min="3335" max="3335" width="1.25" style="31" customWidth="1"/>
    <col min="3336" max="3336" width="2.125" style="31" customWidth="1"/>
    <col min="3337" max="3337" width="9.125" style="31" customWidth="1"/>
    <col min="3338" max="3338" width="1.375" style="31" customWidth="1"/>
    <col min="3339" max="3339" width="4.875" style="31" customWidth="1"/>
    <col min="3340" max="3340" width="7.25" style="31" customWidth="1"/>
    <col min="3341" max="3341" width="9" style="31"/>
    <col min="3342" max="3342" width="9.125" style="31" customWidth="1"/>
    <col min="3343" max="3584" width="9" style="31"/>
    <col min="3585" max="3585" width="5.875" style="31" customWidth="1"/>
    <col min="3586" max="3586" width="10.625" style="31" customWidth="1"/>
    <col min="3587" max="3587" width="6.625" style="31" customWidth="1"/>
    <col min="3588" max="3589" width="3.25" style="31" customWidth="1"/>
    <col min="3590" max="3590" width="5.125" style="31" customWidth="1"/>
    <col min="3591" max="3591" width="1.25" style="31" customWidth="1"/>
    <col min="3592" max="3592" width="2.125" style="31" customWidth="1"/>
    <col min="3593" max="3593" width="9.125" style="31" customWidth="1"/>
    <col min="3594" max="3594" width="1.375" style="31" customWidth="1"/>
    <col min="3595" max="3595" width="4.875" style="31" customWidth="1"/>
    <col min="3596" max="3596" width="7.25" style="31" customWidth="1"/>
    <col min="3597" max="3597" width="9" style="31"/>
    <col min="3598" max="3598" width="9.125" style="31" customWidth="1"/>
    <col min="3599" max="3840" width="9" style="31"/>
    <col min="3841" max="3841" width="5.875" style="31" customWidth="1"/>
    <col min="3842" max="3842" width="10.625" style="31" customWidth="1"/>
    <col min="3843" max="3843" width="6.625" style="31" customWidth="1"/>
    <col min="3844" max="3845" width="3.25" style="31" customWidth="1"/>
    <col min="3846" max="3846" width="5.125" style="31" customWidth="1"/>
    <col min="3847" max="3847" width="1.25" style="31" customWidth="1"/>
    <col min="3848" max="3848" width="2.125" style="31" customWidth="1"/>
    <col min="3849" max="3849" width="9.125" style="31" customWidth="1"/>
    <col min="3850" max="3850" width="1.375" style="31" customWidth="1"/>
    <col min="3851" max="3851" width="4.875" style="31" customWidth="1"/>
    <col min="3852" max="3852" width="7.25" style="31" customWidth="1"/>
    <col min="3853" max="3853" width="9" style="31"/>
    <col min="3854" max="3854" width="9.125" style="31" customWidth="1"/>
    <col min="3855" max="4096" width="9" style="31"/>
    <col min="4097" max="4097" width="5.875" style="31" customWidth="1"/>
    <col min="4098" max="4098" width="10.625" style="31" customWidth="1"/>
    <col min="4099" max="4099" width="6.625" style="31" customWidth="1"/>
    <col min="4100" max="4101" width="3.25" style="31" customWidth="1"/>
    <col min="4102" max="4102" width="5.125" style="31" customWidth="1"/>
    <col min="4103" max="4103" width="1.25" style="31" customWidth="1"/>
    <col min="4104" max="4104" width="2.125" style="31" customWidth="1"/>
    <col min="4105" max="4105" width="9.125" style="31" customWidth="1"/>
    <col min="4106" max="4106" width="1.375" style="31" customWidth="1"/>
    <col min="4107" max="4107" width="4.875" style="31" customWidth="1"/>
    <col min="4108" max="4108" width="7.25" style="31" customWidth="1"/>
    <col min="4109" max="4109" width="9" style="31"/>
    <col min="4110" max="4110" width="9.125" style="31" customWidth="1"/>
    <col min="4111" max="4352" width="9" style="31"/>
    <col min="4353" max="4353" width="5.875" style="31" customWidth="1"/>
    <col min="4354" max="4354" width="10.625" style="31" customWidth="1"/>
    <col min="4355" max="4355" width="6.625" style="31" customWidth="1"/>
    <col min="4356" max="4357" width="3.25" style="31" customWidth="1"/>
    <col min="4358" max="4358" width="5.125" style="31" customWidth="1"/>
    <col min="4359" max="4359" width="1.25" style="31" customWidth="1"/>
    <col min="4360" max="4360" width="2.125" style="31" customWidth="1"/>
    <col min="4361" max="4361" width="9.125" style="31" customWidth="1"/>
    <col min="4362" max="4362" width="1.375" style="31" customWidth="1"/>
    <col min="4363" max="4363" width="4.875" style="31" customWidth="1"/>
    <col min="4364" max="4364" width="7.25" style="31" customWidth="1"/>
    <col min="4365" max="4365" width="9" style="31"/>
    <col min="4366" max="4366" width="9.125" style="31" customWidth="1"/>
    <col min="4367" max="4608" width="9" style="31"/>
    <col min="4609" max="4609" width="5.875" style="31" customWidth="1"/>
    <col min="4610" max="4610" width="10.625" style="31" customWidth="1"/>
    <col min="4611" max="4611" width="6.625" style="31" customWidth="1"/>
    <col min="4612" max="4613" width="3.25" style="31" customWidth="1"/>
    <col min="4614" max="4614" width="5.125" style="31" customWidth="1"/>
    <col min="4615" max="4615" width="1.25" style="31" customWidth="1"/>
    <col min="4616" max="4616" width="2.125" style="31" customWidth="1"/>
    <col min="4617" max="4617" width="9.125" style="31" customWidth="1"/>
    <col min="4618" max="4618" width="1.375" style="31" customWidth="1"/>
    <col min="4619" max="4619" width="4.875" style="31" customWidth="1"/>
    <col min="4620" max="4620" width="7.25" style="31" customWidth="1"/>
    <col min="4621" max="4621" width="9" style="31"/>
    <col min="4622" max="4622" width="9.125" style="31" customWidth="1"/>
    <col min="4623" max="4864" width="9" style="31"/>
    <col min="4865" max="4865" width="5.875" style="31" customWidth="1"/>
    <col min="4866" max="4866" width="10.625" style="31" customWidth="1"/>
    <col min="4867" max="4867" width="6.625" style="31" customWidth="1"/>
    <col min="4868" max="4869" width="3.25" style="31" customWidth="1"/>
    <col min="4870" max="4870" width="5.125" style="31" customWidth="1"/>
    <col min="4871" max="4871" width="1.25" style="31" customWidth="1"/>
    <col min="4872" max="4872" width="2.125" style="31" customWidth="1"/>
    <col min="4873" max="4873" width="9.125" style="31" customWidth="1"/>
    <col min="4874" max="4874" width="1.375" style="31" customWidth="1"/>
    <col min="4875" max="4875" width="4.875" style="31" customWidth="1"/>
    <col min="4876" max="4876" width="7.25" style="31" customWidth="1"/>
    <col min="4877" max="4877" width="9" style="31"/>
    <col min="4878" max="4878" width="9.125" style="31" customWidth="1"/>
    <col min="4879" max="5120" width="9" style="31"/>
    <col min="5121" max="5121" width="5.875" style="31" customWidth="1"/>
    <col min="5122" max="5122" width="10.625" style="31" customWidth="1"/>
    <col min="5123" max="5123" width="6.625" style="31" customWidth="1"/>
    <col min="5124" max="5125" width="3.25" style="31" customWidth="1"/>
    <col min="5126" max="5126" width="5.125" style="31" customWidth="1"/>
    <col min="5127" max="5127" width="1.25" style="31" customWidth="1"/>
    <col min="5128" max="5128" width="2.125" style="31" customWidth="1"/>
    <col min="5129" max="5129" width="9.125" style="31" customWidth="1"/>
    <col min="5130" max="5130" width="1.375" style="31" customWidth="1"/>
    <col min="5131" max="5131" width="4.875" style="31" customWidth="1"/>
    <col min="5132" max="5132" width="7.25" style="31" customWidth="1"/>
    <col min="5133" max="5133" width="9" style="31"/>
    <col min="5134" max="5134" width="9.125" style="31" customWidth="1"/>
    <col min="5135" max="5376" width="9" style="31"/>
    <col min="5377" max="5377" width="5.875" style="31" customWidth="1"/>
    <col min="5378" max="5378" width="10.625" style="31" customWidth="1"/>
    <col min="5379" max="5379" width="6.625" style="31" customWidth="1"/>
    <col min="5380" max="5381" width="3.25" style="31" customWidth="1"/>
    <col min="5382" max="5382" width="5.125" style="31" customWidth="1"/>
    <col min="5383" max="5383" width="1.25" style="31" customWidth="1"/>
    <col min="5384" max="5384" width="2.125" style="31" customWidth="1"/>
    <col min="5385" max="5385" width="9.125" style="31" customWidth="1"/>
    <col min="5386" max="5386" width="1.375" style="31" customWidth="1"/>
    <col min="5387" max="5387" width="4.875" style="31" customWidth="1"/>
    <col min="5388" max="5388" width="7.25" style="31" customWidth="1"/>
    <col min="5389" max="5389" width="9" style="31"/>
    <col min="5390" max="5390" width="9.125" style="31" customWidth="1"/>
    <col min="5391" max="5632" width="9" style="31"/>
    <col min="5633" max="5633" width="5.875" style="31" customWidth="1"/>
    <col min="5634" max="5634" width="10.625" style="31" customWidth="1"/>
    <col min="5635" max="5635" width="6.625" style="31" customWidth="1"/>
    <col min="5636" max="5637" width="3.25" style="31" customWidth="1"/>
    <col min="5638" max="5638" width="5.125" style="31" customWidth="1"/>
    <col min="5639" max="5639" width="1.25" style="31" customWidth="1"/>
    <col min="5640" max="5640" width="2.125" style="31" customWidth="1"/>
    <col min="5641" max="5641" width="9.125" style="31" customWidth="1"/>
    <col min="5642" max="5642" width="1.375" style="31" customWidth="1"/>
    <col min="5643" max="5643" width="4.875" style="31" customWidth="1"/>
    <col min="5644" max="5644" width="7.25" style="31" customWidth="1"/>
    <col min="5645" max="5645" width="9" style="31"/>
    <col min="5646" max="5646" width="9.125" style="31" customWidth="1"/>
    <col min="5647" max="5888" width="9" style="31"/>
    <col min="5889" max="5889" width="5.875" style="31" customWidth="1"/>
    <col min="5890" max="5890" width="10.625" style="31" customWidth="1"/>
    <col min="5891" max="5891" width="6.625" style="31" customWidth="1"/>
    <col min="5892" max="5893" width="3.25" style="31" customWidth="1"/>
    <col min="5894" max="5894" width="5.125" style="31" customWidth="1"/>
    <col min="5895" max="5895" width="1.25" style="31" customWidth="1"/>
    <col min="5896" max="5896" width="2.125" style="31" customWidth="1"/>
    <col min="5897" max="5897" width="9.125" style="31" customWidth="1"/>
    <col min="5898" max="5898" width="1.375" style="31" customWidth="1"/>
    <col min="5899" max="5899" width="4.875" style="31" customWidth="1"/>
    <col min="5900" max="5900" width="7.25" style="31" customWidth="1"/>
    <col min="5901" max="5901" width="9" style="31"/>
    <col min="5902" max="5902" width="9.125" style="31" customWidth="1"/>
    <col min="5903" max="6144" width="9" style="31"/>
    <col min="6145" max="6145" width="5.875" style="31" customWidth="1"/>
    <col min="6146" max="6146" width="10.625" style="31" customWidth="1"/>
    <col min="6147" max="6147" width="6.625" style="31" customWidth="1"/>
    <col min="6148" max="6149" width="3.25" style="31" customWidth="1"/>
    <col min="6150" max="6150" width="5.125" style="31" customWidth="1"/>
    <col min="6151" max="6151" width="1.25" style="31" customWidth="1"/>
    <col min="6152" max="6152" width="2.125" style="31" customWidth="1"/>
    <col min="6153" max="6153" width="9.125" style="31" customWidth="1"/>
    <col min="6154" max="6154" width="1.375" style="31" customWidth="1"/>
    <col min="6155" max="6155" width="4.875" style="31" customWidth="1"/>
    <col min="6156" max="6156" width="7.25" style="31" customWidth="1"/>
    <col min="6157" max="6157" width="9" style="31"/>
    <col min="6158" max="6158" width="9.125" style="31" customWidth="1"/>
    <col min="6159" max="6400" width="9" style="31"/>
    <col min="6401" max="6401" width="5.875" style="31" customWidth="1"/>
    <col min="6402" max="6402" width="10.625" style="31" customWidth="1"/>
    <col min="6403" max="6403" width="6.625" style="31" customWidth="1"/>
    <col min="6404" max="6405" width="3.25" style="31" customWidth="1"/>
    <col min="6406" max="6406" width="5.125" style="31" customWidth="1"/>
    <col min="6407" max="6407" width="1.25" style="31" customWidth="1"/>
    <col min="6408" max="6408" width="2.125" style="31" customWidth="1"/>
    <col min="6409" max="6409" width="9.125" style="31" customWidth="1"/>
    <col min="6410" max="6410" width="1.375" style="31" customWidth="1"/>
    <col min="6411" max="6411" width="4.875" style="31" customWidth="1"/>
    <col min="6412" max="6412" width="7.25" style="31" customWidth="1"/>
    <col min="6413" max="6413" width="9" style="31"/>
    <col min="6414" max="6414" width="9.125" style="31" customWidth="1"/>
    <col min="6415" max="6656" width="9" style="31"/>
    <col min="6657" max="6657" width="5.875" style="31" customWidth="1"/>
    <col min="6658" max="6658" width="10.625" style="31" customWidth="1"/>
    <col min="6659" max="6659" width="6.625" style="31" customWidth="1"/>
    <col min="6660" max="6661" width="3.25" style="31" customWidth="1"/>
    <col min="6662" max="6662" width="5.125" style="31" customWidth="1"/>
    <col min="6663" max="6663" width="1.25" style="31" customWidth="1"/>
    <col min="6664" max="6664" width="2.125" style="31" customWidth="1"/>
    <col min="6665" max="6665" width="9.125" style="31" customWidth="1"/>
    <col min="6666" max="6666" width="1.375" style="31" customWidth="1"/>
    <col min="6667" max="6667" width="4.875" style="31" customWidth="1"/>
    <col min="6668" max="6668" width="7.25" style="31" customWidth="1"/>
    <col min="6669" max="6669" width="9" style="31"/>
    <col min="6670" max="6670" width="9.125" style="31" customWidth="1"/>
    <col min="6671" max="6912" width="9" style="31"/>
    <col min="6913" max="6913" width="5.875" style="31" customWidth="1"/>
    <col min="6914" max="6914" width="10.625" style="31" customWidth="1"/>
    <col min="6915" max="6915" width="6.625" style="31" customWidth="1"/>
    <col min="6916" max="6917" width="3.25" style="31" customWidth="1"/>
    <col min="6918" max="6918" width="5.125" style="31" customWidth="1"/>
    <col min="6919" max="6919" width="1.25" style="31" customWidth="1"/>
    <col min="6920" max="6920" width="2.125" style="31" customWidth="1"/>
    <col min="6921" max="6921" width="9.125" style="31" customWidth="1"/>
    <col min="6922" max="6922" width="1.375" style="31" customWidth="1"/>
    <col min="6923" max="6923" width="4.875" style="31" customWidth="1"/>
    <col min="6924" max="6924" width="7.25" style="31" customWidth="1"/>
    <col min="6925" max="6925" width="9" style="31"/>
    <col min="6926" max="6926" width="9.125" style="31" customWidth="1"/>
    <col min="6927" max="7168" width="9" style="31"/>
    <col min="7169" max="7169" width="5.875" style="31" customWidth="1"/>
    <col min="7170" max="7170" width="10.625" style="31" customWidth="1"/>
    <col min="7171" max="7171" width="6.625" style="31" customWidth="1"/>
    <col min="7172" max="7173" width="3.25" style="31" customWidth="1"/>
    <col min="7174" max="7174" width="5.125" style="31" customWidth="1"/>
    <col min="7175" max="7175" width="1.25" style="31" customWidth="1"/>
    <col min="7176" max="7176" width="2.125" style="31" customWidth="1"/>
    <col min="7177" max="7177" width="9.125" style="31" customWidth="1"/>
    <col min="7178" max="7178" width="1.375" style="31" customWidth="1"/>
    <col min="7179" max="7179" width="4.875" style="31" customWidth="1"/>
    <col min="7180" max="7180" width="7.25" style="31" customWidth="1"/>
    <col min="7181" max="7181" width="9" style="31"/>
    <col min="7182" max="7182" width="9.125" style="31" customWidth="1"/>
    <col min="7183" max="7424" width="9" style="31"/>
    <col min="7425" max="7425" width="5.875" style="31" customWidth="1"/>
    <col min="7426" max="7426" width="10.625" style="31" customWidth="1"/>
    <col min="7427" max="7427" width="6.625" style="31" customWidth="1"/>
    <col min="7428" max="7429" width="3.25" style="31" customWidth="1"/>
    <col min="7430" max="7430" width="5.125" style="31" customWidth="1"/>
    <col min="7431" max="7431" width="1.25" style="31" customWidth="1"/>
    <col min="7432" max="7432" width="2.125" style="31" customWidth="1"/>
    <col min="7433" max="7433" width="9.125" style="31" customWidth="1"/>
    <col min="7434" max="7434" width="1.375" style="31" customWidth="1"/>
    <col min="7435" max="7435" width="4.875" style="31" customWidth="1"/>
    <col min="7436" max="7436" width="7.25" style="31" customWidth="1"/>
    <col min="7437" max="7437" width="9" style="31"/>
    <col min="7438" max="7438" width="9.125" style="31" customWidth="1"/>
    <col min="7439" max="7680" width="9" style="31"/>
    <col min="7681" max="7681" width="5.875" style="31" customWidth="1"/>
    <col min="7682" max="7682" width="10.625" style="31" customWidth="1"/>
    <col min="7683" max="7683" width="6.625" style="31" customWidth="1"/>
    <col min="7684" max="7685" width="3.25" style="31" customWidth="1"/>
    <col min="7686" max="7686" width="5.125" style="31" customWidth="1"/>
    <col min="7687" max="7687" width="1.25" style="31" customWidth="1"/>
    <col min="7688" max="7688" width="2.125" style="31" customWidth="1"/>
    <col min="7689" max="7689" width="9.125" style="31" customWidth="1"/>
    <col min="7690" max="7690" width="1.375" style="31" customWidth="1"/>
    <col min="7691" max="7691" width="4.875" style="31" customWidth="1"/>
    <col min="7692" max="7692" width="7.25" style="31" customWidth="1"/>
    <col min="7693" max="7693" width="9" style="31"/>
    <col min="7694" max="7694" width="9.125" style="31" customWidth="1"/>
    <col min="7695" max="7936" width="9" style="31"/>
    <col min="7937" max="7937" width="5.875" style="31" customWidth="1"/>
    <col min="7938" max="7938" width="10.625" style="31" customWidth="1"/>
    <col min="7939" max="7939" width="6.625" style="31" customWidth="1"/>
    <col min="7940" max="7941" width="3.25" style="31" customWidth="1"/>
    <col min="7942" max="7942" width="5.125" style="31" customWidth="1"/>
    <col min="7943" max="7943" width="1.25" style="31" customWidth="1"/>
    <col min="7944" max="7944" width="2.125" style="31" customWidth="1"/>
    <col min="7945" max="7945" width="9.125" style="31" customWidth="1"/>
    <col min="7946" max="7946" width="1.375" style="31" customWidth="1"/>
    <col min="7947" max="7947" width="4.875" style="31" customWidth="1"/>
    <col min="7948" max="7948" width="7.25" style="31" customWidth="1"/>
    <col min="7949" max="7949" width="9" style="31"/>
    <col min="7950" max="7950" width="9.125" style="31" customWidth="1"/>
    <col min="7951" max="8192" width="9" style="31"/>
    <col min="8193" max="8193" width="5.875" style="31" customWidth="1"/>
    <col min="8194" max="8194" width="10.625" style="31" customWidth="1"/>
    <col min="8195" max="8195" width="6.625" style="31" customWidth="1"/>
    <col min="8196" max="8197" width="3.25" style="31" customWidth="1"/>
    <col min="8198" max="8198" width="5.125" style="31" customWidth="1"/>
    <col min="8199" max="8199" width="1.25" style="31" customWidth="1"/>
    <col min="8200" max="8200" width="2.125" style="31" customWidth="1"/>
    <col min="8201" max="8201" width="9.125" style="31" customWidth="1"/>
    <col min="8202" max="8202" width="1.375" style="31" customWidth="1"/>
    <col min="8203" max="8203" width="4.875" style="31" customWidth="1"/>
    <col min="8204" max="8204" width="7.25" style="31" customWidth="1"/>
    <col min="8205" max="8205" width="9" style="31"/>
    <col min="8206" max="8206" width="9.125" style="31" customWidth="1"/>
    <col min="8207" max="8448" width="9" style="31"/>
    <col min="8449" max="8449" width="5.875" style="31" customWidth="1"/>
    <col min="8450" max="8450" width="10.625" style="31" customWidth="1"/>
    <col min="8451" max="8451" width="6.625" style="31" customWidth="1"/>
    <col min="8452" max="8453" width="3.25" style="31" customWidth="1"/>
    <col min="8454" max="8454" width="5.125" style="31" customWidth="1"/>
    <col min="8455" max="8455" width="1.25" style="31" customWidth="1"/>
    <col min="8456" max="8456" width="2.125" style="31" customWidth="1"/>
    <col min="8457" max="8457" width="9.125" style="31" customWidth="1"/>
    <col min="8458" max="8458" width="1.375" style="31" customWidth="1"/>
    <col min="8459" max="8459" width="4.875" style="31" customWidth="1"/>
    <col min="8460" max="8460" width="7.25" style="31" customWidth="1"/>
    <col min="8461" max="8461" width="9" style="31"/>
    <col min="8462" max="8462" width="9.125" style="31" customWidth="1"/>
    <col min="8463" max="8704" width="9" style="31"/>
    <col min="8705" max="8705" width="5.875" style="31" customWidth="1"/>
    <col min="8706" max="8706" width="10.625" style="31" customWidth="1"/>
    <col min="8707" max="8707" width="6.625" style="31" customWidth="1"/>
    <col min="8708" max="8709" width="3.25" style="31" customWidth="1"/>
    <col min="8710" max="8710" width="5.125" style="31" customWidth="1"/>
    <col min="8711" max="8711" width="1.25" style="31" customWidth="1"/>
    <col min="8712" max="8712" width="2.125" style="31" customWidth="1"/>
    <col min="8713" max="8713" width="9.125" style="31" customWidth="1"/>
    <col min="8714" max="8714" width="1.375" style="31" customWidth="1"/>
    <col min="8715" max="8715" width="4.875" style="31" customWidth="1"/>
    <col min="8716" max="8716" width="7.25" style="31" customWidth="1"/>
    <col min="8717" max="8717" width="9" style="31"/>
    <col min="8718" max="8718" width="9.125" style="31" customWidth="1"/>
    <col min="8719" max="8960" width="9" style="31"/>
    <col min="8961" max="8961" width="5.875" style="31" customWidth="1"/>
    <col min="8962" max="8962" width="10.625" style="31" customWidth="1"/>
    <col min="8963" max="8963" width="6.625" style="31" customWidth="1"/>
    <col min="8964" max="8965" width="3.25" style="31" customWidth="1"/>
    <col min="8966" max="8966" width="5.125" style="31" customWidth="1"/>
    <col min="8967" max="8967" width="1.25" style="31" customWidth="1"/>
    <col min="8968" max="8968" width="2.125" style="31" customWidth="1"/>
    <col min="8969" max="8969" width="9.125" style="31" customWidth="1"/>
    <col min="8970" max="8970" width="1.375" style="31" customWidth="1"/>
    <col min="8971" max="8971" width="4.875" style="31" customWidth="1"/>
    <col min="8972" max="8972" width="7.25" style="31" customWidth="1"/>
    <col min="8973" max="8973" width="9" style="31"/>
    <col min="8974" max="8974" width="9.125" style="31" customWidth="1"/>
    <col min="8975" max="9216" width="9" style="31"/>
    <col min="9217" max="9217" width="5.875" style="31" customWidth="1"/>
    <col min="9218" max="9218" width="10.625" style="31" customWidth="1"/>
    <col min="9219" max="9219" width="6.625" style="31" customWidth="1"/>
    <col min="9220" max="9221" width="3.25" style="31" customWidth="1"/>
    <col min="9222" max="9222" width="5.125" style="31" customWidth="1"/>
    <col min="9223" max="9223" width="1.25" style="31" customWidth="1"/>
    <col min="9224" max="9224" width="2.125" style="31" customWidth="1"/>
    <col min="9225" max="9225" width="9.125" style="31" customWidth="1"/>
    <col min="9226" max="9226" width="1.375" style="31" customWidth="1"/>
    <col min="9227" max="9227" width="4.875" style="31" customWidth="1"/>
    <col min="9228" max="9228" width="7.25" style="31" customWidth="1"/>
    <col min="9229" max="9229" width="9" style="31"/>
    <col min="9230" max="9230" width="9.125" style="31" customWidth="1"/>
    <col min="9231" max="9472" width="9" style="31"/>
    <col min="9473" max="9473" width="5.875" style="31" customWidth="1"/>
    <col min="9474" max="9474" width="10.625" style="31" customWidth="1"/>
    <col min="9475" max="9475" width="6.625" style="31" customWidth="1"/>
    <col min="9476" max="9477" width="3.25" style="31" customWidth="1"/>
    <col min="9478" max="9478" width="5.125" style="31" customWidth="1"/>
    <col min="9479" max="9479" width="1.25" style="31" customWidth="1"/>
    <col min="9480" max="9480" width="2.125" style="31" customWidth="1"/>
    <col min="9481" max="9481" width="9.125" style="31" customWidth="1"/>
    <col min="9482" max="9482" width="1.375" style="31" customWidth="1"/>
    <col min="9483" max="9483" width="4.875" style="31" customWidth="1"/>
    <col min="9484" max="9484" width="7.25" style="31" customWidth="1"/>
    <col min="9485" max="9485" width="9" style="31"/>
    <col min="9486" max="9486" width="9.125" style="31" customWidth="1"/>
    <col min="9487" max="9728" width="9" style="31"/>
    <col min="9729" max="9729" width="5.875" style="31" customWidth="1"/>
    <col min="9730" max="9730" width="10.625" style="31" customWidth="1"/>
    <col min="9731" max="9731" width="6.625" style="31" customWidth="1"/>
    <col min="9732" max="9733" width="3.25" style="31" customWidth="1"/>
    <col min="9734" max="9734" width="5.125" style="31" customWidth="1"/>
    <col min="9735" max="9735" width="1.25" style="31" customWidth="1"/>
    <col min="9736" max="9736" width="2.125" style="31" customWidth="1"/>
    <col min="9737" max="9737" width="9.125" style="31" customWidth="1"/>
    <col min="9738" max="9738" width="1.375" style="31" customWidth="1"/>
    <col min="9739" max="9739" width="4.875" style="31" customWidth="1"/>
    <col min="9740" max="9740" width="7.25" style="31" customWidth="1"/>
    <col min="9741" max="9741" width="9" style="31"/>
    <col min="9742" max="9742" width="9.125" style="31" customWidth="1"/>
    <col min="9743" max="9984" width="9" style="31"/>
    <col min="9985" max="9985" width="5.875" style="31" customWidth="1"/>
    <col min="9986" max="9986" width="10.625" style="31" customWidth="1"/>
    <col min="9987" max="9987" width="6.625" style="31" customWidth="1"/>
    <col min="9988" max="9989" width="3.25" style="31" customWidth="1"/>
    <col min="9990" max="9990" width="5.125" style="31" customWidth="1"/>
    <col min="9991" max="9991" width="1.25" style="31" customWidth="1"/>
    <col min="9992" max="9992" width="2.125" style="31" customWidth="1"/>
    <col min="9993" max="9993" width="9.125" style="31" customWidth="1"/>
    <col min="9994" max="9994" width="1.375" style="31" customWidth="1"/>
    <col min="9995" max="9995" width="4.875" style="31" customWidth="1"/>
    <col min="9996" max="9996" width="7.25" style="31" customWidth="1"/>
    <col min="9997" max="9997" width="9" style="31"/>
    <col min="9998" max="9998" width="9.125" style="31" customWidth="1"/>
    <col min="9999" max="10240" width="9" style="31"/>
    <col min="10241" max="10241" width="5.875" style="31" customWidth="1"/>
    <col min="10242" max="10242" width="10.625" style="31" customWidth="1"/>
    <col min="10243" max="10243" width="6.625" style="31" customWidth="1"/>
    <col min="10244" max="10245" width="3.25" style="31" customWidth="1"/>
    <col min="10246" max="10246" width="5.125" style="31" customWidth="1"/>
    <col min="10247" max="10247" width="1.25" style="31" customWidth="1"/>
    <col min="10248" max="10248" width="2.125" style="31" customWidth="1"/>
    <col min="10249" max="10249" width="9.125" style="31" customWidth="1"/>
    <col min="10250" max="10250" width="1.375" style="31" customWidth="1"/>
    <col min="10251" max="10251" width="4.875" style="31" customWidth="1"/>
    <col min="10252" max="10252" width="7.25" style="31" customWidth="1"/>
    <col min="10253" max="10253" width="9" style="31"/>
    <col min="10254" max="10254" width="9.125" style="31" customWidth="1"/>
    <col min="10255" max="10496" width="9" style="31"/>
    <col min="10497" max="10497" width="5.875" style="31" customWidth="1"/>
    <col min="10498" max="10498" width="10.625" style="31" customWidth="1"/>
    <col min="10499" max="10499" width="6.625" style="31" customWidth="1"/>
    <col min="10500" max="10501" width="3.25" style="31" customWidth="1"/>
    <col min="10502" max="10502" width="5.125" style="31" customWidth="1"/>
    <col min="10503" max="10503" width="1.25" style="31" customWidth="1"/>
    <col min="10504" max="10504" width="2.125" style="31" customWidth="1"/>
    <col min="10505" max="10505" width="9.125" style="31" customWidth="1"/>
    <col min="10506" max="10506" width="1.375" style="31" customWidth="1"/>
    <col min="10507" max="10507" width="4.875" style="31" customWidth="1"/>
    <col min="10508" max="10508" width="7.25" style="31" customWidth="1"/>
    <col min="10509" max="10509" width="9" style="31"/>
    <col min="10510" max="10510" width="9.125" style="31" customWidth="1"/>
    <col min="10511" max="10752" width="9" style="31"/>
    <col min="10753" max="10753" width="5.875" style="31" customWidth="1"/>
    <col min="10754" max="10754" width="10.625" style="31" customWidth="1"/>
    <col min="10755" max="10755" width="6.625" style="31" customWidth="1"/>
    <col min="10756" max="10757" width="3.25" style="31" customWidth="1"/>
    <col min="10758" max="10758" width="5.125" style="31" customWidth="1"/>
    <col min="10759" max="10759" width="1.25" style="31" customWidth="1"/>
    <col min="10760" max="10760" width="2.125" style="31" customWidth="1"/>
    <col min="10761" max="10761" width="9.125" style="31" customWidth="1"/>
    <col min="10762" max="10762" width="1.375" style="31" customWidth="1"/>
    <col min="10763" max="10763" width="4.875" style="31" customWidth="1"/>
    <col min="10764" max="10764" width="7.25" style="31" customWidth="1"/>
    <col min="10765" max="10765" width="9" style="31"/>
    <col min="10766" max="10766" width="9.125" style="31" customWidth="1"/>
    <col min="10767" max="11008" width="9" style="31"/>
    <col min="11009" max="11009" width="5.875" style="31" customWidth="1"/>
    <col min="11010" max="11010" width="10.625" style="31" customWidth="1"/>
    <col min="11011" max="11011" width="6.625" style="31" customWidth="1"/>
    <col min="11012" max="11013" width="3.25" style="31" customWidth="1"/>
    <col min="11014" max="11014" width="5.125" style="31" customWidth="1"/>
    <col min="11015" max="11015" width="1.25" style="31" customWidth="1"/>
    <col min="11016" max="11016" width="2.125" style="31" customWidth="1"/>
    <col min="11017" max="11017" width="9.125" style="31" customWidth="1"/>
    <col min="11018" max="11018" width="1.375" style="31" customWidth="1"/>
    <col min="11019" max="11019" width="4.875" style="31" customWidth="1"/>
    <col min="11020" max="11020" width="7.25" style="31" customWidth="1"/>
    <col min="11021" max="11021" width="9" style="31"/>
    <col min="11022" max="11022" width="9.125" style="31" customWidth="1"/>
    <col min="11023" max="11264" width="9" style="31"/>
    <col min="11265" max="11265" width="5.875" style="31" customWidth="1"/>
    <col min="11266" max="11266" width="10.625" style="31" customWidth="1"/>
    <col min="11267" max="11267" width="6.625" style="31" customWidth="1"/>
    <col min="11268" max="11269" width="3.25" style="31" customWidth="1"/>
    <col min="11270" max="11270" width="5.125" style="31" customWidth="1"/>
    <col min="11271" max="11271" width="1.25" style="31" customWidth="1"/>
    <col min="11272" max="11272" width="2.125" style="31" customWidth="1"/>
    <col min="11273" max="11273" width="9.125" style="31" customWidth="1"/>
    <col min="11274" max="11274" width="1.375" style="31" customWidth="1"/>
    <col min="11275" max="11275" width="4.875" style="31" customWidth="1"/>
    <col min="11276" max="11276" width="7.25" style="31" customWidth="1"/>
    <col min="11277" max="11277" width="9" style="31"/>
    <col min="11278" max="11278" width="9.125" style="31" customWidth="1"/>
    <col min="11279" max="11520" width="9" style="31"/>
    <col min="11521" max="11521" width="5.875" style="31" customWidth="1"/>
    <col min="11522" max="11522" width="10.625" style="31" customWidth="1"/>
    <col min="11523" max="11523" width="6.625" style="31" customWidth="1"/>
    <col min="11524" max="11525" width="3.25" style="31" customWidth="1"/>
    <col min="11526" max="11526" width="5.125" style="31" customWidth="1"/>
    <col min="11527" max="11527" width="1.25" style="31" customWidth="1"/>
    <col min="11528" max="11528" width="2.125" style="31" customWidth="1"/>
    <col min="11529" max="11529" width="9.125" style="31" customWidth="1"/>
    <col min="11530" max="11530" width="1.375" style="31" customWidth="1"/>
    <col min="11531" max="11531" width="4.875" style="31" customWidth="1"/>
    <col min="11532" max="11532" width="7.25" style="31" customWidth="1"/>
    <col min="11533" max="11533" width="9" style="31"/>
    <col min="11534" max="11534" width="9.125" style="31" customWidth="1"/>
    <col min="11535" max="11776" width="9" style="31"/>
    <col min="11777" max="11777" width="5.875" style="31" customWidth="1"/>
    <col min="11778" max="11778" width="10.625" style="31" customWidth="1"/>
    <col min="11779" max="11779" width="6.625" style="31" customWidth="1"/>
    <col min="11780" max="11781" width="3.25" style="31" customWidth="1"/>
    <col min="11782" max="11782" width="5.125" style="31" customWidth="1"/>
    <col min="11783" max="11783" width="1.25" style="31" customWidth="1"/>
    <col min="11784" max="11784" width="2.125" style="31" customWidth="1"/>
    <col min="11785" max="11785" width="9.125" style="31" customWidth="1"/>
    <col min="11786" max="11786" width="1.375" style="31" customWidth="1"/>
    <col min="11787" max="11787" width="4.875" style="31" customWidth="1"/>
    <col min="11788" max="11788" width="7.25" style="31" customWidth="1"/>
    <col min="11789" max="11789" width="9" style="31"/>
    <col min="11790" max="11790" width="9.125" style="31" customWidth="1"/>
    <col min="11791" max="12032" width="9" style="31"/>
    <col min="12033" max="12033" width="5.875" style="31" customWidth="1"/>
    <col min="12034" max="12034" width="10.625" style="31" customWidth="1"/>
    <col min="12035" max="12035" width="6.625" style="31" customWidth="1"/>
    <col min="12036" max="12037" width="3.25" style="31" customWidth="1"/>
    <col min="12038" max="12038" width="5.125" style="31" customWidth="1"/>
    <col min="12039" max="12039" width="1.25" style="31" customWidth="1"/>
    <col min="12040" max="12040" width="2.125" style="31" customWidth="1"/>
    <col min="12041" max="12041" width="9.125" style="31" customWidth="1"/>
    <col min="12042" max="12042" width="1.375" style="31" customWidth="1"/>
    <col min="12043" max="12043" width="4.875" style="31" customWidth="1"/>
    <col min="12044" max="12044" width="7.25" style="31" customWidth="1"/>
    <col min="12045" max="12045" width="9" style="31"/>
    <col min="12046" max="12046" width="9.125" style="31" customWidth="1"/>
    <col min="12047" max="12288" width="9" style="31"/>
    <col min="12289" max="12289" width="5.875" style="31" customWidth="1"/>
    <col min="12290" max="12290" width="10.625" style="31" customWidth="1"/>
    <col min="12291" max="12291" width="6.625" style="31" customWidth="1"/>
    <col min="12292" max="12293" width="3.25" style="31" customWidth="1"/>
    <col min="12294" max="12294" width="5.125" style="31" customWidth="1"/>
    <col min="12295" max="12295" width="1.25" style="31" customWidth="1"/>
    <col min="12296" max="12296" width="2.125" style="31" customWidth="1"/>
    <col min="12297" max="12297" width="9.125" style="31" customWidth="1"/>
    <col min="12298" max="12298" width="1.375" style="31" customWidth="1"/>
    <col min="12299" max="12299" width="4.875" style="31" customWidth="1"/>
    <col min="12300" max="12300" width="7.25" style="31" customWidth="1"/>
    <col min="12301" max="12301" width="9" style="31"/>
    <col min="12302" max="12302" width="9.125" style="31" customWidth="1"/>
    <col min="12303" max="12544" width="9" style="31"/>
    <col min="12545" max="12545" width="5.875" style="31" customWidth="1"/>
    <col min="12546" max="12546" width="10.625" style="31" customWidth="1"/>
    <col min="12547" max="12547" width="6.625" style="31" customWidth="1"/>
    <col min="12548" max="12549" width="3.25" style="31" customWidth="1"/>
    <col min="12550" max="12550" width="5.125" style="31" customWidth="1"/>
    <col min="12551" max="12551" width="1.25" style="31" customWidth="1"/>
    <col min="12552" max="12552" width="2.125" style="31" customWidth="1"/>
    <col min="12553" max="12553" width="9.125" style="31" customWidth="1"/>
    <col min="12554" max="12554" width="1.375" style="31" customWidth="1"/>
    <col min="12555" max="12555" width="4.875" style="31" customWidth="1"/>
    <col min="12556" max="12556" width="7.25" style="31" customWidth="1"/>
    <col min="12557" max="12557" width="9" style="31"/>
    <col min="12558" max="12558" width="9.125" style="31" customWidth="1"/>
    <col min="12559" max="12800" width="9" style="31"/>
    <col min="12801" max="12801" width="5.875" style="31" customWidth="1"/>
    <col min="12802" max="12802" width="10.625" style="31" customWidth="1"/>
    <col min="12803" max="12803" width="6.625" style="31" customWidth="1"/>
    <col min="12804" max="12805" width="3.25" style="31" customWidth="1"/>
    <col min="12806" max="12806" width="5.125" style="31" customWidth="1"/>
    <col min="12807" max="12807" width="1.25" style="31" customWidth="1"/>
    <col min="12808" max="12808" width="2.125" style="31" customWidth="1"/>
    <col min="12809" max="12809" width="9.125" style="31" customWidth="1"/>
    <col min="12810" max="12810" width="1.375" style="31" customWidth="1"/>
    <col min="12811" max="12811" width="4.875" style="31" customWidth="1"/>
    <col min="12812" max="12812" width="7.25" style="31" customWidth="1"/>
    <col min="12813" max="12813" width="9" style="31"/>
    <col min="12814" max="12814" width="9.125" style="31" customWidth="1"/>
    <col min="12815" max="13056" width="9" style="31"/>
    <col min="13057" max="13057" width="5.875" style="31" customWidth="1"/>
    <col min="13058" max="13058" width="10.625" style="31" customWidth="1"/>
    <col min="13059" max="13059" width="6.625" style="31" customWidth="1"/>
    <col min="13060" max="13061" width="3.25" style="31" customWidth="1"/>
    <col min="13062" max="13062" width="5.125" style="31" customWidth="1"/>
    <col min="13063" max="13063" width="1.25" style="31" customWidth="1"/>
    <col min="13064" max="13064" width="2.125" style="31" customWidth="1"/>
    <col min="13065" max="13065" width="9.125" style="31" customWidth="1"/>
    <col min="13066" max="13066" width="1.375" style="31" customWidth="1"/>
    <col min="13067" max="13067" width="4.875" style="31" customWidth="1"/>
    <col min="13068" max="13068" width="7.25" style="31" customWidth="1"/>
    <col min="13069" max="13069" width="9" style="31"/>
    <col min="13070" max="13070" width="9.125" style="31" customWidth="1"/>
    <col min="13071" max="13312" width="9" style="31"/>
    <col min="13313" max="13313" width="5.875" style="31" customWidth="1"/>
    <col min="13314" max="13314" width="10.625" style="31" customWidth="1"/>
    <col min="13315" max="13315" width="6.625" style="31" customWidth="1"/>
    <col min="13316" max="13317" width="3.25" style="31" customWidth="1"/>
    <col min="13318" max="13318" width="5.125" style="31" customWidth="1"/>
    <col min="13319" max="13319" width="1.25" style="31" customWidth="1"/>
    <col min="13320" max="13320" width="2.125" style="31" customWidth="1"/>
    <col min="13321" max="13321" width="9.125" style="31" customWidth="1"/>
    <col min="13322" max="13322" width="1.375" style="31" customWidth="1"/>
    <col min="13323" max="13323" width="4.875" style="31" customWidth="1"/>
    <col min="13324" max="13324" width="7.25" style="31" customWidth="1"/>
    <col min="13325" max="13325" width="9" style="31"/>
    <col min="13326" max="13326" width="9.125" style="31" customWidth="1"/>
    <col min="13327" max="13568" width="9" style="31"/>
    <col min="13569" max="13569" width="5.875" style="31" customWidth="1"/>
    <col min="13570" max="13570" width="10.625" style="31" customWidth="1"/>
    <col min="13571" max="13571" width="6.625" style="31" customWidth="1"/>
    <col min="13572" max="13573" width="3.25" style="31" customWidth="1"/>
    <col min="13574" max="13574" width="5.125" style="31" customWidth="1"/>
    <col min="13575" max="13575" width="1.25" style="31" customWidth="1"/>
    <col min="13576" max="13576" width="2.125" style="31" customWidth="1"/>
    <col min="13577" max="13577" width="9.125" style="31" customWidth="1"/>
    <col min="13578" max="13578" width="1.375" style="31" customWidth="1"/>
    <col min="13579" max="13579" width="4.875" style="31" customWidth="1"/>
    <col min="13580" max="13580" width="7.25" style="31" customWidth="1"/>
    <col min="13581" max="13581" width="9" style="31"/>
    <col min="13582" max="13582" width="9.125" style="31" customWidth="1"/>
    <col min="13583" max="13824" width="9" style="31"/>
    <col min="13825" max="13825" width="5.875" style="31" customWidth="1"/>
    <col min="13826" max="13826" width="10.625" style="31" customWidth="1"/>
    <col min="13827" max="13827" width="6.625" style="31" customWidth="1"/>
    <col min="13828" max="13829" width="3.25" style="31" customWidth="1"/>
    <col min="13830" max="13830" width="5.125" style="31" customWidth="1"/>
    <col min="13831" max="13831" width="1.25" style="31" customWidth="1"/>
    <col min="13832" max="13832" width="2.125" style="31" customWidth="1"/>
    <col min="13833" max="13833" width="9.125" style="31" customWidth="1"/>
    <col min="13834" max="13834" width="1.375" style="31" customWidth="1"/>
    <col min="13835" max="13835" width="4.875" style="31" customWidth="1"/>
    <col min="13836" max="13836" width="7.25" style="31" customWidth="1"/>
    <col min="13837" max="13837" width="9" style="31"/>
    <col min="13838" max="13838" width="9.125" style="31" customWidth="1"/>
    <col min="13839" max="14080" width="9" style="31"/>
    <col min="14081" max="14081" width="5.875" style="31" customWidth="1"/>
    <col min="14082" max="14082" width="10.625" style="31" customWidth="1"/>
    <col min="14083" max="14083" width="6.625" style="31" customWidth="1"/>
    <col min="14084" max="14085" width="3.25" style="31" customWidth="1"/>
    <col min="14086" max="14086" width="5.125" style="31" customWidth="1"/>
    <col min="14087" max="14087" width="1.25" style="31" customWidth="1"/>
    <col min="14088" max="14088" width="2.125" style="31" customWidth="1"/>
    <col min="14089" max="14089" width="9.125" style="31" customWidth="1"/>
    <col min="14090" max="14090" width="1.375" style="31" customWidth="1"/>
    <col min="14091" max="14091" width="4.875" style="31" customWidth="1"/>
    <col min="14092" max="14092" width="7.25" style="31" customWidth="1"/>
    <col min="14093" max="14093" width="9" style="31"/>
    <col min="14094" max="14094" width="9.125" style="31" customWidth="1"/>
    <col min="14095" max="14336" width="9" style="31"/>
    <col min="14337" max="14337" width="5.875" style="31" customWidth="1"/>
    <col min="14338" max="14338" width="10.625" style="31" customWidth="1"/>
    <col min="14339" max="14339" width="6.625" style="31" customWidth="1"/>
    <col min="14340" max="14341" width="3.25" style="31" customWidth="1"/>
    <col min="14342" max="14342" width="5.125" style="31" customWidth="1"/>
    <col min="14343" max="14343" width="1.25" style="31" customWidth="1"/>
    <col min="14344" max="14344" width="2.125" style="31" customWidth="1"/>
    <col min="14345" max="14345" width="9.125" style="31" customWidth="1"/>
    <col min="14346" max="14346" width="1.375" style="31" customWidth="1"/>
    <col min="14347" max="14347" width="4.875" style="31" customWidth="1"/>
    <col min="14348" max="14348" width="7.25" style="31" customWidth="1"/>
    <col min="14349" max="14349" width="9" style="31"/>
    <col min="14350" max="14350" width="9.125" style="31" customWidth="1"/>
    <col min="14351" max="14592" width="9" style="31"/>
    <col min="14593" max="14593" width="5.875" style="31" customWidth="1"/>
    <col min="14594" max="14594" width="10.625" style="31" customWidth="1"/>
    <col min="14595" max="14595" width="6.625" style="31" customWidth="1"/>
    <col min="14596" max="14597" width="3.25" style="31" customWidth="1"/>
    <col min="14598" max="14598" width="5.125" style="31" customWidth="1"/>
    <col min="14599" max="14599" width="1.25" style="31" customWidth="1"/>
    <col min="14600" max="14600" width="2.125" style="31" customWidth="1"/>
    <col min="14601" max="14601" width="9.125" style="31" customWidth="1"/>
    <col min="14602" max="14602" width="1.375" style="31" customWidth="1"/>
    <col min="14603" max="14603" width="4.875" style="31" customWidth="1"/>
    <col min="14604" max="14604" width="7.25" style="31" customWidth="1"/>
    <col min="14605" max="14605" width="9" style="31"/>
    <col min="14606" max="14606" width="9.125" style="31" customWidth="1"/>
    <col min="14607" max="14848" width="9" style="31"/>
    <col min="14849" max="14849" width="5.875" style="31" customWidth="1"/>
    <col min="14850" max="14850" width="10.625" style="31" customWidth="1"/>
    <col min="14851" max="14851" width="6.625" style="31" customWidth="1"/>
    <col min="14852" max="14853" width="3.25" style="31" customWidth="1"/>
    <col min="14854" max="14854" width="5.125" style="31" customWidth="1"/>
    <col min="14855" max="14855" width="1.25" style="31" customWidth="1"/>
    <col min="14856" max="14856" width="2.125" style="31" customWidth="1"/>
    <col min="14857" max="14857" width="9.125" style="31" customWidth="1"/>
    <col min="14858" max="14858" width="1.375" style="31" customWidth="1"/>
    <col min="14859" max="14859" width="4.875" style="31" customWidth="1"/>
    <col min="14860" max="14860" width="7.25" style="31" customWidth="1"/>
    <col min="14861" max="14861" width="9" style="31"/>
    <col min="14862" max="14862" width="9.125" style="31" customWidth="1"/>
    <col min="14863" max="15104" width="9" style="31"/>
    <col min="15105" max="15105" width="5.875" style="31" customWidth="1"/>
    <col min="15106" max="15106" width="10.625" style="31" customWidth="1"/>
    <col min="15107" max="15107" width="6.625" style="31" customWidth="1"/>
    <col min="15108" max="15109" width="3.25" style="31" customWidth="1"/>
    <col min="15110" max="15110" width="5.125" style="31" customWidth="1"/>
    <col min="15111" max="15111" width="1.25" style="31" customWidth="1"/>
    <col min="15112" max="15112" width="2.125" style="31" customWidth="1"/>
    <col min="15113" max="15113" width="9.125" style="31" customWidth="1"/>
    <col min="15114" max="15114" width="1.375" style="31" customWidth="1"/>
    <col min="15115" max="15115" width="4.875" style="31" customWidth="1"/>
    <col min="15116" max="15116" width="7.25" style="31" customWidth="1"/>
    <col min="15117" max="15117" width="9" style="31"/>
    <col min="15118" max="15118" width="9.125" style="31" customWidth="1"/>
    <col min="15119" max="15360" width="9" style="31"/>
    <col min="15361" max="15361" width="5.875" style="31" customWidth="1"/>
    <col min="15362" max="15362" width="10.625" style="31" customWidth="1"/>
    <col min="15363" max="15363" width="6.625" style="31" customWidth="1"/>
    <col min="15364" max="15365" width="3.25" style="31" customWidth="1"/>
    <col min="15366" max="15366" width="5.125" style="31" customWidth="1"/>
    <col min="15367" max="15367" width="1.25" style="31" customWidth="1"/>
    <col min="15368" max="15368" width="2.125" style="31" customWidth="1"/>
    <col min="15369" max="15369" width="9.125" style="31" customWidth="1"/>
    <col min="15370" max="15370" width="1.375" style="31" customWidth="1"/>
    <col min="15371" max="15371" width="4.875" style="31" customWidth="1"/>
    <col min="15372" max="15372" width="7.25" style="31" customWidth="1"/>
    <col min="15373" max="15373" width="9" style="31"/>
    <col min="15374" max="15374" width="9.125" style="31" customWidth="1"/>
    <col min="15375" max="15616" width="9" style="31"/>
    <col min="15617" max="15617" width="5.875" style="31" customWidth="1"/>
    <col min="15618" max="15618" width="10.625" style="31" customWidth="1"/>
    <col min="15619" max="15619" width="6.625" style="31" customWidth="1"/>
    <col min="15620" max="15621" width="3.25" style="31" customWidth="1"/>
    <col min="15622" max="15622" width="5.125" style="31" customWidth="1"/>
    <col min="15623" max="15623" width="1.25" style="31" customWidth="1"/>
    <col min="15624" max="15624" width="2.125" style="31" customWidth="1"/>
    <col min="15625" max="15625" width="9.125" style="31" customWidth="1"/>
    <col min="15626" max="15626" width="1.375" style="31" customWidth="1"/>
    <col min="15627" max="15627" width="4.875" style="31" customWidth="1"/>
    <col min="15628" max="15628" width="7.25" style="31" customWidth="1"/>
    <col min="15629" max="15629" width="9" style="31"/>
    <col min="15630" max="15630" width="9.125" style="31" customWidth="1"/>
    <col min="15631" max="15872" width="9" style="31"/>
    <col min="15873" max="15873" width="5.875" style="31" customWidth="1"/>
    <col min="15874" max="15874" width="10.625" style="31" customWidth="1"/>
    <col min="15875" max="15875" width="6.625" style="31" customWidth="1"/>
    <col min="15876" max="15877" width="3.25" style="31" customWidth="1"/>
    <col min="15878" max="15878" width="5.125" style="31" customWidth="1"/>
    <col min="15879" max="15879" width="1.25" style="31" customWidth="1"/>
    <col min="15880" max="15880" width="2.125" style="31" customWidth="1"/>
    <col min="15881" max="15881" width="9.125" style="31" customWidth="1"/>
    <col min="15882" max="15882" width="1.375" style="31" customWidth="1"/>
    <col min="15883" max="15883" width="4.875" style="31" customWidth="1"/>
    <col min="15884" max="15884" width="7.25" style="31" customWidth="1"/>
    <col min="15885" max="15885" width="9" style="31"/>
    <col min="15886" max="15886" width="9.125" style="31" customWidth="1"/>
    <col min="15887" max="16128" width="9" style="31"/>
    <col min="16129" max="16129" width="5.875" style="31" customWidth="1"/>
    <col min="16130" max="16130" width="10.625" style="31" customWidth="1"/>
    <col min="16131" max="16131" width="6.625" style="31" customWidth="1"/>
    <col min="16132" max="16133" width="3.25" style="31" customWidth="1"/>
    <col min="16134" max="16134" width="5.125" style="31" customWidth="1"/>
    <col min="16135" max="16135" width="1.25" style="31" customWidth="1"/>
    <col min="16136" max="16136" width="2.125" style="31" customWidth="1"/>
    <col min="16137" max="16137" width="9.125" style="31" customWidth="1"/>
    <col min="16138" max="16138" width="1.375" style="31" customWidth="1"/>
    <col min="16139" max="16139" width="4.875" style="31" customWidth="1"/>
    <col min="16140" max="16140" width="7.25" style="31" customWidth="1"/>
    <col min="16141" max="16141" width="9" style="31"/>
    <col min="16142" max="16142" width="9.125" style="31" customWidth="1"/>
    <col min="16143" max="16384" width="9" style="31"/>
  </cols>
  <sheetData>
    <row r="1" ht="26.25" spans="1:14">
      <c r="A1" s="478" t="s">
        <v>384</v>
      </c>
      <c r="B1" s="479"/>
      <c r="C1" s="479"/>
      <c r="D1" s="479"/>
      <c r="E1" s="479"/>
      <c r="F1" s="479"/>
      <c r="G1" s="479"/>
      <c r="H1" s="479"/>
      <c r="I1" s="479"/>
      <c r="J1" s="479"/>
      <c r="K1" s="479"/>
      <c r="L1" s="479"/>
      <c r="M1" s="479"/>
      <c r="N1" s="479"/>
    </row>
    <row r="2" ht="29.25" customHeight="1" spans="1:14">
      <c r="A2" s="147"/>
      <c r="B2" s="147"/>
      <c r="C2" s="147"/>
      <c r="D2" s="147"/>
      <c r="E2" s="147"/>
      <c r="F2" s="147"/>
      <c r="G2" s="147"/>
      <c r="H2" s="147"/>
      <c r="I2" s="147"/>
      <c r="J2" s="147"/>
      <c r="K2" s="147"/>
      <c r="L2" s="147"/>
      <c r="M2" s="147"/>
      <c r="N2" s="147"/>
    </row>
    <row r="3" ht="21.95" customHeight="1" spans="1:14">
      <c r="A3" s="480" t="s">
        <v>385</v>
      </c>
      <c r="B3" s="481" t="s">
        <v>386</v>
      </c>
      <c r="C3" s="482"/>
      <c r="D3" s="482"/>
      <c r="E3" s="482"/>
      <c r="F3" s="480" t="s">
        <v>387</v>
      </c>
      <c r="G3" s="480"/>
      <c r="H3" s="480"/>
      <c r="I3" s="483"/>
      <c r="J3" s="483"/>
      <c r="K3" s="483"/>
      <c r="L3" s="483"/>
      <c r="M3" s="483"/>
      <c r="N3" s="483"/>
    </row>
    <row r="4" ht="20.25" spans="1:14">
      <c r="A4" s="483"/>
      <c r="B4" s="483"/>
      <c r="C4" s="483"/>
      <c r="D4" s="483"/>
      <c r="E4" s="483"/>
      <c r="F4" s="483"/>
      <c r="G4" s="483"/>
      <c r="H4" s="483"/>
      <c r="I4" s="483"/>
      <c r="J4" s="483"/>
      <c r="K4" s="483"/>
      <c r="L4" s="483"/>
      <c r="M4" s="483"/>
      <c r="N4" s="483"/>
    </row>
    <row r="5" ht="21.95" customHeight="1" spans="1:14">
      <c r="A5" s="483"/>
      <c r="B5" s="480" t="s">
        <v>388</v>
      </c>
      <c r="C5" s="482"/>
      <c r="D5" s="482"/>
      <c r="E5" s="482"/>
      <c r="F5" s="482"/>
      <c r="G5" s="480" t="s">
        <v>389</v>
      </c>
      <c r="H5" s="480"/>
      <c r="I5" s="480"/>
      <c r="J5" s="480"/>
      <c r="K5" s="483"/>
      <c r="L5" s="483"/>
      <c r="M5" s="483"/>
      <c r="N5" s="483"/>
    </row>
    <row r="6" ht="17.25" customHeight="1" spans="1:14">
      <c r="A6" s="483"/>
      <c r="B6" s="483"/>
      <c r="C6" s="483"/>
      <c r="D6" s="483"/>
      <c r="E6" s="483"/>
      <c r="F6" s="483"/>
      <c r="G6" s="483"/>
      <c r="H6" s="483"/>
      <c r="I6" s="483"/>
      <c r="J6" s="483"/>
      <c r="K6" s="483"/>
      <c r="L6" s="483"/>
      <c r="M6" s="483"/>
      <c r="N6" s="483"/>
    </row>
    <row r="7" ht="21.95" customHeight="1" spans="1:14">
      <c r="A7" s="480" t="s">
        <v>390</v>
      </c>
      <c r="B7" s="483"/>
      <c r="C7" s="483"/>
      <c r="D7" s="484"/>
      <c r="E7" s="484"/>
      <c r="F7" s="484"/>
      <c r="G7" s="484"/>
      <c r="H7" s="484"/>
      <c r="I7" s="480" t="s">
        <v>391</v>
      </c>
      <c r="J7" s="483"/>
      <c r="K7" s="480"/>
      <c r="L7" s="480"/>
      <c r="M7" s="483"/>
      <c r="N7" s="483"/>
    </row>
    <row r="8" ht="17.25" customHeight="1" spans="1:14">
      <c r="A8" s="483"/>
      <c r="B8" s="483"/>
      <c r="C8" s="483"/>
      <c r="D8" s="483"/>
      <c r="E8" s="483"/>
      <c r="F8" s="483"/>
      <c r="G8" s="483"/>
      <c r="H8" s="483"/>
      <c r="I8" s="483"/>
      <c r="J8" s="483"/>
      <c r="K8" s="483"/>
      <c r="L8" s="483"/>
      <c r="M8" s="483"/>
      <c r="N8" s="483"/>
    </row>
    <row r="9" ht="21.95" customHeight="1" spans="1:14">
      <c r="A9" s="480" t="s">
        <v>392</v>
      </c>
      <c r="B9" s="483"/>
      <c r="C9" s="483"/>
      <c r="D9" s="483"/>
      <c r="E9" s="483"/>
      <c r="F9" s="483"/>
      <c r="G9" s="483"/>
      <c r="H9" s="483"/>
      <c r="I9" s="483"/>
      <c r="J9" s="483"/>
      <c r="K9" s="483"/>
      <c r="L9" s="483"/>
      <c r="M9" s="483"/>
      <c r="N9" s="483"/>
    </row>
    <row r="10" ht="20.25" spans="1:14">
      <c r="A10" s="483"/>
      <c r="B10" s="483"/>
      <c r="C10" s="483"/>
      <c r="D10" s="483"/>
      <c r="E10" s="483"/>
      <c r="F10" s="483"/>
      <c r="G10" s="483"/>
      <c r="H10" s="483"/>
      <c r="I10" s="483"/>
      <c r="J10" s="483"/>
      <c r="K10" s="483"/>
      <c r="L10" s="483"/>
      <c r="M10" s="483"/>
      <c r="N10" s="483"/>
    </row>
    <row r="11" ht="21.95" customHeight="1" spans="1:14">
      <c r="A11" s="483"/>
      <c r="B11" s="480" t="s">
        <v>393</v>
      </c>
      <c r="C11" s="483"/>
      <c r="D11" s="483"/>
      <c r="E11" s="483"/>
      <c r="F11" s="483"/>
      <c r="G11" s="483"/>
      <c r="H11" s="483"/>
      <c r="I11" s="483"/>
      <c r="J11" s="480" t="s">
        <v>394</v>
      </c>
      <c r="K11" s="483"/>
      <c r="L11" s="483"/>
      <c r="M11" s="480"/>
      <c r="N11" s="483"/>
    </row>
    <row r="12" ht="20.25" spans="1:14">
      <c r="A12" s="483"/>
      <c r="B12" s="483"/>
      <c r="C12" s="483"/>
      <c r="D12" s="483"/>
      <c r="E12" s="483"/>
      <c r="F12" s="483"/>
      <c r="G12" s="483"/>
      <c r="H12" s="483"/>
      <c r="I12" s="483"/>
      <c r="J12" s="483"/>
      <c r="K12" s="483"/>
      <c r="L12" s="483"/>
      <c r="M12" s="483"/>
      <c r="N12" s="483"/>
    </row>
    <row r="13" ht="21" customHeight="1" spans="1:14">
      <c r="A13" s="485" t="str">
        <f>'Parts A'!B4</f>
        <v>ERASMUS EFFORT</v>
      </c>
      <c r="B13" s="52"/>
      <c r="C13" s="52"/>
      <c r="D13" s="52"/>
      <c r="E13" s="483"/>
      <c r="F13" s="483"/>
      <c r="G13" s="483"/>
      <c r="H13" s="483"/>
      <c r="I13" s="483"/>
      <c r="J13" s="483"/>
      <c r="K13" s="483"/>
      <c r="L13" s="483"/>
      <c r="M13" s="483"/>
      <c r="N13" s="483"/>
    </row>
    <row r="14" ht="20.25" spans="1:14">
      <c r="A14" s="124"/>
      <c r="B14" s="124"/>
      <c r="C14" s="124"/>
      <c r="D14" s="124"/>
      <c r="E14" s="483"/>
      <c r="F14" s="483"/>
      <c r="G14" s="483"/>
      <c r="H14" s="483"/>
      <c r="I14" s="483"/>
      <c r="J14" s="486"/>
      <c r="K14" s="487"/>
      <c r="L14" s="487"/>
      <c r="M14" s="487"/>
      <c r="N14" s="487"/>
    </row>
    <row r="15" ht="20.25" spans="1:14">
      <c r="A15" s="483"/>
      <c r="B15" s="483"/>
      <c r="C15" s="483"/>
      <c r="D15" s="483"/>
      <c r="E15" s="483"/>
      <c r="F15" s="483"/>
      <c r="G15" s="483"/>
      <c r="H15" s="483"/>
      <c r="I15" s="483"/>
      <c r="J15" s="483"/>
      <c r="K15" s="483"/>
      <c r="L15" s="483"/>
      <c r="M15" s="483"/>
      <c r="N15" s="483"/>
    </row>
    <row r="16" ht="20.25" spans="1:14">
      <c r="A16" s="483"/>
      <c r="B16" s="483"/>
      <c r="C16" s="483"/>
      <c r="D16" s="483"/>
      <c r="E16" s="483"/>
      <c r="F16" s="483"/>
      <c r="G16" s="483"/>
      <c r="H16" s="483"/>
      <c r="I16" s="483"/>
      <c r="J16" s="483"/>
      <c r="K16" s="483"/>
      <c r="L16" s="488">
        <f>'Gen Inb'!X6</f>
        <v>46238</v>
      </c>
      <c r="M16" s="489"/>
      <c r="N16" s="489"/>
    </row>
    <row r="17" ht="20.25" spans="1:14">
      <c r="A17" s="483">
        <f>'Gen Inb'!P12</f>
        <v>0</v>
      </c>
      <c r="B17" s="483"/>
      <c r="C17" s="483"/>
      <c r="D17" s="483"/>
      <c r="E17" s="483"/>
      <c r="F17" s="483"/>
      <c r="G17" s="483"/>
      <c r="H17" s="483"/>
      <c r="I17" s="483"/>
      <c r="J17" s="480" t="s">
        <v>300</v>
      </c>
      <c r="K17" s="483"/>
      <c r="L17" s="490"/>
      <c r="M17" s="490"/>
      <c r="N17" s="490"/>
    </row>
  </sheetData>
  <mergeCells count="7">
    <mergeCell ref="A1:N1"/>
    <mergeCell ref="B3:E3"/>
    <mergeCell ref="C5:F5"/>
    <mergeCell ref="D7:H7"/>
    <mergeCell ref="J14:N14"/>
    <mergeCell ref="L16:N17"/>
    <mergeCell ref="A13:D14"/>
  </mergeCells>
  <pageMargins left="0.699305555555556" right="0.699305555555556"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AO197"/>
  <sheetViews>
    <sheetView view="pageBreakPreview" zoomScale="115" zoomScaleNormal="100" topLeftCell="A28" workbookViewId="0">
      <selection activeCell="AI9" sqref="AI9:AO9"/>
    </sheetView>
  </sheetViews>
  <sheetFormatPr defaultColWidth="9" defaultRowHeight="13.5"/>
  <cols>
    <col min="1" max="1" width="2.375" style="413" customWidth="1"/>
    <col min="2" max="2" width="0.625" style="413" customWidth="1"/>
    <col min="3" max="3" width="3.5" style="413" customWidth="1"/>
    <col min="4" max="4" width="5.125" style="413" customWidth="1"/>
    <col min="5" max="5" width="1.75" style="413" customWidth="1"/>
    <col min="6" max="6" width="2" style="413" customWidth="1"/>
    <col min="7" max="7" width="2.5" style="413" customWidth="1"/>
    <col min="8" max="8" width="1.625" style="413" customWidth="1"/>
    <col min="9" max="9" width="2.125" style="413" customWidth="1"/>
    <col min="10" max="10" width="2.375" style="413" customWidth="1"/>
    <col min="11" max="11" width="1.25" style="413" customWidth="1"/>
    <col min="12" max="12" width="4.125" style="413" customWidth="1"/>
    <col min="13" max="13" width="6.625" style="413" customWidth="1"/>
    <col min="14" max="14" width="1.5" style="413" customWidth="1"/>
    <col min="15" max="15" width="2" style="413" customWidth="1"/>
    <col min="16" max="16" width="0.875" style="413" customWidth="1"/>
    <col min="17" max="17" width="2.875" style="413" customWidth="1"/>
    <col min="18" max="18" width="0.75" style="413" customWidth="1"/>
    <col min="19" max="19" width="0.375" style="413" customWidth="1"/>
    <col min="20" max="20" width="0.5" style="413" hidden="1" customWidth="1"/>
    <col min="21" max="21" width="1.5" style="413" customWidth="1"/>
    <col min="22" max="22" width="2.5" style="413" customWidth="1"/>
    <col min="23" max="23" width="1.5" style="413" customWidth="1"/>
    <col min="24" max="24" width="2" style="413" customWidth="1"/>
    <col min="25" max="25" width="2.5" style="413" customWidth="1"/>
    <col min="26" max="27" width="1.5" style="413" customWidth="1"/>
    <col min="28" max="28" width="1.25" style="413" customWidth="1"/>
    <col min="29" max="29" width="1.375" style="413" customWidth="1"/>
    <col min="30" max="30" width="1.625" style="413" customWidth="1"/>
    <col min="31" max="31" width="1.5" style="413" hidden="1" customWidth="1"/>
    <col min="32" max="32" width="0.75" style="413" customWidth="1"/>
    <col min="33" max="33" width="7" style="413" customWidth="1"/>
    <col min="34" max="34" width="2.125" style="413" customWidth="1"/>
    <col min="35" max="35" width="2" style="413" customWidth="1"/>
    <col min="36" max="37" width="1.5" style="413" customWidth="1"/>
    <col min="38" max="38" width="2.75" style="413" customWidth="1"/>
    <col min="39" max="39" width="1.5" style="413" customWidth="1"/>
    <col min="40" max="40" width="0.75" style="413" customWidth="1"/>
    <col min="41" max="41" width="8" style="414" customWidth="1"/>
    <col min="42" max="42" width="1.75" style="413" customWidth="1"/>
    <col min="43" max="16384" width="9" style="413"/>
  </cols>
  <sheetData>
    <row r="1" s="408" customFormat="1" customHeight="1" spans="1:41">
      <c r="C1" s="415" t="s">
        <v>395</v>
      </c>
      <c r="D1" s="415"/>
      <c r="E1" s="415"/>
      <c r="F1" s="415"/>
      <c r="G1" s="415"/>
      <c r="H1" s="415"/>
      <c r="I1" s="415"/>
      <c r="J1" s="415"/>
      <c r="K1" s="415"/>
      <c r="L1" s="415"/>
      <c r="M1" s="415"/>
      <c r="N1" s="415"/>
      <c r="O1" s="415"/>
      <c r="P1" s="415"/>
      <c r="Q1" s="415"/>
      <c r="R1" s="415"/>
      <c r="S1" s="415"/>
      <c r="T1" s="415"/>
      <c r="U1" s="415"/>
      <c r="V1" s="415"/>
      <c r="W1" s="415"/>
      <c r="X1" s="415"/>
      <c r="Y1" s="415"/>
      <c r="Z1" s="415"/>
      <c r="AA1" s="415"/>
      <c r="AB1" s="415"/>
      <c r="AC1" s="415"/>
      <c r="AD1" s="415"/>
      <c r="AE1" s="415"/>
      <c r="AF1" s="415"/>
      <c r="AG1" s="415"/>
      <c r="AH1" s="415"/>
      <c r="AI1" s="415"/>
      <c r="AJ1" s="415"/>
      <c r="AK1" s="415"/>
      <c r="AL1" s="415"/>
      <c r="AM1" s="415"/>
      <c r="AN1" s="415"/>
      <c r="AO1" s="415"/>
    </row>
    <row r="2" s="408" customFormat="1" ht="12" customHeight="1" spans="1:41">
      <c r="C2" s="415"/>
      <c r="D2" s="415"/>
      <c r="E2" s="415"/>
      <c r="F2" s="415"/>
      <c r="G2" s="415"/>
      <c r="H2" s="415"/>
      <c r="I2" s="415"/>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5"/>
      <c r="AJ2" s="415"/>
      <c r="AK2" s="415"/>
      <c r="AL2" s="415"/>
      <c r="AM2" s="415"/>
      <c r="AN2" s="415"/>
      <c r="AO2" s="415"/>
    </row>
    <row r="3" s="408" customFormat="1" ht="6.75" customHeight="1" spans="1:41">
      <c r="C3" s="415"/>
      <c r="D3" s="415"/>
      <c r="E3" s="415"/>
      <c r="F3" s="415"/>
      <c r="G3" s="415"/>
      <c r="H3" s="415"/>
      <c r="I3" s="415"/>
      <c r="J3" s="415"/>
      <c r="K3" s="415"/>
      <c r="L3" s="415"/>
      <c r="M3" s="415"/>
      <c r="N3" s="415"/>
      <c r="O3" s="415"/>
      <c r="P3" s="415"/>
      <c r="Q3" s="415"/>
      <c r="R3" s="415"/>
      <c r="S3" s="415"/>
      <c r="T3" s="415"/>
      <c r="U3" s="415"/>
      <c r="V3" s="415"/>
      <c r="W3" s="415"/>
      <c r="X3" s="415"/>
      <c r="Y3" s="415"/>
      <c r="Z3" s="415"/>
      <c r="AA3" s="415"/>
      <c r="AB3" s="415"/>
      <c r="AC3" s="415"/>
      <c r="AD3" s="415"/>
      <c r="AE3" s="415"/>
      <c r="AF3" s="415"/>
      <c r="AG3" s="415"/>
      <c r="AH3" s="415"/>
      <c r="AI3" s="415"/>
      <c r="AJ3" s="415"/>
      <c r="AK3" s="415"/>
      <c r="AL3" s="415"/>
      <c r="AM3" s="415"/>
      <c r="AN3" s="415"/>
      <c r="AO3" s="415"/>
    </row>
    <row r="4" s="408" customFormat="1" ht="15" customHeight="1" spans="1:41">
      <c r="C4" s="415"/>
      <c r="D4" s="415"/>
      <c r="E4" s="415"/>
      <c r="F4" s="415"/>
      <c r="G4" s="415"/>
      <c r="H4" s="415"/>
      <c r="I4" s="415"/>
      <c r="J4" s="415"/>
      <c r="K4" s="415"/>
      <c r="L4" s="415"/>
      <c r="M4" s="415"/>
      <c r="N4" s="415"/>
      <c r="O4" s="415"/>
      <c r="P4" s="415"/>
      <c r="Q4" s="415"/>
      <c r="R4" s="415"/>
      <c r="S4" s="415"/>
      <c r="T4" s="415"/>
      <c r="U4" s="415"/>
      <c r="V4" s="415"/>
      <c r="W4" s="415"/>
      <c r="X4" s="415"/>
      <c r="Y4" s="415"/>
      <c r="Z4" s="415"/>
      <c r="AA4" s="415"/>
      <c r="AB4" s="415"/>
      <c r="AC4" s="415"/>
      <c r="AD4" s="415"/>
      <c r="AE4" s="415"/>
      <c r="AF4" s="415"/>
      <c r="AG4" s="415"/>
      <c r="AH4" s="415"/>
      <c r="AI4" s="415"/>
      <c r="AJ4" s="415"/>
      <c r="AK4" s="415"/>
      <c r="AL4" s="415"/>
      <c r="AM4" s="415"/>
      <c r="AN4" s="415"/>
      <c r="AO4" s="415"/>
    </row>
    <row r="5" s="408" customFormat="1" ht="9" customHeight="1" spans="1:41">
      <c r="C5" s="415"/>
      <c r="D5" s="415"/>
      <c r="E5" s="415"/>
      <c r="F5" s="415"/>
      <c r="G5" s="415"/>
      <c r="H5" s="415"/>
      <c r="I5" s="415"/>
      <c r="J5" s="415"/>
      <c r="K5" s="415"/>
      <c r="L5" s="415"/>
      <c r="M5" s="415"/>
      <c r="N5" s="415"/>
      <c r="O5" s="415"/>
      <c r="P5" s="415"/>
      <c r="Q5" s="415"/>
      <c r="R5" s="415"/>
      <c r="S5" s="415"/>
      <c r="T5" s="415"/>
      <c r="U5" s="415"/>
      <c r="V5" s="415"/>
      <c r="W5" s="415"/>
      <c r="X5" s="415"/>
      <c r="Y5" s="415"/>
      <c r="Z5" s="415"/>
      <c r="AA5" s="415"/>
      <c r="AB5" s="415"/>
      <c r="AC5" s="415"/>
      <c r="AD5" s="415"/>
      <c r="AE5" s="415"/>
      <c r="AF5" s="415"/>
      <c r="AG5" s="415"/>
      <c r="AH5" s="415"/>
      <c r="AI5" s="415"/>
      <c r="AJ5" s="415"/>
      <c r="AK5" s="415"/>
      <c r="AL5" s="415"/>
      <c r="AM5" s="415"/>
      <c r="AN5" s="415"/>
      <c r="AO5" s="415"/>
    </row>
    <row r="6" s="408" customFormat="1" ht="9" customHeight="1" spans="1:41">
      <c r="C6" s="415"/>
      <c r="D6" s="415"/>
      <c r="E6" s="415"/>
      <c r="F6" s="415"/>
      <c r="G6" s="415"/>
      <c r="H6" s="415"/>
      <c r="I6" s="415"/>
      <c r="J6" s="415"/>
      <c r="K6" s="415"/>
      <c r="L6" s="415"/>
      <c r="M6" s="415"/>
      <c r="N6" s="415"/>
      <c r="O6" s="415"/>
      <c r="P6" s="415"/>
      <c r="Q6" s="415"/>
      <c r="R6" s="415"/>
      <c r="S6" s="415"/>
      <c r="T6" s="415"/>
      <c r="U6" s="415"/>
      <c r="V6" s="415"/>
      <c r="W6" s="415"/>
      <c r="X6" s="415"/>
      <c r="Y6" s="415"/>
      <c r="Z6" s="415"/>
      <c r="AA6" s="415"/>
      <c r="AB6" s="415"/>
      <c r="AC6" s="415"/>
      <c r="AD6" s="415"/>
      <c r="AE6" s="415"/>
      <c r="AF6" s="415"/>
      <c r="AG6" s="415"/>
      <c r="AH6" s="415"/>
      <c r="AI6" s="415"/>
      <c r="AJ6" s="415"/>
      <c r="AK6" s="415"/>
      <c r="AL6" s="415"/>
      <c r="AM6" s="415"/>
      <c r="AN6" s="415"/>
      <c r="AO6" s="415"/>
    </row>
    <row r="7" s="408" customFormat="1" ht="10.5" customHeight="1" spans="1:41">
      <c r="AO7" s="416"/>
    </row>
    <row r="8" s="409" customFormat="1" ht="12" customHeight="1" spans="1:41">
      <c r="A8" s="409" t="s">
        <v>396</v>
      </c>
      <c r="G8" s="417" t="str">
        <f>'Gen Inb'!S7</f>
        <v>NANSHA NEW PORT</v>
      </c>
      <c r="H8" s="417"/>
      <c r="I8" s="417"/>
      <c r="J8" s="417"/>
      <c r="K8" s="417"/>
      <c r="L8" s="417"/>
      <c r="M8" s="417"/>
      <c r="N8" s="409" t="s">
        <v>300</v>
      </c>
      <c r="P8" s="418">
        <f>'Gen Inb'!X6</f>
        <v>46238</v>
      </c>
      <c r="Q8" s="418"/>
      <c r="R8" s="418"/>
      <c r="S8" s="418"/>
      <c r="T8" s="418"/>
      <c r="U8" s="418"/>
      <c r="V8" s="418"/>
      <c r="W8" s="418"/>
      <c r="X8" s="418"/>
      <c r="Y8" s="418"/>
      <c r="Z8" s="418"/>
      <c r="AO8" s="410"/>
    </row>
    <row r="9" s="409" customFormat="1" ht="12" customHeight="1" spans="1:41">
      <c r="A9" s="409" t="s">
        <v>397</v>
      </c>
      <c r="L9" s="419" t="str">
        <f>'Gen Inb'!I7</f>
        <v>ERASMUS EFFORT</v>
      </c>
      <c r="M9" s="419"/>
      <c r="N9" s="420"/>
      <c r="O9" s="409" t="s">
        <v>398</v>
      </c>
      <c r="R9" s="421" t="str">
        <f>'Gen Inb'!I10</f>
        <v>IMO:1032452</v>
      </c>
      <c r="S9" s="421"/>
      <c r="T9" s="421"/>
      <c r="U9" s="421"/>
      <c r="V9" s="421"/>
      <c r="W9" s="421"/>
      <c r="X9" s="409" t="s">
        <v>344</v>
      </c>
      <c r="AB9" s="419" t="str">
        <f>'Gen Inb'!F9</f>
        <v>PANAMA</v>
      </c>
      <c r="AC9" s="419"/>
      <c r="AD9" s="419"/>
      <c r="AE9" s="419"/>
      <c r="AF9" s="419"/>
      <c r="AG9" s="409" t="s">
        <v>399</v>
      </c>
      <c r="AI9" s="419" t="str">
        <f>'Gen Inb'!M8</f>
        <v>李继祥</v>
      </c>
      <c r="AJ9" s="419"/>
      <c r="AK9" s="419"/>
      <c r="AL9" s="419"/>
      <c r="AM9" s="419"/>
      <c r="AN9" s="419"/>
      <c r="AO9" s="419"/>
    </row>
    <row r="10" s="409" customFormat="1" ht="12" customHeight="1" spans="1:41">
      <c r="A10" s="409" t="s">
        <v>400</v>
      </c>
      <c r="G10" s="422" t="str">
        <f>'Gen Inb'!W9</f>
        <v>HO CHI MINH CITY</v>
      </c>
      <c r="H10" s="422"/>
      <c r="I10" s="422"/>
      <c r="J10" s="422"/>
      <c r="K10" s="422"/>
      <c r="L10" s="422"/>
      <c r="M10" s="422"/>
      <c r="N10" s="422"/>
      <c r="O10" s="422"/>
      <c r="P10" s="422"/>
      <c r="Q10" s="423" t="s">
        <v>401</v>
      </c>
      <c r="R10" s="423"/>
      <c r="S10" s="423"/>
      <c r="T10" s="423"/>
      <c r="U10" s="423"/>
      <c r="V10" s="423"/>
      <c r="W10" s="423"/>
      <c r="X10" s="423"/>
      <c r="Y10" s="418">
        <f>'Gen Inb'!X6</f>
        <v>46238</v>
      </c>
      <c r="Z10" s="418"/>
      <c r="AA10" s="418"/>
      <c r="AB10" s="418"/>
      <c r="AC10" s="418"/>
      <c r="AD10" s="418"/>
      <c r="AE10" s="418"/>
      <c r="AF10" s="418"/>
      <c r="AG10" s="418"/>
      <c r="AH10" s="418"/>
      <c r="AI10" s="418"/>
      <c r="AJ10" s="418"/>
      <c r="AK10" s="418"/>
      <c r="AL10" s="424"/>
      <c r="AM10" s="424"/>
      <c r="AN10" s="425"/>
      <c r="AO10" s="425"/>
    </row>
    <row r="11" s="409" customFormat="1" ht="12" customHeight="1" spans="1:41">
      <c r="A11" s="409" t="s">
        <v>402</v>
      </c>
      <c r="E11" s="422" t="str">
        <f>'Gen Outb'!W9</f>
        <v>HO CHI MINH CITY</v>
      </c>
      <c r="F11" s="426"/>
      <c r="G11" s="426"/>
      <c r="H11" s="426"/>
      <c r="I11" s="426"/>
      <c r="J11" s="426"/>
      <c r="K11" s="426"/>
      <c r="L11" s="426"/>
      <c r="M11" s="426"/>
      <c r="N11" s="426"/>
      <c r="O11" s="426"/>
      <c r="P11" s="426"/>
      <c r="Q11" s="409" t="s">
        <v>403</v>
      </c>
      <c r="Z11" s="418">
        <v>43783</v>
      </c>
      <c r="AA11" s="422"/>
      <c r="AB11" s="422"/>
      <c r="AC11" s="422"/>
      <c r="AD11" s="422"/>
      <c r="AE11" s="422"/>
      <c r="AF11" s="422"/>
      <c r="AG11" s="422"/>
      <c r="AH11" s="422"/>
      <c r="AI11" s="422"/>
      <c r="AJ11" s="422"/>
      <c r="AK11" s="422"/>
      <c r="AO11" s="410"/>
    </row>
    <row r="12" s="409" customFormat="1" ht="2.1" customHeight="1" spans="1:41">
      <c r="A12" s="409" t="s">
        <v>404</v>
      </c>
      <c r="B12" s="427"/>
      <c r="C12" s="427"/>
      <c r="D12" s="427"/>
      <c r="E12" s="427"/>
      <c r="F12" s="428">
        <f>'Gen Inb'!E12</f>
        <v>9562</v>
      </c>
      <c r="G12" s="428"/>
      <c r="H12" s="409" t="s">
        <v>405</v>
      </c>
      <c r="I12" s="427"/>
      <c r="J12" s="427"/>
      <c r="K12" s="427"/>
      <c r="L12" s="427"/>
      <c r="M12" s="427"/>
      <c r="N12" s="427"/>
      <c r="O12" s="427"/>
      <c r="P12" s="427"/>
      <c r="Q12" s="427"/>
      <c r="R12" s="427"/>
      <c r="Y12" s="409" t="s">
        <v>406</v>
      </c>
      <c r="Z12" s="427"/>
      <c r="AA12" s="427"/>
      <c r="AB12" s="427"/>
      <c r="AC12" s="427"/>
      <c r="AD12" s="427"/>
      <c r="AE12" s="427"/>
      <c r="AF12" s="427"/>
      <c r="AG12" s="427"/>
      <c r="AH12" s="427"/>
      <c r="AI12" s="427"/>
      <c r="AJ12" s="429"/>
      <c r="AK12" s="430"/>
      <c r="AO12" s="410"/>
    </row>
    <row r="13" s="409" customFormat="1" ht="8.1" customHeight="1" spans="1:41">
      <c r="A13" s="427"/>
      <c r="B13" s="427"/>
      <c r="C13" s="427"/>
      <c r="D13" s="427"/>
      <c r="E13" s="427"/>
      <c r="F13" s="431"/>
      <c r="G13" s="431"/>
      <c r="H13" s="427"/>
      <c r="I13" s="427"/>
      <c r="J13" s="427"/>
      <c r="K13" s="427"/>
      <c r="L13" s="427"/>
      <c r="M13" s="427"/>
      <c r="N13" s="427"/>
      <c r="O13" s="427"/>
      <c r="P13" s="427"/>
      <c r="Q13" s="427"/>
      <c r="R13" s="427"/>
      <c r="S13" s="432" t="s">
        <v>407</v>
      </c>
      <c r="V13" s="409" t="s">
        <v>408</v>
      </c>
      <c r="W13" s="433"/>
      <c r="Y13" s="427"/>
      <c r="Z13" s="427"/>
      <c r="AA13" s="427"/>
      <c r="AB13" s="427"/>
      <c r="AC13" s="427"/>
      <c r="AD13" s="427"/>
      <c r="AE13" s="427"/>
      <c r="AF13" s="427"/>
      <c r="AG13" s="427"/>
      <c r="AH13" s="427"/>
      <c r="AI13" s="427"/>
      <c r="AJ13" s="434"/>
      <c r="AL13" s="409" t="s">
        <v>408</v>
      </c>
      <c r="AM13" s="433" t="s">
        <v>407</v>
      </c>
      <c r="AO13" s="410"/>
    </row>
    <row r="14" s="409" customFormat="1" ht="2.1" customHeight="1" spans="1:41">
      <c r="A14" s="427"/>
      <c r="B14" s="427"/>
      <c r="C14" s="427"/>
      <c r="D14" s="427"/>
      <c r="E14" s="427"/>
      <c r="F14" s="430"/>
      <c r="G14" s="430"/>
      <c r="H14" s="427"/>
      <c r="I14" s="427"/>
      <c r="J14" s="427"/>
      <c r="K14" s="427"/>
      <c r="L14" s="427"/>
      <c r="M14" s="427"/>
      <c r="N14" s="427"/>
      <c r="O14" s="427"/>
      <c r="P14" s="427"/>
      <c r="Q14" s="427"/>
      <c r="R14" s="427"/>
      <c r="S14" s="435"/>
      <c r="W14" s="435"/>
      <c r="Y14" s="427"/>
      <c r="Z14" s="427"/>
      <c r="AA14" s="427"/>
      <c r="AB14" s="427"/>
      <c r="AC14" s="427"/>
      <c r="AD14" s="427"/>
      <c r="AE14" s="427"/>
      <c r="AF14" s="427"/>
      <c r="AG14" s="427"/>
      <c r="AH14" s="427"/>
      <c r="AI14" s="427"/>
      <c r="AJ14" s="430"/>
      <c r="AM14" s="430"/>
      <c r="AO14" s="410"/>
    </row>
    <row r="15" s="409" customFormat="1" ht="12" customHeight="1" spans="1:41">
      <c r="A15" s="409" t="s">
        <v>409</v>
      </c>
      <c r="K15" s="436"/>
      <c r="L15" s="436"/>
      <c r="M15" s="437"/>
      <c r="N15" s="436" t="s">
        <v>410</v>
      </c>
      <c r="O15" s="436"/>
      <c r="P15" s="436"/>
      <c r="Q15" s="436"/>
      <c r="R15" s="436"/>
      <c r="S15" s="436"/>
      <c r="T15" s="436"/>
      <c r="U15" s="436"/>
      <c r="V15" s="436"/>
      <c r="W15" s="436"/>
      <c r="X15" s="436"/>
      <c r="Y15" s="436"/>
      <c r="Z15" s="436"/>
      <c r="AA15" s="436"/>
      <c r="AB15" s="436"/>
      <c r="AC15" s="436"/>
      <c r="AD15" s="436"/>
      <c r="AE15" s="436"/>
      <c r="AF15" s="436"/>
      <c r="AG15" s="436"/>
      <c r="AH15" s="436"/>
      <c r="AI15" s="436"/>
      <c r="AJ15" s="436"/>
      <c r="AK15" s="436"/>
      <c r="AL15" s="436"/>
      <c r="AM15" s="436"/>
      <c r="AN15" s="436"/>
      <c r="AO15" s="436"/>
    </row>
    <row r="16" s="409" customFormat="1" ht="2.1" customHeight="1" spans="1:41">
      <c r="A16" s="409" t="s">
        <v>411</v>
      </c>
      <c r="B16" s="427"/>
      <c r="C16" s="427"/>
      <c r="D16" s="427"/>
      <c r="E16" s="427"/>
      <c r="F16" s="427"/>
      <c r="G16" s="427"/>
      <c r="H16" s="427"/>
      <c r="I16" s="427"/>
      <c r="J16" s="427"/>
      <c r="K16" s="427"/>
      <c r="L16" s="427"/>
      <c r="M16" s="427"/>
      <c r="N16" s="427"/>
      <c r="O16" s="427"/>
      <c r="P16" s="427"/>
      <c r="Q16" s="427"/>
      <c r="R16" s="427"/>
      <c r="S16" s="427"/>
      <c r="T16" s="427"/>
      <c r="U16" s="427"/>
      <c r="V16" s="427"/>
      <c r="W16" s="429"/>
      <c r="X16" s="430"/>
      <c r="Y16" s="435" t="s">
        <v>408</v>
      </c>
      <c r="Z16" s="429"/>
      <c r="AA16" s="430"/>
      <c r="AB16" s="430" t="s">
        <v>412</v>
      </c>
      <c r="AC16" s="438"/>
      <c r="AD16" s="438"/>
      <c r="AE16" s="438"/>
      <c r="AF16" s="439"/>
      <c r="AG16" s="439"/>
      <c r="AH16" s="439"/>
      <c r="AI16" s="409" t="s">
        <v>413</v>
      </c>
      <c r="AJ16" s="427"/>
      <c r="AK16" s="440"/>
      <c r="AL16" s="441"/>
      <c r="AM16" s="441"/>
      <c r="AN16" s="441"/>
      <c r="AO16" s="441"/>
    </row>
    <row r="17" s="409" customFormat="1" ht="8.1" customHeight="1" spans="1:41">
      <c r="A17" s="427"/>
      <c r="B17" s="427"/>
      <c r="C17" s="427"/>
      <c r="D17" s="427"/>
      <c r="E17" s="427"/>
      <c r="F17" s="427"/>
      <c r="G17" s="427"/>
      <c r="H17" s="427"/>
      <c r="I17" s="427"/>
      <c r="J17" s="427"/>
      <c r="K17" s="427"/>
      <c r="L17" s="427"/>
      <c r="M17" s="427"/>
      <c r="N17" s="427"/>
      <c r="O17" s="427"/>
      <c r="P17" s="427"/>
      <c r="Q17" s="427"/>
      <c r="R17" s="427"/>
      <c r="S17" s="427"/>
      <c r="T17" s="427"/>
      <c r="U17" s="427"/>
      <c r="V17" s="427"/>
      <c r="W17" s="442" t="s">
        <v>407</v>
      </c>
      <c r="X17" s="427"/>
      <c r="Y17" s="443"/>
      <c r="Z17" s="444"/>
      <c r="AA17" s="427"/>
      <c r="AB17" s="427"/>
      <c r="AC17" s="427"/>
      <c r="AD17" s="427"/>
      <c r="AE17" s="427"/>
      <c r="AF17" s="420"/>
      <c r="AG17" s="420"/>
      <c r="AH17" s="420"/>
      <c r="AI17" s="427"/>
      <c r="AJ17" s="427"/>
      <c r="AK17" s="445"/>
      <c r="AL17" s="445"/>
      <c r="AM17" s="445"/>
      <c r="AN17" s="445"/>
      <c r="AO17" s="445"/>
    </row>
    <row r="18" s="409" customFormat="1" ht="2.1" customHeight="1" spans="1:41">
      <c r="A18" s="427"/>
      <c r="B18" s="427"/>
      <c r="C18" s="427"/>
      <c r="D18" s="427"/>
      <c r="E18" s="427"/>
      <c r="F18" s="427"/>
      <c r="G18" s="427"/>
      <c r="H18" s="427"/>
      <c r="I18" s="427"/>
      <c r="J18" s="427"/>
      <c r="K18" s="427"/>
      <c r="L18" s="427"/>
      <c r="M18" s="427"/>
      <c r="N18" s="427"/>
      <c r="O18" s="427"/>
      <c r="P18" s="427"/>
      <c r="Q18" s="427"/>
      <c r="R18" s="427"/>
      <c r="S18" s="427"/>
      <c r="T18" s="427"/>
      <c r="U18" s="427"/>
      <c r="V18" s="427"/>
      <c r="W18" s="430"/>
      <c r="X18" s="427"/>
      <c r="Y18" s="443"/>
      <c r="Z18" s="430"/>
      <c r="AA18" s="438"/>
      <c r="AB18" s="427"/>
      <c r="AC18" s="427"/>
      <c r="AD18" s="427"/>
      <c r="AE18" s="427"/>
      <c r="AF18" s="430"/>
      <c r="AG18" s="430"/>
      <c r="AI18" s="427"/>
      <c r="AJ18" s="427"/>
      <c r="AK18" s="430"/>
      <c r="AL18" s="430"/>
      <c r="AM18" s="430"/>
      <c r="AO18" s="410"/>
    </row>
    <row r="19" s="409" customFormat="1" ht="2.1" customHeight="1" spans="1:41">
      <c r="A19" s="409" t="s">
        <v>414</v>
      </c>
      <c r="AA19" s="446"/>
      <c r="AB19" s="427"/>
      <c r="AC19" s="447" t="s">
        <v>408</v>
      </c>
      <c r="AD19" s="447"/>
      <c r="AE19" s="427"/>
      <c r="AF19" s="430"/>
      <c r="AG19" s="448" t="s">
        <v>415</v>
      </c>
      <c r="AH19" s="448"/>
      <c r="AI19" s="448"/>
      <c r="AJ19" s="448"/>
      <c r="AK19" s="448"/>
      <c r="AL19" s="448"/>
      <c r="AM19" s="448"/>
      <c r="AN19" s="448"/>
      <c r="AO19" s="448"/>
    </row>
    <row r="20" s="409" customFormat="1" ht="8.1" customHeight="1" spans="1:41">
      <c r="AA20" s="434"/>
      <c r="AC20" s="447"/>
      <c r="AD20" s="447"/>
      <c r="AE20" s="449" t="s">
        <v>407</v>
      </c>
      <c r="AG20" s="448"/>
      <c r="AH20" s="448"/>
      <c r="AI20" s="448"/>
      <c r="AJ20" s="448"/>
      <c r="AK20" s="448"/>
      <c r="AL20" s="448"/>
      <c r="AM20" s="448"/>
      <c r="AN20" s="448"/>
      <c r="AO20" s="448"/>
    </row>
    <row r="21" s="409" customFormat="1" ht="2.1" customHeight="1" spans="1:41">
      <c r="AA21" s="430"/>
      <c r="AC21" s="447"/>
      <c r="AD21" s="447"/>
      <c r="AE21" s="430"/>
      <c r="AG21" s="448"/>
      <c r="AH21" s="448"/>
      <c r="AI21" s="448"/>
      <c r="AJ21" s="448"/>
      <c r="AK21" s="448"/>
      <c r="AL21" s="448"/>
      <c r="AM21" s="448"/>
      <c r="AN21" s="448"/>
      <c r="AO21" s="448"/>
    </row>
    <row r="22" s="409" customFormat="1" ht="12" customHeight="1" spans="1:41">
      <c r="A22" s="450"/>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row>
    <row r="23" s="409" customFormat="1" ht="12" customHeight="1" spans="1:41">
      <c r="A23" s="435" t="s">
        <v>416</v>
      </c>
      <c r="B23" s="435"/>
      <c r="C23" s="435"/>
      <c r="D23" s="435"/>
      <c r="E23" s="435"/>
      <c r="F23" s="435"/>
      <c r="G23" s="435"/>
      <c r="H23" s="435"/>
      <c r="I23" s="435"/>
      <c r="J23" s="435"/>
      <c r="K23" s="435"/>
      <c r="L23" s="435"/>
      <c r="M23" s="435"/>
      <c r="N23" s="435"/>
      <c r="O23" s="435"/>
      <c r="P23" s="435"/>
      <c r="Q23" s="435"/>
      <c r="R23" s="435"/>
      <c r="S23" s="435"/>
      <c r="T23" s="435"/>
      <c r="U23" s="435"/>
      <c r="V23" s="435"/>
      <c r="W23" s="435"/>
      <c r="X23" s="435"/>
      <c r="Y23" s="435"/>
      <c r="Z23" s="435"/>
      <c r="AA23" s="435"/>
      <c r="AB23" s="435"/>
      <c r="AC23" s="435"/>
      <c r="AD23" s="435"/>
      <c r="AE23" s="435"/>
      <c r="AF23" s="435"/>
      <c r="AG23" s="435"/>
      <c r="AH23" s="435"/>
      <c r="AI23" s="435"/>
      <c r="AJ23" s="435"/>
      <c r="AK23" s="435"/>
      <c r="AL23" s="435"/>
      <c r="AM23" s="451"/>
      <c r="AN23" s="451"/>
      <c r="AO23" s="451"/>
    </row>
    <row r="24" s="409" customFormat="1" ht="12" customHeight="1" spans="1:41">
      <c r="A24" s="429" t="s">
        <v>417</v>
      </c>
      <c r="B24" s="429"/>
      <c r="C24" s="429"/>
      <c r="D24" s="429"/>
      <c r="E24" s="429"/>
      <c r="F24" s="429"/>
      <c r="G24" s="429"/>
      <c r="H24" s="429"/>
      <c r="I24" s="429"/>
      <c r="J24" s="429"/>
      <c r="K24" s="429"/>
      <c r="L24" s="429"/>
      <c r="M24" s="429"/>
      <c r="N24" s="429"/>
      <c r="O24" s="429"/>
      <c r="P24" s="429"/>
      <c r="Q24" s="429"/>
      <c r="R24" s="429"/>
      <c r="S24" s="429"/>
      <c r="T24" s="429"/>
      <c r="U24" s="429"/>
      <c r="V24" s="429"/>
      <c r="W24" s="429"/>
      <c r="X24" s="429"/>
      <c r="Y24" s="429"/>
      <c r="Z24" s="429"/>
      <c r="AA24" s="429"/>
      <c r="AB24" s="429"/>
      <c r="AC24" s="429"/>
      <c r="AD24" s="429"/>
      <c r="AE24" s="429"/>
      <c r="AF24" s="429"/>
      <c r="AG24" s="429"/>
      <c r="AH24" s="429"/>
      <c r="AI24" s="429"/>
      <c r="AJ24" s="429"/>
      <c r="AK24" s="429"/>
      <c r="AL24" s="429"/>
      <c r="AM24" s="446"/>
      <c r="AN24" s="452"/>
      <c r="AO24" s="452"/>
    </row>
    <row r="25" s="409" customFormat="1" ht="12" customHeight="1" spans="1:41">
      <c r="A25" s="453"/>
      <c r="B25" s="453"/>
      <c r="C25" s="453"/>
      <c r="D25" s="453"/>
      <c r="E25" s="453"/>
      <c r="F25" s="453"/>
      <c r="G25" s="453"/>
      <c r="H25" s="453"/>
      <c r="I25" s="453"/>
      <c r="J25" s="453"/>
      <c r="K25" s="453"/>
      <c r="L25" s="453"/>
      <c r="M25" s="453"/>
      <c r="N25" s="453"/>
      <c r="O25" s="453"/>
      <c r="P25" s="453"/>
      <c r="Q25" s="453"/>
      <c r="R25" s="453"/>
      <c r="S25" s="453"/>
      <c r="T25" s="453"/>
      <c r="U25" s="453"/>
      <c r="V25" s="453"/>
      <c r="W25" s="453"/>
      <c r="X25" s="453"/>
      <c r="Y25" s="453"/>
      <c r="Z25" s="453"/>
      <c r="AA25" s="453"/>
      <c r="AB25" s="453"/>
      <c r="AC25" s="453"/>
      <c r="AD25" s="453"/>
      <c r="AE25" s="453"/>
      <c r="AF25" s="453"/>
      <c r="AG25" s="453"/>
      <c r="AH25" s="453"/>
      <c r="AI25" s="453"/>
      <c r="AJ25" s="453"/>
      <c r="AK25" s="453"/>
      <c r="AL25" s="453"/>
      <c r="AM25" s="454"/>
      <c r="AN25" s="455"/>
      <c r="AO25" s="455"/>
    </row>
    <row r="26" s="409" customFormat="1" ht="12" customHeight="1" spans="1:41">
      <c r="A26" s="456" t="s">
        <v>418</v>
      </c>
      <c r="B26" s="456"/>
      <c r="C26" s="456"/>
      <c r="D26" s="456"/>
      <c r="E26" s="456"/>
      <c r="F26" s="456"/>
      <c r="G26" s="456"/>
      <c r="H26" s="456"/>
      <c r="I26" s="456"/>
      <c r="J26" s="456"/>
      <c r="K26" s="456"/>
      <c r="L26" s="456"/>
      <c r="M26" s="456"/>
      <c r="N26" s="456"/>
      <c r="O26" s="456"/>
      <c r="P26" s="456"/>
      <c r="Q26" s="456"/>
      <c r="R26" s="456"/>
      <c r="S26" s="456"/>
      <c r="T26" s="456"/>
      <c r="U26" s="456"/>
      <c r="V26" s="456"/>
      <c r="W26" s="456"/>
      <c r="X26" s="456"/>
      <c r="Y26" s="456"/>
      <c r="Z26" s="456"/>
      <c r="AA26" s="456"/>
      <c r="AB26" s="456"/>
      <c r="AC26" s="456"/>
      <c r="AD26" s="456"/>
      <c r="AE26" s="456"/>
      <c r="AF26" s="456"/>
      <c r="AG26" s="456"/>
      <c r="AH26" s="456"/>
      <c r="AI26" s="456"/>
      <c r="AJ26" s="456"/>
      <c r="AK26" s="456"/>
      <c r="AL26" s="456"/>
      <c r="AM26" s="457"/>
      <c r="AN26" s="458"/>
      <c r="AO26" s="458"/>
    </row>
    <row r="27" s="409" customFormat="1" ht="12" customHeight="1" spans="1:41">
      <c r="A27" s="459" t="s">
        <v>419</v>
      </c>
      <c r="B27" s="459"/>
      <c r="C27" s="459"/>
      <c r="D27" s="459"/>
      <c r="E27" s="459"/>
      <c r="F27" s="459"/>
      <c r="G27" s="459"/>
      <c r="H27" s="459"/>
      <c r="I27" s="459"/>
      <c r="J27" s="459"/>
      <c r="K27" s="459"/>
      <c r="L27" s="459"/>
      <c r="M27" s="459"/>
      <c r="N27" s="459"/>
      <c r="O27" s="459"/>
      <c r="P27" s="459"/>
      <c r="Q27" s="459"/>
      <c r="R27" s="459"/>
      <c r="S27" s="459"/>
      <c r="T27" s="459"/>
      <c r="U27" s="459"/>
      <c r="V27" s="459"/>
      <c r="W27" s="459"/>
      <c r="X27" s="459"/>
      <c r="Y27" s="459"/>
      <c r="Z27" s="459"/>
      <c r="AA27" s="459"/>
      <c r="AB27" s="459"/>
      <c r="AC27" s="459"/>
      <c r="AD27" s="459"/>
      <c r="AE27" s="459"/>
      <c r="AF27" s="459"/>
      <c r="AG27" s="459"/>
      <c r="AH27" s="459"/>
      <c r="AI27" s="459"/>
      <c r="AJ27" s="459"/>
      <c r="AK27" s="459"/>
      <c r="AL27" s="459"/>
      <c r="AM27" s="460"/>
      <c r="AN27" s="461"/>
      <c r="AO27" s="461"/>
    </row>
    <row r="28" s="409" customFormat="1" ht="12" customHeight="1" spans="1:41">
      <c r="A28" s="409" t="s">
        <v>420</v>
      </c>
      <c r="AO28" s="410"/>
    </row>
    <row r="29" s="409" customFormat="1" ht="12" customHeight="1" spans="1:41">
      <c r="A29" s="462" t="s">
        <v>421</v>
      </c>
      <c r="B29" s="409" t="s">
        <v>422</v>
      </c>
      <c r="D29" s="463" t="s">
        <v>423</v>
      </c>
      <c r="E29" s="463"/>
      <c r="F29" s="463"/>
      <c r="G29" s="463"/>
      <c r="H29" s="463"/>
      <c r="I29" s="409" t="s">
        <v>424</v>
      </c>
      <c r="M29" s="463" t="s">
        <v>423</v>
      </c>
      <c r="N29" s="463"/>
      <c r="O29" s="463"/>
      <c r="P29" s="463"/>
      <c r="Q29" s="463"/>
      <c r="R29" s="427" t="s">
        <v>425</v>
      </c>
      <c r="T29" s="463" t="s">
        <v>423</v>
      </c>
      <c r="U29" s="463"/>
      <c r="V29" s="463"/>
      <c r="W29" s="463"/>
      <c r="X29" s="463"/>
      <c r="Y29" s="463"/>
      <c r="Z29" s="464" t="s">
        <v>426</v>
      </c>
      <c r="AA29" s="388"/>
      <c r="AB29" s="463" t="s">
        <v>423</v>
      </c>
      <c r="AC29" s="463"/>
      <c r="AD29" s="463"/>
      <c r="AE29" s="463"/>
      <c r="AF29" s="463"/>
      <c r="AG29" s="463"/>
      <c r="AO29" s="410"/>
    </row>
    <row r="30" s="409" customFormat="1" ht="12" customHeight="1" spans="1:41">
      <c r="A30" s="462" t="s">
        <v>427</v>
      </c>
      <c r="B30" s="409" t="s">
        <v>422</v>
      </c>
      <c r="D30" s="463" t="s">
        <v>423</v>
      </c>
      <c r="E30" s="463"/>
      <c r="F30" s="463"/>
      <c r="G30" s="463"/>
      <c r="H30" s="463"/>
      <c r="I30" s="409" t="s">
        <v>424</v>
      </c>
      <c r="M30" s="465" t="s">
        <v>423</v>
      </c>
      <c r="N30" s="465"/>
      <c r="O30" s="465"/>
      <c r="P30" s="465"/>
      <c r="Q30" s="465"/>
      <c r="R30" s="427" t="s">
        <v>425</v>
      </c>
      <c r="T30" s="463" t="s">
        <v>423</v>
      </c>
      <c r="U30" s="463"/>
      <c r="V30" s="463"/>
      <c r="W30" s="463"/>
      <c r="X30" s="463"/>
      <c r="Y30" s="463"/>
      <c r="Z30" s="464" t="s">
        <v>426</v>
      </c>
      <c r="AA30" s="388"/>
      <c r="AB30" s="463" t="s">
        <v>423</v>
      </c>
      <c r="AC30" s="463"/>
      <c r="AD30" s="463"/>
      <c r="AE30" s="463"/>
      <c r="AF30" s="463"/>
      <c r="AG30" s="463"/>
      <c r="AO30" s="410"/>
    </row>
    <row r="31" s="409" customFormat="1" ht="12" customHeight="1" spans="1:41">
      <c r="A31" s="462" t="s">
        <v>428</v>
      </c>
      <c r="B31" s="409" t="s">
        <v>422</v>
      </c>
      <c r="D31" s="463" t="s">
        <v>423</v>
      </c>
      <c r="E31" s="463"/>
      <c r="F31" s="463"/>
      <c r="G31" s="463"/>
      <c r="H31" s="463"/>
      <c r="I31" s="409" t="s">
        <v>424</v>
      </c>
      <c r="M31" s="465" t="s">
        <v>423</v>
      </c>
      <c r="N31" s="465"/>
      <c r="O31" s="465"/>
      <c r="P31" s="465"/>
      <c r="Q31" s="465"/>
      <c r="R31" s="427" t="s">
        <v>425</v>
      </c>
      <c r="T31" s="463" t="s">
        <v>423</v>
      </c>
      <c r="U31" s="463"/>
      <c r="V31" s="463"/>
      <c r="W31" s="463"/>
      <c r="X31" s="463"/>
      <c r="Y31" s="463"/>
      <c r="Z31" s="464" t="s">
        <v>426</v>
      </c>
      <c r="AA31" s="388"/>
      <c r="AB31" s="463" t="s">
        <v>423</v>
      </c>
      <c r="AC31" s="463"/>
      <c r="AD31" s="463"/>
      <c r="AE31" s="463"/>
      <c r="AF31" s="463"/>
      <c r="AG31" s="463"/>
      <c r="AO31" s="410"/>
    </row>
    <row r="32" s="409" customFormat="1" ht="9.75" customHeight="1" spans="1:41">
      <c r="A32" s="409" t="s">
        <v>429</v>
      </c>
      <c r="J32" s="422">
        <f>'Gen Outb'!H24</f>
        <v>17</v>
      </c>
      <c r="K32" s="422"/>
      <c r="M32" s="409" t="s">
        <v>430</v>
      </c>
      <c r="V32" s="435"/>
      <c r="W32" s="435"/>
      <c r="X32" s="465" t="s">
        <v>423</v>
      </c>
      <c r="Y32" s="465"/>
      <c r="AO32" s="410"/>
    </row>
    <row r="33" s="409" customFormat="1" ht="7.5" customHeight="1" spans="1:41">
      <c r="AO33" s="410"/>
    </row>
    <row r="34" s="409" customFormat="1" ht="9.75" customHeight="1" spans="1:41">
      <c r="A34" s="466" t="s">
        <v>431</v>
      </c>
      <c r="B34" s="466"/>
      <c r="C34" s="466"/>
      <c r="D34" s="466"/>
      <c r="E34" s="466"/>
      <c r="F34" s="466"/>
      <c r="G34" s="466"/>
      <c r="H34" s="466"/>
      <c r="I34" s="466"/>
      <c r="J34" s="466"/>
      <c r="K34" s="466"/>
      <c r="L34" s="466"/>
      <c r="M34" s="466"/>
      <c r="N34" s="466"/>
      <c r="O34" s="466"/>
      <c r="P34" s="466"/>
      <c r="Q34" s="466"/>
      <c r="R34" s="466"/>
      <c r="S34" s="466"/>
      <c r="T34" s="466"/>
      <c r="U34" s="466"/>
      <c r="V34" s="466"/>
      <c r="W34" s="466"/>
      <c r="X34" s="466"/>
      <c r="Y34" s="466"/>
      <c r="Z34" s="466"/>
      <c r="AA34" s="466"/>
      <c r="AB34" s="466"/>
      <c r="AC34" s="466"/>
      <c r="AD34" s="466"/>
      <c r="AE34" s="466"/>
      <c r="AF34" s="466"/>
      <c r="AG34" s="466"/>
      <c r="AH34" s="466"/>
      <c r="AI34" s="466"/>
      <c r="AJ34" s="466"/>
      <c r="AK34" s="466"/>
      <c r="AL34" s="466"/>
      <c r="AM34" s="466"/>
      <c r="AN34" s="466"/>
      <c r="AO34" s="466"/>
    </row>
    <row r="35" s="409" customFormat="1" ht="7.5" customHeight="1" spans="1:41">
      <c r="AO35" s="410"/>
    </row>
    <row r="36" s="409" customFormat="1" ht="2.1" customHeight="1" spans="1:41">
      <c r="A36" s="467" t="s">
        <v>421</v>
      </c>
      <c r="B36" s="409" t="s">
        <v>432</v>
      </c>
      <c r="AI36" s="447" t="s">
        <v>433</v>
      </c>
      <c r="AJ36" s="207"/>
      <c r="AM36" s="447" t="s">
        <v>408</v>
      </c>
      <c r="AN36" s="447"/>
      <c r="AO36" s="410"/>
    </row>
    <row r="37" s="409" customFormat="1" ht="8.1" customHeight="1" spans="1:41">
      <c r="A37" s="468"/>
      <c r="AI37" s="207"/>
      <c r="AJ37" s="207"/>
      <c r="AK37" s="434"/>
      <c r="AM37" s="447"/>
      <c r="AN37" s="447"/>
      <c r="AO37" s="433" t="s">
        <v>407</v>
      </c>
    </row>
    <row r="38" s="409" customFormat="1" ht="2.1" customHeight="1" spans="1:41">
      <c r="A38" s="468"/>
      <c r="AI38" s="207"/>
      <c r="AJ38" s="207"/>
      <c r="AK38" s="430"/>
      <c r="AM38" s="447"/>
      <c r="AN38" s="447"/>
      <c r="AO38" s="469"/>
    </row>
    <row r="39" s="409" customFormat="1" ht="12" spans="1:41">
      <c r="B39" s="409" t="s">
        <v>434</v>
      </c>
      <c r="S39" s="429"/>
      <c r="T39" s="429"/>
      <c r="U39" s="429"/>
      <c r="V39" s="429"/>
      <c r="W39" s="429"/>
      <c r="X39" s="429"/>
      <c r="Y39" s="429"/>
      <c r="Z39" s="470" t="s">
        <v>435</v>
      </c>
      <c r="AI39" s="447"/>
      <c r="AJ39" s="447"/>
      <c r="AM39" s="447"/>
      <c r="AN39" s="447"/>
      <c r="AO39" s="410"/>
    </row>
    <row r="40" s="409" customFormat="1" ht="2.1" customHeight="1" spans="1:41">
      <c r="A40" s="467" t="s">
        <v>427</v>
      </c>
      <c r="B40" s="409" t="s">
        <v>436</v>
      </c>
      <c r="C40" s="443"/>
      <c r="D40" s="443"/>
      <c r="E40" s="443"/>
      <c r="F40" s="443"/>
      <c r="G40" s="443"/>
      <c r="H40" s="443"/>
      <c r="I40" s="443"/>
      <c r="J40" s="443"/>
      <c r="K40" s="443"/>
      <c r="L40" s="443"/>
      <c r="M40" s="443"/>
      <c r="N40" s="443"/>
      <c r="O40" s="443"/>
      <c r="P40" s="443"/>
      <c r="Q40" s="443"/>
      <c r="R40" s="443"/>
      <c r="S40" s="443"/>
      <c r="T40" s="443"/>
      <c r="U40" s="443"/>
      <c r="V40" s="443"/>
      <c r="W40" s="443"/>
      <c r="X40" s="443"/>
      <c r="Y40" s="443"/>
      <c r="Z40" s="443"/>
      <c r="AA40" s="443"/>
      <c r="AI40" s="447" t="s">
        <v>433</v>
      </c>
      <c r="AJ40" s="207"/>
      <c r="AM40" s="447" t="s">
        <v>408</v>
      </c>
      <c r="AN40" s="447"/>
      <c r="AO40" s="410"/>
    </row>
    <row r="41" s="409" customFormat="1" ht="8.1" customHeight="1" spans="1:41">
      <c r="A41" s="468"/>
      <c r="B41" s="443"/>
      <c r="C41" s="443"/>
      <c r="D41" s="443"/>
      <c r="E41" s="443"/>
      <c r="F41" s="443"/>
      <c r="G41" s="443"/>
      <c r="H41" s="443"/>
      <c r="I41" s="443"/>
      <c r="J41" s="443"/>
      <c r="K41" s="443"/>
      <c r="L41" s="443"/>
      <c r="M41" s="443"/>
      <c r="N41" s="443"/>
      <c r="O41" s="443"/>
      <c r="P41" s="443"/>
      <c r="Q41" s="443"/>
      <c r="R41" s="443"/>
      <c r="S41" s="443"/>
      <c r="T41" s="443"/>
      <c r="U41" s="443"/>
      <c r="V41" s="443"/>
      <c r="W41" s="443"/>
      <c r="X41" s="443"/>
      <c r="Y41" s="443"/>
      <c r="Z41" s="443"/>
      <c r="AA41" s="443"/>
      <c r="AI41" s="207"/>
      <c r="AJ41" s="207"/>
      <c r="AK41" s="434"/>
      <c r="AM41" s="447"/>
      <c r="AN41" s="447"/>
      <c r="AO41" s="433" t="s">
        <v>407</v>
      </c>
    </row>
    <row r="42" s="409" customFormat="1" ht="2.1" customHeight="1" spans="1:41">
      <c r="A42" s="468"/>
      <c r="B42" s="443"/>
      <c r="C42" s="443"/>
      <c r="D42" s="443"/>
      <c r="E42" s="443"/>
      <c r="F42" s="443"/>
      <c r="G42" s="443"/>
      <c r="H42" s="443"/>
      <c r="I42" s="443"/>
      <c r="J42" s="443"/>
      <c r="K42" s="443"/>
      <c r="L42" s="443"/>
      <c r="M42" s="443"/>
      <c r="N42" s="443"/>
      <c r="O42" s="443"/>
      <c r="P42" s="443"/>
      <c r="Q42" s="443"/>
      <c r="R42" s="443"/>
      <c r="S42" s="443"/>
      <c r="T42" s="443"/>
      <c r="U42" s="443"/>
      <c r="V42" s="443"/>
      <c r="W42" s="443"/>
      <c r="X42" s="443"/>
      <c r="Y42" s="443"/>
      <c r="Z42" s="443"/>
      <c r="AA42" s="443"/>
      <c r="AI42" s="207"/>
      <c r="AJ42" s="207"/>
      <c r="AK42" s="430"/>
      <c r="AM42" s="447"/>
      <c r="AN42" s="447"/>
      <c r="AO42" s="469"/>
    </row>
    <row r="43" s="409" customFormat="1" ht="12" spans="1:41">
      <c r="B43" s="409" t="s">
        <v>437</v>
      </c>
      <c r="AI43" s="447"/>
      <c r="AJ43" s="447"/>
      <c r="AM43" s="447"/>
      <c r="AN43" s="447"/>
      <c r="AO43" s="410"/>
    </row>
    <row r="44" s="409" customFormat="1" ht="12" spans="1:41">
      <c r="B44" s="409" t="s">
        <v>438</v>
      </c>
      <c r="AI44" s="447"/>
      <c r="AJ44" s="447"/>
      <c r="AM44" s="447"/>
      <c r="AN44" s="447"/>
      <c r="AO44" s="410"/>
    </row>
    <row r="45" s="409" customFormat="1" ht="2.1" customHeight="1" spans="1:41">
      <c r="A45" s="467" t="s">
        <v>428</v>
      </c>
      <c r="B45" s="409" t="s">
        <v>439</v>
      </c>
      <c r="AI45" s="447" t="s">
        <v>433</v>
      </c>
      <c r="AJ45" s="207"/>
      <c r="AM45" s="447" t="s">
        <v>408</v>
      </c>
      <c r="AN45" s="447"/>
      <c r="AO45" s="410"/>
    </row>
    <row r="46" s="409" customFormat="1" ht="8.1" customHeight="1" spans="1:41">
      <c r="A46" s="468"/>
      <c r="AI46" s="207"/>
      <c r="AJ46" s="207"/>
      <c r="AK46" s="434"/>
      <c r="AM46" s="447"/>
      <c r="AN46" s="447"/>
      <c r="AO46" s="433" t="s">
        <v>407</v>
      </c>
    </row>
    <row r="47" s="409" customFormat="1" ht="2.1" customHeight="1" spans="1:41">
      <c r="A47" s="468"/>
      <c r="AI47" s="207"/>
      <c r="AJ47" s="207"/>
      <c r="AK47" s="430"/>
      <c r="AM47" s="447"/>
      <c r="AN47" s="447"/>
      <c r="AO47" s="469"/>
    </row>
    <row r="48" s="409" customFormat="1" ht="12" spans="1:41">
      <c r="B48" s="409" t="s">
        <v>440</v>
      </c>
      <c r="H48" s="429"/>
      <c r="I48" s="429"/>
      <c r="J48" s="429"/>
      <c r="K48" s="429"/>
      <c r="L48" s="429"/>
      <c r="M48" s="409" t="s">
        <v>441</v>
      </c>
      <c r="AI48" s="447"/>
      <c r="AJ48" s="447"/>
      <c r="AM48" s="447"/>
      <c r="AN48" s="447"/>
      <c r="AO48" s="410"/>
    </row>
    <row r="49" s="409" customFormat="1" ht="2.1" customHeight="1" spans="1:41">
      <c r="A49" s="467" t="s">
        <v>442</v>
      </c>
      <c r="B49" s="409" t="s">
        <v>443</v>
      </c>
      <c r="C49" s="443"/>
      <c r="D49" s="443"/>
      <c r="E49" s="443"/>
      <c r="F49" s="443"/>
      <c r="G49" s="443"/>
      <c r="H49" s="443"/>
      <c r="I49" s="443"/>
      <c r="J49" s="443"/>
      <c r="K49" s="443"/>
      <c r="L49" s="443"/>
      <c r="M49" s="443"/>
      <c r="N49" s="443"/>
      <c r="O49" s="443"/>
      <c r="P49" s="443"/>
      <c r="Q49" s="443"/>
      <c r="R49" s="443"/>
      <c r="S49" s="443"/>
      <c r="T49" s="443"/>
      <c r="U49" s="443"/>
      <c r="V49" s="443"/>
      <c r="AI49" s="447" t="s">
        <v>433</v>
      </c>
      <c r="AJ49" s="207"/>
      <c r="AM49" s="447" t="s">
        <v>408</v>
      </c>
      <c r="AN49" s="447"/>
      <c r="AO49" s="410"/>
    </row>
    <row r="50" s="409" customFormat="1" ht="8.1" customHeight="1" spans="1:41">
      <c r="A50" s="468"/>
      <c r="B50" s="443"/>
      <c r="C50" s="443"/>
      <c r="D50" s="443"/>
      <c r="E50" s="443"/>
      <c r="F50" s="443"/>
      <c r="G50" s="443"/>
      <c r="H50" s="443"/>
      <c r="I50" s="443"/>
      <c r="J50" s="443"/>
      <c r="K50" s="443"/>
      <c r="L50" s="443"/>
      <c r="M50" s="443"/>
      <c r="N50" s="443"/>
      <c r="O50" s="443"/>
      <c r="P50" s="443"/>
      <c r="Q50" s="443"/>
      <c r="R50" s="443"/>
      <c r="S50" s="443"/>
      <c r="T50" s="443"/>
      <c r="U50" s="443"/>
      <c r="V50" s="443"/>
      <c r="AI50" s="207"/>
      <c r="AJ50" s="207"/>
      <c r="AK50" s="434"/>
      <c r="AM50" s="447"/>
      <c r="AN50" s="447"/>
      <c r="AO50" s="433" t="s">
        <v>407</v>
      </c>
    </row>
    <row r="51" s="409" customFormat="1" ht="2.1" customHeight="1" spans="1:41">
      <c r="A51" s="468"/>
      <c r="B51" s="443"/>
      <c r="C51" s="443"/>
      <c r="D51" s="443"/>
      <c r="E51" s="443"/>
      <c r="F51" s="443"/>
      <c r="G51" s="443"/>
      <c r="H51" s="443"/>
      <c r="I51" s="443"/>
      <c r="J51" s="443"/>
      <c r="K51" s="443"/>
      <c r="L51" s="443"/>
      <c r="M51" s="443"/>
      <c r="N51" s="443"/>
      <c r="O51" s="443"/>
      <c r="P51" s="443"/>
      <c r="Q51" s="443"/>
      <c r="R51" s="443"/>
      <c r="S51" s="443"/>
      <c r="T51" s="443"/>
      <c r="U51" s="443"/>
      <c r="V51" s="443"/>
      <c r="AI51" s="207"/>
      <c r="AJ51" s="207"/>
      <c r="AK51" s="430"/>
      <c r="AM51" s="447"/>
      <c r="AN51" s="447"/>
      <c r="AO51" s="469"/>
    </row>
    <row r="52" s="409" customFormat="1" ht="12" spans="1:41">
      <c r="B52" s="409" t="s">
        <v>438</v>
      </c>
      <c r="AI52" s="447"/>
      <c r="AJ52" s="447"/>
      <c r="AM52" s="447"/>
      <c r="AN52" s="447"/>
      <c r="AO52" s="410"/>
    </row>
    <row r="53" s="409" customFormat="1" ht="2.1" customHeight="1" spans="1:41">
      <c r="A53" s="467" t="s">
        <v>444</v>
      </c>
      <c r="B53" s="409" t="s">
        <v>445</v>
      </c>
      <c r="AI53" s="447" t="s">
        <v>433</v>
      </c>
      <c r="AJ53" s="207"/>
      <c r="AM53" s="447" t="s">
        <v>408</v>
      </c>
      <c r="AN53" s="447"/>
      <c r="AO53" s="410"/>
    </row>
    <row r="54" s="409" customFormat="1" ht="8.1" customHeight="1" spans="1:41">
      <c r="A54" s="468"/>
      <c r="AI54" s="207"/>
      <c r="AJ54" s="207"/>
      <c r="AK54" s="434"/>
      <c r="AM54" s="447"/>
      <c r="AN54" s="447"/>
      <c r="AO54" s="433" t="s">
        <v>407</v>
      </c>
    </row>
    <row r="55" s="409" customFormat="1" ht="2.1" customHeight="1" spans="1:41">
      <c r="A55" s="468"/>
      <c r="AI55" s="207"/>
      <c r="AJ55" s="207"/>
      <c r="AK55" s="430"/>
      <c r="AM55" s="447"/>
      <c r="AN55" s="447"/>
      <c r="AO55" s="469"/>
    </row>
    <row r="56" s="409" customFormat="1" ht="12" spans="1:41">
      <c r="A56" s="467" t="s">
        <v>446</v>
      </c>
      <c r="B56" s="409" t="s">
        <v>447</v>
      </c>
      <c r="AI56" s="447"/>
      <c r="AJ56" s="447"/>
      <c r="AM56" s="447"/>
      <c r="AN56" s="447"/>
      <c r="AO56" s="410"/>
    </row>
    <row r="57" s="409" customFormat="1" ht="2.1" customHeight="1" spans="1:41">
      <c r="A57" s="467"/>
      <c r="B57" s="409" t="s">
        <v>448</v>
      </c>
      <c r="AI57" s="447" t="s">
        <v>433</v>
      </c>
      <c r="AJ57" s="207"/>
      <c r="AM57" s="447" t="s">
        <v>408</v>
      </c>
      <c r="AN57" s="447"/>
      <c r="AO57" s="410"/>
    </row>
    <row r="58" s="409" customFormat="1" ht="8.1" customHeight="1" spans="1:41">
      <c r="A58" s="423"/>
      <c r="AI58" s="207"/>
      <c r="AJ58" s="207"/>
      <c r="AK58" s="434"/>
      <c r="AM58" s="447"/>
      <c r="AN58" s="447"/>
      <c r="AO58" s="433" t="s">
        <v>407</v>
      </c>
    </row>
    <row r="59" s="409" customFormat="1" ht="2.1" customHeight="1" spans="1:41">
      <c r="A59" s="423"/>
      <c r="AI59" s="207"/>
      <c r="AJ59" s="207"/>
      <c r="AK59" s="430"/>
      <c r="AM59" s="447"/>
      <c r="AN59" s="447"/>
      <c r="AO59" s="469"/>
    </row>
    <row r="60" s="409" customFormat="1" ht="12" spans="1:41">
      <c r="A60" s="467"/>
      <c r="B60" s="409" t="s">
        <v>438</v>
      </c>
      <c r="AI60" s="447"/>
      <c r="AJ60" s="447"/>
      <c r="AM60" s="447"/>
      <c r="AN60" s="447"/>
      <c r="AO60" s="410"/>
    </row>
    <row r="61" s="409" customFormat="1" ht="2.1" customHeight="1" spans="1:41">
      <c r="A61" s="462" t="s">
        <v>449</v>
      </c>
      <c r="B61" s="409" t="s">
        <v>450</v>
      </c>
      <c r="AI61" s="447" t="s">
        <v>433</v>
      </c>
      <c r="AJ61" s="207"/>
      <c r="AM61" s="447" t="s">
        <v>408</v>
      </c>
      <c r="AN61" s="447"/>
      <c r="AO61" s="410"/>
    </row>
    <row r="62" s="409" customFormat="1" ht="8.1" customHeight="1" spans="1:41">
      <c r="A62" s="443"/>
      <c r="AI62" s="207"/>
      <c r="AJ62" s="207"/>
      <c r="AK62" s="434"/>
      <c r="AM62" s="447"/>
      <c r="AN62" s="447"/>
      <c r="AO62" s="433" t="s">
        <v>407</v>
      </c>
    </row>
    <row r="63" s="409" customFormat="1" ht="2.1" customHeight="1" spans="1:41">
      <c r="A63" s="443"/>
      <c r="AI63" s="207"/>
      <c r="AJ63" s="207"/>
      <c r="AK63" s="430"/>
      <c r="AM63" s="447"/>
      <c r="AN63" s="447"/>
      <c r="AO63" s="469"/>
    </row>
    <row r="64" s="409" customFormat="1" ht="12" spans="1:41">
      <c r="A64" s="462"/>
      <c r="B64" s="409" t="s">
        <v>451</v>
      </c>
      <c r="K64" s="429"/>
      <c r="L64" s="429"/>
      <c r="M64" s="429"/>
      <c r="N64" s="429"/>
      <c r="O64" s="429"/>
      <c r="P64" s="429"/>
      <c r="Q64" s="429"/>
      <c r="AI64" s="447"/>
      <c r="AJ64" s="447"/>
      <c r="AM64" s="447"/>
      <c r="AN64" s="447"/>
      <c r="AO64" s="410"/>
    </row>
    <row r="65" s="409" customFormat="1" ht="2.1" customHeight="1" spans="1:41">
      <c r="A65" s="462" t="s">
        <v>452</v>
      </c>
      <c r="B65" s="409" t="s">
        <v>453</v>
      </c>
      <c r="AI65" s="447" t="s">
        <v>433</v>
      </c>
      <c r="AJ65" s="207"/>
      <c r="AM65" s="447" t="s">
        <v>408</v>
      </c>
      <c r="AN65" s="447"/>
      <c r="AO65" s="410"/>
    </row>
    <row r="66" s="409" customFormat="1" ht="8.1" customHeight="1" spans="1:41">
      <c r="AI66" s="207"/>
      <c r="AJ66" s="207"/>
      <c r="AK66" s="434"/>
      <c r="AM66" s="447"/>
      <c r="AN66" s="447"/>
      <c r="AO66" s="433" t="s">
        <v>407</v>
      </c>
    </row>
    <row r="67" s="409" customFormat="1" ht="2.1" customHeight="1" spans="1:41">
      <c r="A67" s="462"/>
      <c r="AI67" s="207"/>
      <c r="AJ67" s="207"/>
      <c r="AK67" s="430"/>
      <c r="AM67" s="447"/>
      <c r="AN67" s="447"/>
      <c r="AO67" s="469"/>
    </row>
    <row r="68" s="409" customFormat="1" ht="12" customHeight="1" spans="1:41">
      <c r="A68" s="462"/>
      <c r="B68" s="448" t="s">
        <v>454</v>
      </c>
      <c r="C68" s="461"/>
      <c r="D68" s="461"/>
      <c r="E68" s="461"/>
      <c r="F68" s="461"/>
      <c r="G68" s="461"/>
      <c r="H68" s="461"/>
      <c r="I68" s="461"/>
      <c r="J68" s="461"/>
      <c r="K68" s="461"/>
      <c r="L68" s="461"/>
      <c r="M68" s="461"/>
      <c r="N68" s="461"/>
      <c r="O68" s="429"/>
      <c r="P68" s="429"/>
      <c r="Q68" s="429"/>
      <c r="R68" s="429"/>
      <c r="S68" s="429"/>
      <c r="T68" s="429"/>
      <c r="U68" s="429"/>
      <c r="V68" s="429"/>
      <c r="W68" s="429"/>
      <c r="AI68" s="447"/>
      <c r="AJ68" s="447"/>
      <c r="AM68" s="447"/>
      <c r="AN68" s="447"/>
      <c r="AO68" s="410"/>
    </row>
    <row r="69" s="409" customFormat="1" ht="2.1" customHeight="1" spans="1:41">
      <c r="A69" s="462" t="s">
        <v>455</v>
      </c>
      <c r="B69" s="409" t="s">
        <v>456</v>
      </c>
      <c r="AI69" s="447" t="s">
        <v>433</v>
      </c>
      <c r="AJ69" s="207"/>
      <c r="AM69" s="447" t="s">
        <v>408</v>
      </c>
      <c r="AN69" s="447"/>
      <c r="AO69" s="410"/>
    </row>
    <row r="70" s="409" customFormat="1" ht="8.1" customHeight="1" spans="1:41">
      <c r="AI70" s="207"/>
      <c r="AJ70" s="207"/>
      <c r="AK70" s="434"/>
      <c r="AM70" s="447"/>
      <c r="AN70" s="447"/>
      <c r="AO70" s="433" t="s">
        <v>407</v>
      </c>
    </row>
    <row r="71" s="409" customFormat="1" ht="2.1" customHeight="1" spans="1:41">
      <c r="A71" s="462"/>
      <c r="AI71" s="207"/>
      <c r="AJ71" s="207"/>
      <c r="AK71" s="435"/>
      <c r="AM71" s="447"/>
      <c r="AN71" s="447"/>
      <c r="AO71" s="471"/>
    </row>
    <row r="72" s="409" customFormat="1" ht="2.1" customHeight="1" spans="1:41">
      <c r="A72" s="462" t="s">
        <v>457</v>
      </c>
      <c r="B72" s="443"/>
      <c r="C72" s="409" t="s">
        <v>458</v>
      </c>
      <c r="AI72" s="447" t="s">
        <v>433</v>
      </c>
      <c r="AJ72" s="207"/>
      <c r="AK72" s="429"/>
      <c r="AM72" s="447" t="s">
        <v>408</v>
      </c>
      <c r="AN72" s="447"/>
      <c r="AO72" s="472"/>
    </row>
    <row r="73" s="409" customFormat="1" ht="8.1" customHeight="1" spans="1:41">
      <c r="A73" s="443"/>
      <c r="B73" s="443"/>
      <c r="AI73" s="207"/>
      <c r="AJ73" s="207"/>
      <c r="AK73" s="433" t="s">
        <v>407</v>
      </c>
      <c r="AM73" s="447"/>
      <c r="AN73" s="447"/>
      <c r="AO73" s="473"/>
    </row>
    <row r="74" s="409" customFormat="1" ht="2.1" customHeight="1" spans="1:41">
      <c r="A74" s="443"/>
      <c r="B74" s="443"/>
      <c r="AI74" s="207"/>
      <c r="AJ74" s="207"/>
      <c r="AK74" s="430"/>
      <c r="AM74" s="447"/>
      <c r="AN74" s="447"/>
      <c r="AO74" s="469"/>
    </row>
    <row r="75" s="409" customFormat="1" ht="12" spans="1:41">
      <c r="A75" s="462"/>
      <c r="C75" s="409" t="s">
        <v>459</v>
      </c>
      <c r="G75" s="463">
        <f>J32</f>
        <v>17</v>
      </c>
      <c r="H75" s="463"/>
      <c r="I75" s="463"/>
      <c r="J75" s="463"/>
      <c r="K75" s="463"/>
      <c r="L75" s="463"/>
      <c r="M75" s="463"/>
      <c r="AI75" s="447"/>
      <c r="AJ75" s="447"/>
      <c r="AM75" s="447"/>
      <c r="AN75" s="447"/>
      <c r="AO75" s="410"/>
    </row>
    <row r="76" s="409" customFormat="1" ht="2.1" customHeight="1" spans="1:41">
      <c r="A76" s="462" t="s">
        <v>460</v>
      </c>
      <c r="B76" s="443"/>
      <c r="C76" s="409" t="s">
        <v>461</v>
      </c>
      <c r="AI76" s="447" t="s">
        <v>433</v>
      </c>
      <c r="AJ76" s="207"/>
      <c r="AM76" s="447" t="s">
        <v>408</v>
      </c>
      <c r="AN76" s="447"/>
      <c r="AO76" s="410"/>
    </row>
    <row r="77" s="409" customFormat="1" ht="8.1" customHeight="1" spans="1:41">
      <c r="A77" s="443"/>
      <c r="B77" s="443"/>
      <c r="AI77" s="207"/>
      <c r="AJ77" s="207"/>
      <c r="AK77" s="433" t="s">
        <v>407</v>
      </c>
      <c r="AM77" s="447"/>
      <c r="AN77" s="447"/>
      <c r="AO77" s="473"/>
    </row>
    <row r="78" s="409" customFormat="1" ht="2.1" customHeight="1" spans="1:41">
      <c r="A78" s="443"/>
      <c r="B78" s="443"/>
      <c r="AI78" s="207"/>
      <c r="AJ78" s="207"/>
      <c r="AK78" s="430"/>
      <c r="AM78" s="447"/>
      <c r="AN78" s="447"/>
      <c r="AO78" s="469"/>
    </row>
    <row r="79" s="409" customFormat="1" ht="12" spans="1:41">
      <c r="A79" s="462"/>
      <c r="C79" s="409" t="s">
        <v>459</v>
      </c>
      <c r="G79" s="463">
        <f>J32</f>
        <v>17</v>
      </c>
      <c r="H79" s="463"/>
      <c r="I79" s="463"/>
      <c r="J79" s="463"/>
      <c r="K79" s="463"/>
      <c r="L79" s="463"/>
      <c r="M79" s="463"/>
      <c r="AO79" s="410"/>
    </row>
    <row r="80" s="409" customFormat="1" ht="6" customHeight="1" spans="1:41">
      <c r="A80" s="462"/>
      <c r="AO80" s="410"/>
    </row>
    <row r="81" s="410" customFormat="1" ht="9.95" customHeight="1" spans="1:41">
      <c r="A81" s="474" t="s">
        <v>462</v>
      </c>
      <c r="B81" s="474"/>
      <c r="C81" s="474"/>
      <c r="D81" s="474"/>
      <c r="E81" s="474"/>
      <c r="F81" s="474"/>
      <c r="G81" s="474"/>
      <c r="H81" s="474"/>
      <c r="I81" s="474"/>
      <c r="J81" s="474"/>
      <c r="K81" s="474"/>
      <c r="L81" s="474"/>
      <c r="M81" s="474"/>
      <c r="N81" s="474"/>
      <c r="O81" s="474"/>
      <c r="P81" s="474"/>
      <c r="Q81" s="474"/>
      <c r="R81" s="474"/>
      <c r="S81" s="474"/>
      <c r="T81" s="474"/>
      <c r="U81" s="474"/>
      <c r="V81" s="474"/>
      <c r="W81" s="474"/>
      <c r="X81" s="474"/>
      <c r="Y81" s="474"/>
      <c r="Z81" s="474"/>
      <c r="AA81" s="474"/>
      <c r="AB81" s="474"/>
      <c r="AC81" s="474"/>
      <c r="AD81" s="474"/>
      <c r="AE81" s="474"/>
      <c r="AF81" s="474"/>
      <c r="AG81" s="474"/>
      <c r="AH81" s="474"/>
      <c r="AI81" s="474"/>
      <c r="AJ81" s="474"/>
      <c r="AK81" s="474"/>
      <c r="AL81" s="474"/>
      <c r="AM81" s="474"/>
      <c r="AN81" s="475"/>
      <c r="AO81" s="475"/>
    </row>
    <row r="82" s="410" customFormat="1" ht="9.95" customHeight="1" spans="1:41">
      <c r="B82" s="476" t="s">
        <v>463</v>
      </c>
      <c r="C82" s="476"/>
      <c r="D82" s="476"/>
      <c r="E82" s="476"/>
      <c r="F82" s="476"/>
      <c r="G82" s="476"/>
      <c r="H82" s="476"/>
      <c r="I82" s="476"/>
      <c r="J82" s="476"/>
      <c r="K82" s="476"/>
      <c r="L82" s="476"/>
      <c r="M82" s="476"/>
      <c r="N82" s="476"/>
      <c r="O82" s="476"/>
      <c r="P82" s="476"/>
      <c r="Q82" s="476"/>
      <c r="R82" s="476"/>
      <c r="S82" s="476"/>
      <c r="T82" s="476"/>
      <c r="U82" s="476"/>
      <c r="V82" s="476"/>
      <c r="W82" s="476"/>
      <c r="X82" s="476"/>
      <c r="Y82" s="476"/>
      <c r="Z82" s="476"/>
      <c r="AA82" s="476"/>
      <c r="AB82" s="476"/>
      <c r="AC82" s="476"/>
      <c r="AD82" s="476"/>
      <c r="AE82" s="476"/>
      <c r="AF82" s="476"/>
      <c r="AG82" s="476"/>
      <c r="AH82" s="476"/>
      <c r="AI82" s="476"/>
      <c r="AJ82" s="476"/>
      <c r="AK82" s="476"/>
      <c r="AL82" s="476"/>
      <c r="AM82" s="476"/>
      <c r="AN82" s="476"/>
      <c r="AO82" s="476"/>
    </row>
    <row r="83" s="410" customFormat="1" ht="9.95" customHeight="1" spans="1:41">
      <c r="B83" s="410" t="s">
        <v>464</v>
      </c>
    </row>
    <row r="84" s="410" customFormat="1" ht="9.95" customHeight="1" spans="1:41">
      <c r="B84" s="476" t="s">
        <v>465</v>
      </c>
      <c r="C84" s="476"/>
      <c r="D84" s="476"/>
      <c r="E84" s="476"/>
      <c r="F84" s="476"/>
      <c r="G84" s="476"/>
      <c r="H84" s="476"/>
      <c r="I84" s="476"/>
      <c r="J84" s="476"/>
      <c r="K84" s="476"/>
      <c r="L84" s="476"/>
      <c r="M84" s="476"/>
      <c r="N84" s="476"/>
      <c r="O84" s="476"/>
      <c r="P84" s="476"/>
      <c r="Q84" s="476"/>
      <c r="R84" s="476"/>
      <c r="S84" s="476"/>
      <c r="T84" s="476"/>
      <c r="U84" s="476"/>
      <c r="V84" s="476"/>
      <c r="W84" s="476"/>
      <c r="X84" s="476"/>
      <c r="Y84" s="476"/>
      <c r="Z84" s="476"/>
      <c r="AA84" s="476"/>
      <c r="AB84" s="476"/>
      <c r="AC84" s="476"/>
      <c r="AD84" s="476"/>
      <c r="AE84" s="476"/>
      <c r="AF84" s="476"/>
      <c r="AG84" s="476"/>
      <c r="AH84" s="476"/>
      <c r="AI84" s="476"/>
      <c r="AJ84" s="476"/>
      <c r="AK84" s="476"/>
      <c r="AL84" s="476"/>
      <c r="AM84" s="476"/>
      <c r="AN84" s="476"/>
      <c r="AO84" s="476"/>
    </row>
    <row r="85" s="410" customFormat="1" ht="9.95" customHeight="1" spans="1:41">
      <c r="B85" s="410" t="s">
        <v>466</v>
      </c>
    </row>
    <row r="86" s="409" customFormat="1" ht="6" customHeight="1"/>
    <row r="87" s="409" customFormat="1" ht="10.5" customHeight="1" spans="1:41">
      <c r="A87" s="448" t="s">
        <v>467</v>
      </c>
      <c r="B87" s="448"/>
      <c r="C87" s="448"/>
      <c r="D87" s="448"/>
      <c r="E87" s="448"/>
      <c r="F87" s="448"/>
      <c r="G87" s="448"/>
      <c r="H87" s="448"/>
      <c r="I87" s="448"/>
      <c r="J87" s="448"/>
      <c r="K87" s="448"/>
      <c r="L87" s="448"/>
      <c r="M87" s="448"/>
      <c r="N87" s="448"/>
      <c r="O87" s="448"/>
      <c r="P87" s="448"/>
      <c r="Q87" s="448"/>
      <c r="R87" s="448"/>
      <c r="S87" s="448"/>
      <c r="T87" s="448"/>
      <c r="U87" s="448"/>
      <c r="V87" s="448"/>
      <c r="W87" s="448"/>
      <c r="X87" s="448"/>
      <c r="Y87" s="448"/>
      <c r="Z87" s="448"/>
      <c r="AA87" s="448"/>
      <c r="AB87" s="448"/>
      <c r="AC87" s="448"/>
      <c r="AD87" s="448"/>
      <c r="AE87" s="448"/>
      <c r="AF87" s="448"/>
      <c r="AG87" s="448"/>
      <c r="AH87" s="448"/>
      <c r="AI87" s="448"/>
      <c r="AJ87" s="448"/>
      <c r="AK87" s="448"/>
      <c r="AL87" s="448"/>
      <c r="AM87" s="448"/>
      <c r="AN87" s="461"/>
      <c r="AO87" s="461"/>
    </row>
    <row r="88" s="409" customFormat="1" ht="10.5" customHeight="1" spans="1:41">
      <c r="A88" s="409" t="s">
        <v>468</v>
      </c>
      <c r="AO88" s="410"/>
    </row>
    <row r="89" s="411" customFormat="1" ht="7.5" customHeight="1" spans="1:41">
      <c r="AO89" s="410"/>
    </row>
    <row r="90" s="409" customFormat="1" ht="12" customHeight="1" spans="1:41">
      <c r="D90" s="447" t="s">
        <v>300</v>
      </c>
      <c r="E90" s="418">
        <f>'Gen Inb'!X6</f>
        <v>46238</v>
      </c>
      <c r="F90" s="418"/>
      <c r="G90" s="418"/>
      <c r="H90" s="418"/>
      <c r="I90" s="418"/>
      <c r="J90" s="418"/>
      <c r="K90" s="418"/>
      <c r="N90" s="409" t="s">
        <v>469</v>
      </c>
      <c r="W90" s="422"/>
      <c r="X90" s="422"/>
      <c r="Y90" s="422"/>
      <c r="Z90" s="422"/>
      <c r="AA90" s="422"/>
      <c r="AB90" s="422"/>
      <c r="AC90" s="422"/>
      <c r="AD90" s="422"/>
      <c r="AE90" s="422"/>
      <c r="AO90" s="410"/>
    </row>
    <row r="91" s="409" customFormat="1" ht="4.5" customHeight="1" spans="1:41">
      <c r="D91" s="447"/>
      <c r="E91" s="430"/>
      <c r="F91" s="430"/>
      <c r="G91" s="430"/>
      <c r="H91" s="430"/>
      <c r="I91" s="430"/>
      <c r="J91" s="430"/>
      <c r="K91" s="430"/>
      <c r="W91" s="430"/>
      <c r="X91" s="430"/>
      <c r="Y91" s="430"/>
      <c r="Z91" s="430"/>
      <c r="AA91" s="430"/>
      <c r="AB91" s="430"/>
      <c r="AC91" s="430"/>
      <c r="AD91" s="430"/>
      <c r="AE91" s="430"/>
      <c r="AO91" s="410"/>
    </row>
    <row r="92" s="409" customFormat="1" ht="12" customHeight="1" spans="1:41">
      <c r="N92" s="409" t="s">
        <v>470</v>
      </c>
      <c r="AG92" s="429"/>
      <c r="AH92" s="429"/>
      <c r="AI92" s="429"/>
      <c r="AJ92" s="429"/>
      <c r="AK92" s="429"/>
      <c r="AO92" s="410"/>
    </row>
    <row r="93" s="411" customFormat="1" ht="3.75" customHeight="1" spans="1:41">
      <c r="AG93" s="477"/>
      <c r="AH93" s="477"/>
      <c r="AI93" s="477"/>
      <c r="AJ93" s="477"/>
      <c r="AK93" s="477"/>
      <c r="AO93" s="410"/>
    </row>
    <row r="94" s="411" customFormat="1" ht="10.5" customHeight="1" spans="1:41">
      <c r="AH94" s="410" t="s">
        <v>471</v>
      </c>
      <c r="AI94" s="443"/>
      <c r="AJ94" s="443"/>
      <c r="AK94" s="443"/>
      <c r="AL94" s="443"/>
      <c r="AM94" s="443"/>
      <c r="AN94" s="443"/>
      <c r="AO94" s="443"/>
    </row>
    <row r="95" s="408" customFormat="1" ht="12.75" spans="1:41">
      <c r="AO95" s="416"/>
    </row>
    <row r="96" s="408" customFormat="1" ht="12.75" spans="1:41">
      <c r="AO96" s="416"/>
    </row>
    <row r="97" s="408" customFormat="1" ht="12.75" spans="41:41">
      <c r="AO97" s="416"/>
    </row>
    <row r="98" s="408" customFormat="1" ht="12.75" spans="41:41">
      <c r="AO98" s="416"/>
    </row>
    <row r="99" s="408" customFormat="1" ht="12.75" spans="41:41">
      <c r="AO99" s="416"/>
    </row>
    <row r="100" s="408" customFormat="1" ht="12.75" spans="41:41">
      <c r="AO100" s="416"/>
    </row>
    <row r="101" s="408" customFormat="1" ht="12.75" spans="41:41">
      <c r="AO101" s="416"/>
    </row>
    <row r="102" s="408" customFormat="1" ht="12.75" spans="41:41">
      <c r="AO102" s="416"/>
    </row>
    <row r="103" s="408" customFormat="1" ht="12.75" spans="41:41">
      <c r="AO103" s="416"/>
    </row>
    <row r="104" s="408" customFormat="1" ht="12.75" spans="41:41">
      <c r="AO104" s="416"/>
    </row>
    <row r="105" s="408" customFormat="1" ht="12.75" spans="41:41">
      <c r="AO105" s="416"/>
    </row>
    <row r="106" s="408" customFormat="1" ht="12.75" spans="41:41">
      <c r="AO106" s="416"/>
    </row>
    <row r="107" s="408" customFormat="1" ht="12.75" spans="41:41">
      <c r="AO107" s="416"/>
    </row>
    <row r="108" s="408" customFormat="1" ht="12.75" spans="41:41">
      <c r="AO108" s="416"/>
    </row>
    <row r="109" s="408" customFormat="1" ht="12.75" spans="41:41">
      <c r="AO109" s="416"/>
    </row>
    <row r="110" s="412" customFormat="1" ht="12" spans="41:41">
      <c r="AO110" s="414"/>
    </row>
    <row r="111" s="412" customFormat="1" ht="12" spans="41:41">
      <c r="AO111" s="414"/>
    </row>
    <row r="112" s="412" customFormat="1" ht="12" spans="41:41">
      <c r="AO112" s="414"/>
    </row>
    <row r="113" s="412" customFormat="1" ht="12" spans="41:41">
      <c r="AO113" s="414"/>
    </row>
    <row r="114" s="412" customFormat="1" ht="12" spans="41:41">
      <c r="AO114" s="414"/>
    </row>
    <row r="115" s="412" customFormat="1" ht="12" spans="41:41">
      <c r="AO115" s="414"/>
    </row>
    <row r="116" s="412" customFormat="1" ht="12" spans="41:41">
      <c r="AO116" s="414"/>
    </row>
    <row r="117" s="412" customFormat="1" ht="12" spans="41:41">
      <c r="AO117" s="414"/>
    </row>
    <row r="118" s="412" customFormat="1" ht="12" spans="41:41">
      <c r="AO118" s="414"/>
    </row>
    <row r="119" s="412" customFormat="1" ht="12" spans="41:41">
      <c r="AO119" s="414"/>
    </row>
    <row r="120" s="412" customFormat="1" ht="12" spans="41:41">
      <c r="AO120" s="414"/>
    </row>
    <row r="121" s="412" customFormat="1" ht="12" spans="41:41">
      <c r="AO121" s="414"/>
    </row>
    <row r="122" s="412" customFormat="1" ht="12" spans="41:41">
      <c r="AO122" s="414"/>
    </row>
    <row r="123" s="412" customFormat="1" ht="12" spans="41:41">
      <c r="AO123" s="414"/>
    </row>
    <row r="124" s="412" customFormat="1" ht="12" spans="41:41">
      <c r="AO124" s="414"/>
    </row>
    <row r="125" s="412" customFormat="1" ht="12" spans="41:41">
      <c r="AO125" s="414"/>
    </row>
    <row r="126" s="412" customFormat="1" ht="12" spans="41:41">
      <c r="AO126" s="414"/>
    </row>
    <row r="127" s="412" customFormat="1" ht="12" spans="41:41">
      <c r="AO127" s="414"/>
    </row>
    <row r="128" s="412" customFormat="1" ht="12" spans="41:41">
      <c r="AO128" s="414"/>
    </row>
    <row r="129" s="412" customFormat="1" ht="12" spans="41:41">
      <c r="AO129" s="414"/>
    </row>
    <row r="130" s="412" customFormat="1" ht="12" spans="41:41">
      <c r="AO130" s="414"/>
    </row>
    <row r="131" s="412" customFormat="1" ht="12" spans="41:41">
      <c r="AO131" s="414"/>
    </row>
    <row r="132" s="412" customFormat="1" ht="12" spans="41:41">
      <c r="AO132" s="414"/>
    </row>
    <row r="133" s="412" customFormat="1" ht="12" spans="41:41">
      <c r="AO133" s="414"/>
    </row>
    <row r="134" s="412" customFormat="1" ht="12" spans="41:41">
      <c r="AO134" s="414"/>
    </row>
    <row r="135" s="412" customFormat="1" ht="12" spans="41:41">
      <c r="AO135" s="414"/>
    </row>
    <row r="136" s="412" customFormat="1" ht="12" spans="41:41">
      <c r="AO136" s="414"/>
    </row>
    <row r="137" s="412" customFormat="1" ht="12" spans="41:41">
      <c r="AO137" s="414"/>
    </row>
    <row r="138" s="412" customFormat="1" ht="12" spans="41:41">
      <c r="AO138" s="414"/>
    </row>
    <row r="139" s="412" customFormat="1" ht="12" spans="41:41">
      <c r="AO139" s="414"/>
    </row>
    <row r="140" s="412" customFormat="1" ht="12" spans="41:41">
      <c r="AO140" s="414"/>
    </row>
    <row r="141" s="412" customFormat="1" ht="12" spans="41:41">
      <c r="AO141" s="414"/>
    </row>
    <row r="142" s="412" customFormat="1" ht="12" spans="41:41">
      <c r="AO142" s="414"/>
    </row>
    <row r="143" s="412" customFormat="1" ht="12" spans="41:41">
      <c r="AO143" s="414"/>
    </row>
    <row r="144" s="412" customFormat="1" ht="12" spans="41:41">
      <c r="AO144" s="414"/>
    </row>
    <row r="145" s="412" customFormat="1" ht="12" spans="41:41">
      <c r="AO145" s="414"/>
    </row>
    <row r="146" s="412" customFormat="1" ht="12" spans="41:41">
      <c r="AO146" s="414"/>
    </row>
    <row r="147" s="412" customFormat="1" ht="12" spans="41:41">
      <c r="AO147" s="414"/>
    </row>
    <row r="148" s="412" customFormat="1" ht="12" spans="41:41">
      <c r="AO148" s="414"/>
    </row>
    <row r="149" s="412" customFormat="1" ht="12" spans="41:41">
      <c r="AO149" s="414"/>
    </row>
    <row r="150" s="412" customFormat="1" ht="12" spans="41:41">
      <c r="AO150" s="414"/>
    </row>
    <row r="151" s="412" customFormat="1" ht="12" spans="41:41">
      <c r="AO151" s="414"/>
    </row>
    <row r="152" s="412" customFormat="1" ht="12" spans="41:41">
      <c r="AO152" s="414"/>
    </row>
    <row r="153" s="412" customFormat="1" ht="12" spans="41:41">
      <c r="AO153" s="414"/>
    </row>
    <row r="154" s="412" customFormat="1" ht="12" spans="41:41">
      <c r="AO154" s="414"/>
    </row>
    <row r="155" s="412" customFormat="1" ht="12" spans="41:41">
      <c r="AO155" s="414"/>
    </row>
    <row r="156" s="412" customFormat="1" ht="12" spans="41:41">
      <c r="AO156" s="414"/>
    </row>
    <row r="157" s="412" customFormat="1" ht="12" spans="41:41">
      <c r="AO157" s="414"/>
    </row>
    <row r="158" s="412" customFormat="1" ht="12" spans="41:41">
      <c r="AO158" s="414"/>
    </row>
    <row r="159" s="412" customFormat="1" ht="12" spans="41:41">
      <c r="AO159" s="414"/>
    </row>
    <row r="160" s="412" customFormat="1" ht="12" spans="41:41">
      <c r="AO160" s="414"/>
    </row>
    <row r="161" s="412" customFormat="1" ht="12" spans="41:41">
      <c r="AO161" s="414"/>
    </row>
    <row r="162" s="412" customFormat="1" ht="12" spans="41:41">
      <c r="AO162" s="414"/>
    </row>
    <row r="163" s="412" customFormat="1" ht="12" spans="41:41">
      <c r="AO163" s="414"/>
    </row>
    <row r="164" s="412" customFormat="1" ht="12" spans="41:41">
      <c r="AO164" s="414"/>
    </row>
    <row r="165" s="412" customFormat="1" ht="12" spans="41:41">
      <c r="AO165" s="414"/>
    </row>
    <row r="166" s="412" customFormat="1" ht="12" spans="41:41">
      <c r="AO166" s="414"/>
    </row>
    <row r="167" s="412" customFormat="1" ht="12" spans="41:41">
      <c r="AO167" s="414"/>
    </row>
    <row r="168" s="412" customFormat="1" ht="12" spans="41:41">
      <c r="AO168" s="414"/>
    </row>
    <row r="169" s="412" customFormat="1" ht="12" spans="41:41">
      <c r="AO169" s="414"/>
    </row>
    <row r="170" s="412" customFormat="1" ht="12" spans="41:41">
      <c r="AO170" s="414"/>
    </row>
    <row r="171" s="412" customFormat="1" ht="12" spans="41:41">
      <c r="AO171" s="414"/>
    </row>
    <row r="172" s="412" customFormat="1" ht="12" spans="41:41">
      <c r="AO172" s="414"/>
    </row>
    <row r="173" s="412" customFormat="1" ht="12" spans="41:41">
      <c r="AO173" s="414"/>
    </row>
    <row r="174" s="412" customFormat="1" ht="12" spans="41:41">
      <c r="AO174" s="414"/>
    </row>
    <row r="175" s="412" customFormat="1" ht="12" spans="41:41">
      <c r="AO175" s="414"/>
    </row>
    <row r="176" s="412" customFormat="1" ht="12" spans="41:41">
      <c r="AO176" s="414"/>
    </row>
    <row r="177" s="412" customFormat="1" ht="12" spans="41:41">
      <c r="AO177" s="414"/>
    </row>
    <row r="178" s="412" customFormat="1" ht="12" spans="41:41">
      <c r="AO178" s="414"/>
    </row>
    <row r="179" s="412" customFormat="1" ht="12" spans="41:41">
      <c r="AO179" s="414"/>
    </row>
    <row r="180" s="412" customFormat="1" ht="12" spans="41:41">
      <c r="AO180" s="414"/>
    </row>
    <row r="181" s="412" customFormat="1" ht="12" spans="41:41">
      <c r="AO181" s="414"/>
    </row>
    <row r="182" s="412" customFormat="1" ht="12" spans="41:41">
      <c r="AO182" s="414"/>
    </row>
    <row r="183" s="412" customFormat="1" ht="12" spans="41:41">
      <c r="AO183" s="414"/>
    </row>
    <row r="184" s="412" customFormat="1" ht="12" spans="41:41">
      <c r="AO184" s="414"/>
    </row>
    <row r="185" s="412" customFormat="1" ht="12" spans="41:41">
      <c r="AO185" s="414"/>
    </row>
    <row r="186" s="412" customFormat="1" ht="12" spans="41:41">
      <c r="AO186" s="414"/>
    </row>
    <row r="187" s="412" customFormat="1" ht="12" spans="41:41">
      <c r="AO187" s="414"/>
    </row>
    <row r="188" s="412" customFormat="1" ht="12" spans="41:41">
      <c r="AO188" s="414"/>
    </row>
    <row r="189" s="412" customFormat="1" ht="12" spans="41:41">
      <c r="AO189" s="414"/>
    </row>
    <row r="190" s="412" customFormat="1" ht="12" spans="41:41">
      <c r="AO190" s="414"/>
    </row>
    <row r="191" s="412" customFormat="1" ht="12" spans="41:41">
      <c r="AO191" s="414"/>
    </row>
    <row r="192" s="412" customFormat="1" ht="12" spans="41:41">
      <c r="AO192" s="414"/>
    </row>
    <row r="193" s="412" customFormat="1" ht="12" spans="41:41">
      <c r="AO193" s="414"/>
    </row>
    <row r="194" s="412" customFormat="1" ht="12" spans="41:41">
      <c r="AO194" s="414"/>
    </row>
    <row r="195" s="412" customFormat="1" ht="12" spans="41:41">
      <c r="AO195" s="414"/>
    </row>
    <row r="196" s="412" customFormat="1" ht="12" spans="41:41">
      <c r="AO196" s="414"/>
    </row>
    <row r="197" s="412" customFormat="1" ht="12" spans="41:41">
      <c r="AO197" s="414"/>
    </row>
  </sheetData>
  <mergeCells count="131">
    <mergeCell ref="A8:F8"/>
    <mergeCell ref="G8:M8"/>
    <mergeCell ref="N8:O8"/>
    <mergeCell ref="P8:Z8"/>
    <mergeCell ref="A9:K9"/>
    <mergeCell ref="L9:N9"/>
    <mergeCell ref="O9:Q9"/>
    <mergeCell ref="R9:W9"/>
    <mergeCell ref="X9:AA9"/>
    <mergeCell ref="AB9:AF9"/>
    <mergeCell ref="AG9:AH9"/>
    <mergeCell ref="AI9:AO9"/>
    <mergeCell ref="A10:F10"/>
    <mergeCell ref="G10:P10"/>
    <mergeCell ref="Q10:X10"/>
    <mergeCell ref="Y10:AO10"/>
    <mergeCell ref="A11:D11"/>
    <mergeCell ref="E11:P11"/>
    <mergeCell ref="Z11:AK11"/>
    <mergeCell ref="A15:J15"/>
    <mergeCell ref="AF18:AG18"/>
    <mergeCell ref="AK18:AM18"/>
    <mergeCell ref="A22:AO22"/>
    <mergeCell ref="A23:AO23"/>
    <mergeCell ref="A24:AO24"/>
    <mergeCell ref="A25:AO25"/>
    <mergeCell ref="A26:AO26"/>
    <mergeCell ref="A27:AO27"/>
    <mergeCell ref="A28:M28"/>
    <mergeCell ref="D29:H29"/>
    <mergeCell ref="I29:L29"/>
    <mergeCell ref="M29:Q29"/>
    <mergeCell ref="T29:Y29"/>
    <mergeCell ref="Z29:AA29"/>
    <mergeCell ref="AB29:AG29"/>
    <mergeCell ref="D30:H30"/>
    <mergeCell ref="I30:L30"/>
    <mergeCell ref="M30:Q30"/>
    <mergeCell ref="T30:Y30"/>
    <mergeCell ref="Z30:AA30"/>
    <mergeCell ref="AB30:AG30"/>
    <mergeCell ref="D31:H31"/>
    <mergeCell ref="I31:L31"/>
    <mergeCell ref="M31:Q31"/>
    <mergeCell ref="T31:Y31"/>
    <mergeCell ref="Z31:AA31"/>
    <mergeCell ref="AB31:AG31"/>
    <mergeCell ref="J32:K32"/>
    <mergeCell ref="X32:Y32"/>
    <mergeCell ref="A34:AO34"/>
    <mergeCell ref="S39:Y39"/>
    <mergeCell ref="H48:L48"/>
    <mergeCell ref="K64:Q64"/>
    <mergeCell ref="B68:N68"/>
    <mergeCell ref="O68:W68"/>
    <mergeCell ref="G75:M75"/>
    <mergeCell ref="G79:M79"/>
    <mergeCell ref="A81:AO81"/>
    <mergeCell ref="B82:AO82"/>
    <mergeCell ref="B83:AJ83"/>
    <mergeCell ref="B84:AO84"/>
    <mergeCell ref="B85:H85"/>
    <mergeCell ref="A86:AO86"/>
    <mergeCell ref="A87:AO87"/>
    <mergeCell ref="A88:N88"/>
    <mergeCell ref="E90:K90"/>
    <mergeCell ref="N90:V90"/>
    <mergeCell ref="W90:AE90"/>
    <mergeCell ref="N92:AF92"/>
    <mergeCell ref="AG92:AK92"/>
    <mergeCell ref="AH94:AO94"/>
    <mergeCell ref="A36:A38"/>
    <mergeCell ref="A40:A42"/>
    <mergeCell ref="A45:A47"/>
    <mergeCell ref="A49:A51"/>
    <mergeCell ref="A53:A55"/>
    <mergeCell ref="A56:A60"/>
    <mergeCell ref="A61:A63"/>
    <mergeCell ref="A65:A67"/>
    <mergeCell ref="A69:A71"/>
    <mergeCell ref="X16:X18"/>
    <mergeCell ref="Y16:Y18"/>
    <mergeCell ref="AA16:AA18"/>
    <mergeCell ref="A19:Z21"/>
    <mergeCell ref="AC19:AD21"/>
    <mergeCell ref="AG19:AO21"/>
    <mergeCell ref="AK16:AO17"/>
    <mergeCell ref="AI65:AJ67"/>
    <mergeCell ref="AM65:AN67"/>
    <mergeCell ref="AI53:AJ55"/>
    <mergeCell ref="AM53:AN55"/>
    <mergeCell ref="B53:U55"/>
    <mergeCell ref="B49:V51"/>
    <mergeCell ref="B45:AC47"/>
    <mergeCell ref="B61:AG63"/>
    <mergeCell ref="AI61:AJ63"/>
    <mergeCell ref="AM61:AN63"/>
    <mergeCell ref="AM40:AN41"/>
    <mergeCell ref="C76:AG78"/>
    <mergeCell ref="AI45:AJ47"/>
    <mergeCell ref="AM45:AN47"/>
    <mergeCell ref="AI49:AJ51"/>
    <mergeCell ref="AM49:AN51"/>
    <mergeCell ref="B65:T67"/>
    <mergeCell ref="AI36:AJ38"/>
    <mergeCell ref="AM36:AN38"/>
    <mergeCell ref="A76:B78"/>
    <mergeCell ref="AI76:AJ78"/>
    <mergeCell ref="AM76:AN78"/>
    <mergeCell ref="AI69:AJ71"/>
    <mergeCell ref="AM69:AN71"/>
    <mergeCell ref="A72:B74"/>
    <mergeCell ref="AI72:AJ74"/>
    <mergeCell ref="AM72:AN74"/>
    <mergeCell ref="B69:Q71"/>
    <mergeCell ref="C72:W74"/>
    <mergeCell ref="B57:AB59"/>
    <mergeCell ref="AI57:AJ59"/>
    <mergeCell ref="AM57:AN59"/>
    <mergeCell ref="B40:AA42"/>
    <mergeCell ref="B36:AA38"/>
    <mergeCell ref="AI40:AJ42"/>
    <mergeCell ref="C1:AO6"/>
    <mergeCell ref="A12:E14"/>
    <mergeCell ref="F12:G13"/>
    <mergeCell ref="H12:R14"/>
    <mergeCell ref="Y12:AI14"/>
    <mergeCell ref="A16:V18"/>
    <mergeCell ref="AB16:AE18"/>
    <mergeCell ref="AF16:AH17"/>
    <mergeCell ref="AI16:AJ18"/>
  </mergeCells>
  <pageMargins left="0.707638888888889" right="0.707638888888889" top="0.747916666666667" bottom="0.747916666666667" header="0.313888888888889" footer="0.313888888888889"/>
  <pageSetup paperSize="9" scale="99" firstPageNumber="17" orientation="portrait" useFirstPageNumber="1"/>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FF0000"/>
  </sheetPr>
  <dimension ref="B1:M30"/>
  <sheetViews>
    <sheetView workbookViewId="0">
      <selection activeCell="G5" sqref="G5:H5"/>
    </sheetView>
  </sheetViews>
  <sheetFormatPr defaultColWidth="9" defaultRowHeight="11.25"/>
  <cols>
    <col min="1" max="1" width="15" style="394" customWidth="1"/>
    <col min="2" max="2" width="4" style="394" customWidth="1"/>
    <col min="3" max="3" width="9.5" style="394" customWidth="1"/>
    <col min="4" max="4" width="9.375" style="394" customWidth="1"/>
    <col min="5" max="5" width="12" style="394" customWidth="1"/>
    <col min="6" max="6" width="10" style="394" customWidth="1"/>
    <col min="7" max="7" width="5.625" style="394" customWidth="1"/>
    <col min="8" max="8" width="11.375" style="394" customWidth="1"/>
    <col min="9" max="9" width="8.875" style="394" customWidth="1"/>
    <col min="10" max="10" width="10.625" style="394" customWidth="1"/>
    <col min="11" max="16384" width="9" style="394"/>
  </cols>
  <sheetData>
    <row r="1" ht="12" customHeight="1"/>
    <row r="2" ht="36" customHeight="1"/>
    <row r="3" ht="12" customHeight="1" spans="2:10">
      <c r="B3" s="395" t="s">
        <v>472</v>
      </c>
      <c r="C3" s="396"/>
      <c r="D3" s="396"/>
      <c r="E3" s="395" t="s">
        <v>473</v>
      </c>
      <c r="F3" s="396"/>
      <c r="G3" s="396">
        <v>2007</v>
      </c>
      <c r="H3" s="396"/>
      <c r="I3" s="396"/>
      <c r="J3" s="395" t="s">
        <v>474</v>
      </c>
    </row>
    <row r="4" ht="12" customHeight="1" spans="2:10">
      <c r="B4" s="397" t="s">
        <v>475</v>
      </c>
      <c r="C4" s="397"/>
      <c r="D4" s="396"/>
      <c r="E4" s="398" t="s">
        <v>476</v>
      </c>
      <c r="F4" s="396"/>
      <c r="G4" s="396"/>
      <c r="H4" s="396"/>
      <c r="I4" s="396"/>
      <c r="J4" s="396" t="s">
        <v>477</v>
      </c>
    </row>
    <row r="5" ht="24" customHeight="1" spans="2:10">
      <c r="B5" s="396" t="s">
        <v>478</v>
      </c>
      <c r="C5" s="396"/>
      <c r="D5" s="396"/>
      <c r="E5" s="396">
        <v>9562</v>
      </c>
      <c r="F5" s="396"/>
      <c r="G5" s="396">
        <v>4523</v>
      </c>
      <c r="H5" s="396"/>
      <c r="I5" s="396"/>
      <c r="J5" s="396" t="s">
        <v>479</v>
      </c>
    </row>
    <row r="6" ht="24" customHeight="1" spans="2:10">
      <c r="B6" s="396" t="s">
        <v>480</v>
      </c>
      <c r="C6" s="396"/>
      <c r="D6" s="396"/>
      <c r="E6" s="396">
        <v>142</v>
      </c>
      <c r="F6" s="396"/>
      <c r="G6" s="396">
        <v>22.6</v>
      </c>
      <c r="H6" s="396"/>
      <c r="I6" s="396"/>
      <c r="J6" s="396">
        <v>11.2</v>
      </c>
    </row>
    <row r="7" ht="24" customHeight="1" spans="2:10">
      <c r="B7" s="396">
        <v>44</v>
      </c>
      <c r="C7" s="396"/>
      <c r="D7" s="396"/>
      <c r="E7" s="396">
        <v>8.2</v>
      </c>
      <c r="F7" s="396"/>
      <c r="G7" s="396">
        <v>180</v>
      </c>
      <c r="H7" s="396"/>
      <c r="I7" s="396"/>
      <c r="J7" s="396" t="s">
        <v>481</v>
      </c>
    </row>
    <row r="8" ht="24" customHeight="1" spans="2:10">
      <c r="B8" s="396"/>
      <c r="C8" s="396"/>
      <c r="D8" s="396"/>
      <c r="E8" s="396">
        <v>1</v>
      </c>
      <c r="F8" s="396"/>
      <c r="G8" s="396" t="s">
        <v>482</v>
      </c>
      <c r="H8" s="396"/>
      <c r="I8" s="396"/>
      <c r="J8" s="396"/>
    </row>
    <row r="9" ht="48.95" customHeight="1" spans="2:10">
      <c r="B9" s="396"/>
      <c r="C9" s="396"/>
      <c r="D9" s="396"/>
      <c r="E9" s="396"/>
      <c r="F9" s="396"/>
      <c r="G9" s="396"/>
      <c r="H9" s="396"/>
      <c r="I9" s="396"/>
      <c r="J9" s="396"/>
    </row>
    <row r="10" ht="24" customHeight="1" spans="2:10">
      <c r="B10" s="396"/>
      <c r="C10" s="399">
        <v>42727</v>
      </c>
      <c r="D10" s="400">
        <v>42908</v>
      </c>
      <c r="E10" s="399"/>
      <c r="F10" s="396"/>
      <c r="G10" s="396"/>
      <c r="H10" s="399">
        <v>41575</v>
      </c>
      <c r="I10" s="399" t="s">
        <v>483</v>
      </c>
      <c r="J10" s="399" t="s">
        <v>483</v>
      </c>
    </row>
    <row r="11" ht="24" customHeight="1" spans="2:10">
      <c r="B11" s="396"/>
      <c r="C11" s="399">
        <v>39776</v>
      </c>
      <c r="D11" s="399" t="s">
        <v>483</v>
      </c>
      <c r="E11" s="399"/>
      <c r="F11" s="396"/>
      <c r="G11" s="396"/>
      <c r="H11" s="399"/>
      <c r="I11" s="399"/>
      <c r="J11" s="399"/>
    </row>
    <row r="12" ht="24" customHeight="1" spans="2:10">
      <c r="B12" s="396"/>
      <c r="C12" s="399">
        <v>41596</v>
      </c>
      <c r="D12" s="399">
        <v>43456</v>
      </c>
      <c r="E12" s="400">
        <v>42747</v>
      </c>
      <c r="F12" s="396"/>
      <c r="G12" s="396"/>
      <c r="H12" s="399"/>
      <c r="I12" s="399"/>
      <c r="J12" s="399"/>
    </row>
    <row r="13" ht="24" customHeight="1" spans="2:10">
      <c r="B13" s="396"/>
      <c r="C13" s="399">
        <v>41596</v>
      </c>
      <c r="D13" s="399">
        <v>43456</v>
      </c>
      <c r="E13" s="400">
        <v>42747</v>
      </c>
      <c r="F13" s="396"/>
      <c r="G13" s="396"/>
      <c r="H13" s="399"/>
      <c r="I13" s="399"/>
      <c r="J13" s="399"/>
    </row>
    <row r="14" ht="24" customHeight="1" spans="2:10">
      <c r="B14" s="396"/>
      <c r="C14" s="399">
        <v>42797</v>
      </c>
      <c r="D14" s="399">
        <v>43456</v>
      </c>
      <c r="E14" s="400">
        <v>42747</v>
      </c>
      <c r="F14" s="396"/>
      <c r="G14" s="396"/>
      <c r="H14" s="401">
        <v>42745</v>
      </c>
      <c r="I14" s="401">
        <v>43151</v>
      </c>
      <c r="J14" s="399"/>
    </row>
    <row r="15" ht="24" customHeight="1" spans="2:10">
      <c r="B15" s="396"/>
      <c r="C15" s="399">
        <v>41596</v>
      </c>
      <c r="D15" s="399">
        <v>43456</v>
      </c>
      <c r="E15" s="400">
        <v>42747</v>
      </c>
      <c r="F15" s="396"/>
      <c r="G15" s="396"/>
      <c r="H15" s="399">
        <v>42262</v>
      </c>
      <c r="I15" s="399">
        <v>42858</v>
      </c>
      <c r="J15" s="399">
        <v>42507</v>
      </c>
    </row>
    <row r="16" ht="24" customHeight="1" spans="2:10">
      <c r="B16" s="396"/>
      <c r="C16" s="399">
        <v>41596</v>
      </c>
      <c r="D16" s="399">
        <v>43456</v>
      </c>
      <c r="E16" s="400">
        <v>42747</v>
      </c>
      <c r="F16" s="396"/>
      <c r="G16" s="396"/>
      <c r="H16" s="399">
        <v>42712</v>
      </c>
      <c r="I16" s="399">
        <v>42894</v>
      </c>
      <c r="J16" s="399"/>
    </row>
    <row r="17" ht="24" customHeight="1" spans="2:13">
      <c r="B17" s="396"/>
      <c r="C17" s="399" t="s">
        <v>483</v>
      </c>
      <c r="D17" s="399"/>
      <c r="E17" s="399"/>
      <c r="F17" s="396"/>
      <c r="G17" s="396"/>
      <c r="H17" s="399">
        <v>42712</v>
      </c>
      <c r="I17" s="399">
        <v>42894</v>
      </c>
      <c r="J17" s="399"/>
    </row>
    <row r="18" ht="24" customHeight="1" spans="2:13">
      <c r="B18" s="396"/>
      <c r="C18" s="399" t="s">
        <v>483</v>
      </c>
      <c r="D18" s="399"/>
      <c r="E18" s="399"/>
      <c r="F18" s="396"/>
      <c r="G18" s="396"/>
      <c r="H18" s="396"/>
      <c r="I18" s="396">
        <v>28</v>
      </c>
      <c r="J18" s="396"/>
    </row>
    <row r="19" ht="24" customHeight="1" spans="2:13">
      <c r="B19" s="396"/>
      <c r="C19" s="399" t="s">
        <v>483</v>
      </c>
      <c r="D19" s="401"/>
      <c r="E19" s="401"/>
      <c r="H19" s="402" t="s">
        <v>484</v>
      </c>
      <c r="I19" s="401">
        <v>42654</v>
      </c>
      <c r="J19" s="403" t="s">
        <v>485</v>
      </c>
    </row>
    <row r="20" ht="48.75" customHeight="1" spans="2:13">
      <c r="B20" s="396"/>
      <c r="C20" s="396"/>
      <c r="D20" s="396"/>
      <c r="E20" s="396"/>
      <c r="F20" s="396"/>
      <c r="G20" s="396"/>
      <c r="H20" s="396"/>
      <c r="I20" s="396"/>
      <c r="J20" s="396"/>
    </row>
    <row r="21" ht="24" customHeight="1" spans="2:13">
      <c r="B21" s="404"/>
      <c r="C21" s="396">
        <v>998959</v>
      </c>
      <c r="D21" s="396"/>
      <c r="E21" s="399">
        <v>43549</v>
      </c>
      <c r="F21" s="396"/>
      <c r="G21" s="404"/>
      <c r="H21" s="396">
        <v>1050189</v>
      </c>
      <c r="I21" s="396"/>
      <c r="J21" s="399">
        <v>44297</v>
      </c>
      <c r="M21" s="401"/>
    </row>
    <row r="22" ht="24" customHeight="1" spans="2:13">
      <c r="B22" s="404"/>
      <c r="C22" s="396">
        <v>1047976</v>
      </c>
      <c r="D22" s="396"/>
      <c r="E22" s="399">
        <v>44388</v>
      </c>
      <c r="F22" s="396"/>
      <c r="G22" s="404"/>
      <c r="H22" s="396">
        <v>1048985</v>
      </c>
      <c r="I22" s="396"/>
      <c r="J22" s="399">
        <v>44442</v>
      </c>
    </row>
    <row r="23" ht="24" customHeight="1" spans="2:13">
      <c r="B23" s="404"/>
      <c r="C23" s="396">
        <v>1049874</v>
      </c>
      <c r="D23" s="396"/>
      <c r="E23" s="400">
        <v>44481</v>
      </c>
      <c r="F23" s="396"/>
      <c r="G23" s="404"/>
      <c r="H23" s="396">
        <v>1049867</v>
      </c>
      <c r="I23" s="396"/>
      <c r="J23" s="400">
        <v>44353</v>
      </c>
    </row>
    <row r="24" ht="24" customHeight="1" spans="2:13">
      <c r="B24" s="404"/>
      <c r="C24" s="396">
        <v>1049872</v>
      </c>
      <c r="D24" s="396"/>
      <c r="E24" s="400">
        <v>44221</v>
      </c>
      <c r="F24" s="396"/>
      <c r="G24" s="404"/>
      <c r="H24" s="396"/>
      <c r="I24" s="396"/>
      <c r="J24" s="399"/>
    </row>
    <row r="25" ht="24" customHeight="1" spans="2:13">
      <c r="B25" s="404"/>
      <c r="C25" s="396">
        <v>998959</v>
      </c>
      <c r="D25" s="396"/>
      <c r="E25" s="399">
        <v>43549</v>
      </c>
      <c r="F25" s="396"/>
      <c r="G25" s="404"/>
      <c r="H25" s="396">
        <v>1049874</v>
      </c>
      <c r="I25" s="396"/>
      <c r="J25" s="400">
        <v>44481</v>
      </c>
    </row>
    <row r="26" ht="27" customHeight="1" spans="2:13">
      <c r="B26" s="396"/>
      <c r="C26" s="396"/>
      <c r="D26" s="396"/>
      <c r="E26" s="396"/>
      <c r="F26" s="396"/>
      <c r="G26" s="396"/>
      <c r="H26" s="396"/>
      <c r="I26" s="396"/>
      <c r="J26" s="396"/>
    </row>
    <row r="27" ht="26.25" customHeight="1" spans="2:13">
      <c r="B27" s="396"/>
      <c r="C27" s="405" t="s">
        <v>486</v>
      </c>
      <c r="D27" s="396"/>
      <c r="E27" s="396"/>
      <c r="F27" s="406">
        <v>42315</v>
      </c>
      <c r="G27" s="406"/>
      <c r="H27" s="407" t="s">
        <v>487</v>
      </c>
      <c r="I27" s="407"/>
      <c r="J27" s="405" t="s">
        <v>488</v>
      </c>
    </row>
    <row r="28" ht="26.25" customHeight="1" spans="2:13">
      <c r="B28" s="396"/>
      <c r="C28" s="396"/>
      <c r="D28" s="396"/>
      <c r="E28" s="396"/>
      <c r="F28" s="396"/>
      <c r="G28" s="396"/>
      <c r="H28" s="396"/>
      <c r="I28" s="396"/>
      <c r="J28" s="396"/>
    </row>
    <row r="29" ht="7.5" customHeight="1" spans="2:13">
      <c r="B29" s="396"/>
      <c r="C29" s="396"/>
      <c r="D29" s="396"/>
      <c r="E29" s="396"/>
      <c r="F29" s="396"/>
      <c r="G29" s="396"/>
      <c r="H29" s="396"/>
      <c r="I29" s="396"/>
      <c r="J29" s="396"/>
    </row>
    <row r="30" ht="26.25" customHeight="1" spans="2:13">
      <c r="B30" s="396"/>
      <c r="C30" s="396"/>
      <c r="D30" s="396"/>
      <c r="E30" s="396"/>
      <c r="F30" s="396"/>
      <c r="G30" s="399"/>
      <c r="H30" s="399"/>
      <c r="I30" s="399"/>
      <c r="J30" s="399"/>
    </row>
  </sheetData>
  <mergeCells count="24">
    <mergeCell ref="B3:C3"/>
    <mergeCell ref="B4:C4"/>
    <mergeCell ref="B5:C5"/>
    <mergeCell ref="G5:H5"/>
    <mergeCell ref="B6:C6"/>
    <mergeCell ref="G6:H6"/>
    <mergeCell ref="B7:C7"/>
    <mergeCell ref="G7:H7"/>
    <mergeCell ref="B8:C8"/>
    <mergeCell ref="G8:J8"/>
    <mergeCell ref="C21:D21"/>
    <mergeCell ref="H21:I21"/>
    <mergeCell ref="C22:D22"/>
    <mergeCell ref="H22:I22"/>
    <mergeCell ref="C23:D23"/>
    <mergeCell ref="H23:I23"/>
    <mergeCell ref="C24:D24"/>
    <mergeCell ref="H24:I24"/>
    <mergeCell ref="C25:D25"/>
    <mergeCell ref="H25:I25"/>
    <mergeCell ref="F27:G27"/>
    <mergeCell ref="H27:I27"/>
    <mergeCell ref="G30:J30"/>
    <mergeCell ref="G3:H4"/>
  </mergeCells>
  <conditionalFormatting sqref="I10">
    <cfRule type="cellIs" dxfId="2" priority="520" operator="lessThan">
      <formula>$G$30</formula>
    </cfRule>
  </conditionalFormatting>
  <conditionalFormatting sqref="I14">
    <cfRule type="cellIs" dxfId="2" priority="518" operator="lessThan">
      <formula>$G$30</formula>
    </cfRule>
  </conditionalFormatting>
  <conditionalFormatting sqref="D19">
    <cfRule type="cellIs" dxfId="2" priority="517" operator="lessThan">
      <formula>$G$30</formula>
    </cfRule>
  </conditionalFormatting>
  <conditionalFormatting sqref="E25">
    <cfRule type="cellIs" dxfId="2" priority="44" operator="lessThan">
      <formula>TODAY()</formula>
    </cfRule>
  </conditionalFormatting>
  <conditionalFormatting sqref="J25">
    <cfRule type="cellIs" dxfId="2" priority="1" operator="lessThan">
      <formula>TODAY()</formula>
    </cfRule>
  </conditionalFormatting>
  <conditionalFormatting sqref="D10:D19 I11:I17">
    <cfRule type="cellIs" dxfId="2" priority="524" operator="lessThan">
      <formula>$G$30</formula>
    </cfRule>
  </conditionalFormatting>
  <conditionalFormatting sqref="D10:D19 I10:I17">
    <cfRule type="cellIs" dxfId="2" priority="522" operator="lessThan">
      <formula>$G$30</formula>
    </cfRule>
  </conditionalFormatting>
  <conditionalFormatting sqref="I17 I10:I12 I14:I15 D10:D19">
    <cfRule type="cellIs" dxfId="2" priority="564" operator="lessThan">
      <formula>$G$30</formula>
    </cfRule>
  </conditionalFormatting>
  <conditionalFormatting sqref="J21:J24 E21:E24">
    <cfRule type="cellIs" dxfId="2" priority="521" operator="lessThan">
      <formula>TODAY()</formula>
    </cfRule>
  </conditionalFormatting>
  <pageMargins left="0.25" right="0.25" top="0.75" bottom="0.75" header="0.3" footer="0.3"/>
  <pageSetup paperSize="9" scale="98"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FF00"/>
  </sheetPr>
  <dimension ref="A1:N31"/>
  <sheetViews>
    <sheetView view="pageBreakPreview" zoomScale="85" zoomScaleNormal="100" workbookViewId="0">
      <selection activeCell="B23" sqref="B23:B28"/>
    </sheetView>
  </sheetViews>
  <sheetFormatPr defaultColWidth="9" defaultRowHeight="13.5"/>
  <cols>
    <col min="1" max="2" width="10" style="248" customWidth="1"/>
    <col min="3" max="3" width="10.5" style="248" customWidth="1"/>
    <col min="4" max="4" width="10.125" style="248" customWidth="1"/>
    <col min="5" max="5" width="10" style="248" customWidth="1"/>
    <col min="6" max="6" width="6.375" style="248" customWidth="1"/>
    <col min="7" max="7" width="7" style="248" customWidth="1"/>
    <col min="8" max="8" width="6.375" style="248" customWidth="1"/>
    <col min="9" max="9" width="7.125" style="248" customWidth="1"/>
    <col min="10" max="10" width="11.375" style="248" customWidth="1"/>
    <col min="11" max="11" width="9.375" style="248" customWidth="1"/>
    <col min="12" max="12" width="12.5" style="248" customWidth="1"/>
    <col min="13" max="13" width="10" style="248" customWidth="1"/>
    <col min="14" max="14" width="10.25" style="248" customWidth="1"/>
    <col min="15" max="16384" width="9" style="248"/>
  </cols>
  <sheetData>
    <row r="1" ht="19.5" customHeight="1" spans="1:14">
      <c r="D1" s="355" t="s">
        <v>489</v>
      </c>
      <c r="F1" s="355"/>
      <c r="G1" s="355"/>
      <c r="H1" s="355"/>
      <c r="I1" s="355"/>
      <c r="J1" s="355"/>
      <c r="K1" s="355"/>
      <c r="L1" s="355"/>
    </row>
    <row r="2" ht="18" customHeight="1" spans="1:14">
      <c r="C2" s="356" t="s">
        <v>490</v>
      </c>
      <c r="E2" s="356"/>
      <c r="F2" s="356"/>
      <c r="G2" s="356"/>
      <c r="H2" s="356"/>
      <c r="I2" s="356"/>
      <c r="J2" s="356"/>
      <c r="K2" s="356"/>
      <c r="L2" s="356"/>
      <c r="M2" s="356"/>
    </row>
    <row r="4" ht="18" customHeight="1" spans="1:14">
      <c r="F4" s="355" t="s">
        <v>491</v>
      </c>
      <c r="H4" s="355"/>
      <c r="I4" s="355"/>
    </row>
    <row r="5" ht="16.5" customHeight="1" spans="1:14">
      <c r="E5" s="356" t="s">
        <v>492</v>
      </c>
      <c r="G5" s="356"/>
      <c r="H5" s="356"/>
      <c r="I5" s="356"/>
      <c r="J5" s="356"/>
    </row>
    <row r="7" spans="1:14">
      <c r="J7" s="357"/>
      <c r="K7" s="357"/>
    </row>
    <row r="8" spans="1:14">
      <c r="A8" s="358" t="s">
        <v>493</v>
      </c>
      <c r="B8" s="359" t="str">
        <f>'Gen Inb'!I6</f>
        <v>马士基奋进</v>
      </c>
      <c r="C8" s="359"/>
      <c r="D8" s="358" t="s">
        <v>494</v>
      </c>
      <c r="E8" s="359" t="str">
        <f>'Gen Inb'!F8</f>
        <v>巴拿马</v>
      </c>
      <c r="F8" s="359"/>
      <c r="G8" s="359"/>
      <c r="H8" s="360" t="s">
        <v>495</v>
      </c>
      <c r="I8" s="360"/>
      <c r="J8" s="359" t="str">
        <f>'Gen Inb'!S6</f>
        <v>南沙新港</v>
      </c>
      <c r="K8" s="359"/>
      <c r="L8" s="358" t="s">
        <v>496</v>
      </c>
      <c r="M8" s="361">
        <f>'Gen Inb'!X6</f>
        <v>46238</v>
      </c>
      <c r="N8" s="362"/>
    </row>
    <row r="9" spans="1:14">
      <c r="A9" s="363" t="s">
        <v>497</v>
      </c>
      <c r="B9" s="364" t="str">
        <f>'Gen Inb'!I7</f>
        <v>ERASMUS EFFORT</v>
      </c>
      <c r="C9" s="364"/>
      <c r="D9" s="363" t="s">
        <v>344</v>
      </c>
      <c r="E9" s="364" t="str">
        <f>'Gen Inb'!F9</f>
        <v>PANAMA</v>
      </c>
      <c r="F9" s="364"/>
      <c r="G9" s="364"/>
      <c r="H9" s="365" t="s">
        <v>498</v>
      </c>
      <c r="I9" s="365"/>
      <c r="J9" s="364" t="str">
        <f>'Gen Inb'!S7</f>
        <v>NANSHA NEW PORT</v>
      </c>
      <c r="K9" s="364"/>
      <c r="L9" s="366" t="s">
        <v>499</v>
      </c>
      <c r="M9" s="367"/>
      <c r="N9" s="367"/>
    </row>
    <row r="10" spans="1:14">
      <c r="B10" s="368"/>
      <c r="C10" s="368"/>
      <c r="E10" s="357"/>
      <c r="F10" s="357"/>
      <c r="G10" s="357"/>
    </row>
    <row r="11" spans="1:14">
      <c r="A11" s="358" t="s">
        <v>500</v>
      </c>
      <c r="B11" s="369" t="str">
        <f>'Parts A'!G8</f>
        <v>TS LINE</v>
      </c>
      <c r="C11" s="369"/>
      <c r="D11" s="358" t="s">
        <v>501</v>
      </c>
      <c r="E11" s="370">
        <f>'Gen Inb'!P12</f>
        <v>0</v>
      </c>
      <c r="F11" s="370"/>
      <c r="G11" s="370"/>
      <c r="H11" s="358" t="s">
        <v>502</v>
      </c>
      <c r="K11" s="362">
        <f>J23+J24+J25+J26+J27+J28</f>
        <v>1806</v>
      </c>
      <c r="L11" s="360" t="s">
        <v>503</v>
      </c>
      <c r="M11" s="360"/>
      <c r="N11" s="362">
        <v>20</v>
      </c>
    </row>
    <row r="12" spans="1:14">
      <c r="A12" s="363" t="s">
        <v>504</v>
      </c>
      <c r="B12" s="371"/>
      <c r="C12" s="371"/>
      <c r="D12" s="363" t="s">
        <v>505</v>
      </c>
      <c r="E12" s="372"/>
      <c r="F12" s="372"/>
      <c r="G12" s="372"/>
      <c r="H12" s="365" t="s">
        <v>506</v>
      </c>
      <c r="I12" s="365"/>
      <c r="J12" s="365"/>
      <c r="K12" s="367"/>
      <c r="L12" s="365" t="s">
        <v>507</v>
      </c>
      <c r="M12" s="365"/>
      <c r="N12" s="367"/>
    </row>
    <row r="14" spans="1:14">
      <c r="A14" s="358" t="s">
        <v>508</v>
      </c>
      <c r="H14" s="373"/>
      <c r="I14" s="358" t="s">
        <v>509</v>
      </c>
    </row>
    <row r="15" spans="1:14">
      <c r="A15" s="374" t="s">
        <v>510</v>
      </c>
      <c r="H15" s="373"/>
      <c r="I15" s="358" t="s">
        <v>511</v>
      </c>
    </row>
    <row r="16" spans="1:14">
      <c r="A16" s="375" t="s">
        <v>512</v>
      </c>
      <c r="B16" s="376" t="s">
        <v>513</v>
      </c>
      <c r="C16" s="377"/>
      <c r="D16" s="378"/>
      <c r="E16" s="376" t="s">
        <v>514</v>
      </c>
      <c r="F16" s="377"/>
      <c r="G16" s="377"/>
      <c r="H16" s="377"/>
      <c r="I16" s="377"/>
      <c r="J16" s="377"/>
      <c r="K16" s="378"/>
      <c r="L16" s="376" t="s">
        <v>515</v>
      </c>
      <c r="M16" s="377"/>
      <c r="N16" s="378"/>
    </row>
    <row r="17" spans="1:14">
      <c r="A17" s="379"/>
      <c r="B17" s="380"/>
      <c r="C17" s="341"/>
      <c r="D17" s="344"/>
      <c r="E17" s="380"/>
      <c r="F17" s="341"/>
      <c r="G17" s="341"/>
      <c r="H17" s="341"/>
      <c r="I17" s="341"/>
      <c r="J17" s="341"/>
      <c r="K17" s="344"/>
      <c r="L17" s="380"/>
      <c r="M17" s="341"/>
      <c r="N17" s="344"/>
    </row>
    <row r="18" spans="1:14">
      <c r="A18" s="379"/>
      <c r="B18" s="381"/>
      <c r="C18" s="345"/>
      <c r="D18" s="348"/>
      <c r="E18" s="381"/>
      <c r="F18" s="345"/>
      <c r="G18" s="345"/>
      <c r="H18" s="345"/>
      <c r="I18" s="345"/>
      <c r="J18" s="345"/>
      <c r="K18" s="348"/>
      <c r="L18" s="381"/>
      <c r="M18" s="345"/>
      <c r="N18" s="348"/>
    </row>
    <row r="19" spans="1:14">
      <c r="A19" s="379"/>
      <c r="B19" s="375" t="s">
        <v>516</v>
      </c>
      <c r="C19" s="375" t="s">
        <v>517</v>
      </c>
      <c r="D19" s="375" t="s">
        <v>518</v>
      </c>
      <c r="E19" s="375" t="s">
        <v>519</v>
      </c>
      <c r="F19" s="376" t="s">
        <v>520</v>
      </c>
      <c r="G19" s="378"/>
      <c r="H19" s="376" t="s">
        <v>521</v>
      </c>
      <c r="I19" s="378"/>
      <c r="J19" s="375" t="s">
        <v>522</v>
      </c>
      <c r="K19" s="375" t="s">
        <v>523</v>
      </c>
      <c r="L19" s="375" t="s">
        <v>524</v>
      </c>
      <c r="M19" s="375" t="s">
        <v>525</v>
      </c>
      <c r="N19" s="375" t="s">
        <v>526</v>
      </c>
    </row>
    <row r="20" spans="1:14">
      <c r="A20" s="379"/>
      <c r="B20" s="382"/>
      <c r="C20" s="382"/>
      <c r="D20" s="382"/>
      <c r="E20" s="382"/>
      <c r="F20" s="381"/>
      <c r="G20" s="348"/>
      <c r="H20" s="381"/>
      <c r="I20" s="348"/>
      <c r="J20" s="382"/>
      <c r="K20" s="382"/>
      <c r="L20" s="382"/>
      <c r="M20" s="382"/>
      <c r="N20" s="382"/>
    </row>
    <row r="21" spans="1:14">
      <c r="A21" s="379"/>
      <c r="B21" s="382"/>
      <c r="C21" s="382"/>
      <c r="D21" s="382"/>
      <c r="E21" s="382"/>
      <c r="F21" s="375" t="s">
        <v>527</v>
      </c>
      <c r="G21" s="375" t="s">
        <v>528</v>
      </c>
      <c r="H21" s="375" t="s">
        <v>527</v>
      </c>
      <c r="I21" s="375" t="s">
        <v>528</v>
      </c>
      <c r="J21" s="382"/>
      <c r="K21" s="382"/>
      <c r="L21" s="382"/>
      <c r="M21" s="382"/>
      <c r="N21" s="382"/>
    </row>
    <row r="22" spans="1:14">
      <c r="A22" s="383"/>
      <c r="B22" s="384"/>
      <c r="C22" s="384"/>
      <c r="D22" s="384"/>
      <c r="E22" s="384"/>
      <c r="F22" s="384"/>
      <c r="G22" s="384"/>
      <c r="H22" s="384"/>
      <c r="I22" s="384"/>
      <c r="J22" s="384"/>
      <c r="K22" s="384"/>
      <c r="L22" s="384"/>
      <c r="M22" s="384"/>
      <c r="N22" s="384"/>
    </row>
    <row r="23" spans="1:14">
      <c r="A23" s="385" t="s">
        <v>529</v>
      </c>
      <c r="B23" s="386">
        <v>43821</v>
      </c>
      <c r="C23" s="385" t="s">
        <v>530</v>
      </c>
      <c r="D23" s="385">
        <v>301</v>
      </c>
      <c r="E23" s="386">
        <v>43456</v>
      </c>
      <c r="F23" s="385" t="s">
        <v>531</v>
      </c>
      <c r="G23" s="385" t="s">
        <v>532</v>
      </c>
      <c r="H23" s="385" t="s">
        <v>533</v>
      </c>
      <c r="I23" s="385" t="s">
        <v>534</v>
      </c>
      <c r="J23" s="385">
        <v>301</v>
      </c>
      <c r="K23" s="387">
        <v>1</v>
      </c>
      <c r="L23" s="385" t="s">
        <v>423</v>
      </c>
      <c r="M23" s="385" t="s">
        <v>423</v>
      </c>
      <c r="N23" s="385" t="s">
        <v>423</v>
      </c>
    </row>
    <row r="24" spans="1:14">
      <c r="A24" s="385" t="s">
        <v>535</v>
      </c>
      <c r="B24" s="386">
        <v>43821</v>
      </c>
      <c r="C24" s="385" t="s">
        <v>530</v>
      </c>
      <c r="D24" s="385">
        <v>301</v>
      </c>
      <c r="E24" s="386">
        <v>43456</v>
      </c>
      <c r="F24" s="385" t="s">
        <v>531</v>
      </c>
      <c r="G24" s="385" t="s">
        <v>532</v>
      </c>
      <c r="H24" s="385" t="s">
        <v>533</v>
      </c>
      <c r="I24" s="385" t="s">
        <v>534</v>
      </c>
      <c r="J24" s="385">
        <v>301</v>
      </c>
      <c r="K24" s="387">
        <v>1</v>
      </c>
      <c r="L24" s="385" t="s">
        <v>423</v>
      </c>
      <c r="M24" s="385" t="s">
        <v>423</v>
      </c>
      <c r="N24" s="385" t="s">
        <v>423</v>
      </c>
    </row>
    <row r="25" spans="1:14">
      <c r="A25" s="385" t="s">
        <v>536</v>
      </c>
      <c r="B25" s="386">
        <v>43821</v>
      </c>
      <c r="C25" s="385" t="s">
        <v>530</v>
      </c>
      <c r="D25" s="385">
        <v>301</v>
      </c>
      <c r="E25" s="386">
        <v>43456</v>
      </c>
      <c r="F25" s="385" t="s">
        <v>537</v>
      </c>
      <c r="G25" s="385" t="s">
        <v>538</v>
      </c>
      <c r="H25" s="385" t="s">
        <v>539</v>
      </c>
      <c r="I25" s="385" t="s">
        <v>540</v>
      </c>
      <c r="J25" s="385">
        <v>301</v>
      </c>
      <c r="K25" s="387">
        <v>1</v>
      </c>
      <c r="L25" s="385" t="s">
        <v>423</v>
      </c>
      <c r="M25" s="385" t="s">
        <v>423</v>
      </c>
      <c r="N25" s="385" t="s">
        <v>423</v>
      </c>
    </row>
    <row r="26" spans="1:14">
      <c r="A26" s="385" t="s">
        <v>541</v>
      </c>
      <c r="B26" s="386">
        <v>43821</v>
      </c>
      <c r="C26" s="385" t="s">
        <v>530</v>
      </c>
      <c r="D26" s="385">
        <v>301</v>
      </c>
      <c r="E26" s="386">
        <v>43456</v>
      </c>
      <c r="F26" s="385" t="s">
        <v>537</v>
      </c>
      <c r="G26" s="385" t="s">
        <v>538</v>
      </c>
      <c r="H26" s="385" t="s">
        <v>539</v>
      </c>
      <c r="I26" s="385" t="s">
        <v>540</v>
      </c>
      <c r="J26" s="385">
        <v>301</v>
      </c>
      <c r="K26" s="387">
        <v>1</v>
      </c>
      <c r="L26" s="385" t="s">
        <v>423</v>
      </c>
      <c r="M26" s="385" t="s">
        <v>423</v>
      </c>
      <c r="N26" s="385" t="s">
        <v>423</v>
      </c>
    </row>
    <row r="27" spans="1:14">
      <c r="A27" s="385" t="s">
        <v>542</v>
      </c>
      <c r="B27" s="386">
        <v>43821</v>
      </c>
      <c r="C27" s="385" t="s">
        <v>530</v>
      </c>
      <c r="D27" s="385">
        <v>301</v>
      </c>
      <c r="E27" s="386">
        <v>43456</v>
      </c>
      <c r="F27" s="385" t="s">
        <v>543</v>
      </c>
      <c r="G27" s="385" t="s">
        <v>544</v>
      </c>
      <c r="H27" s="385" t="s">
        <v>545</v>
      </c>
      <c r="I27" s="385" t="s">
        <v>546</v>
      </c>
      <c r="J27" s="385">
        <v>301</v>
      </c>
      <c r="K27" s="387">
        <v>1</v>
      </c>
      <c r="L27" s="385" t="s">
        <v>423</v>
      </c>
      <c r="M27" s="385" t="s">
        <v>423</v>
      </c>
      <c r="N27" s="385" t="s">
        <v>423</v>
      </c>
    </row>
    <row r="28" spans="1:14">
      <c r="A28" s="385" t="s">
        <v>547</v>
      </c>
      <c r="B28" s="386">
        <v>43821</v>
      </c>
      <c r="C28" s="385" t="s">
        <v>530</v>
      </c>
      <c r="D28" s="385">
        <v>301</v>
      </c>
      <c r="E28" s="386">
        <v>43456</v>
      </c>
      <c r="F28" s="385" t="s">
        <v>548</v>
      </c>
      <c r="G28" s="385" t="s">
        <v>549</v>
      </c>
      <c r="H28" s="385" t="s">
        <v>550</v>
      </c>
      <c r="I28" s="385" t="s">
        <v>551</v>
      </c>
      <c r="J28" s="385">
        <v>301</v>
      </c>
      <c r="K28" s="387">
        <v>1</v>
      </c>
      <c r="L28" s="385" t="s">
        <v>423</v>
      </c>
      <c r="M28" s="385" t="s">
        <v>423</v>
      </c>
      <c r="N28" s="385" t="s">
        <v>423</v>
      </c>
    </row>
    <row r="30" spans="1:14">
      <c r="B30" s="373" t="s">
        <v>552</v>
      </c>
      <c r="C30" s="388"/>
      <c r="D30" s="388"/>
      <c r="E30" s="373" t="s">
        <v>553</v>
      </c>
      <c r="F30" s="389">
        <f>'Gen Inb'!X6</f>
        <v>46238</v>
      </c>
      <c r="G30" s="390"/>
      <c r="H30" s="390"/>
      <c r="I30" s="390"/>
    </row>
    <row r="31" spans="1:14">
      <c r="B31" s="391" t="s">
        <v>554</v>
      </c>
      <c r="C31" s="392"/>
      <c r="D31" s="392"/>
      <c r="E31" s="373" t="s">
        <v>300</v>
      </c>
      <c r="F31" s="393"/>
      <c r="G31" s="393"/>
      <c r="H31" s="393"/>
      <c r="I31" s="393"/>
    </row>
  </sheetData>
  <mergeCells count="37">
    <mergeCell ref="B8:C8"/>
    <mergeCell ref="E8:G8"/>
    <mergeCell ref="H8:I8"/>
    <mergeCell ref="J8:K8"/>
    <mergeCell ref="B9:C9"/>
    <mergeCell ref="E9:G9"/>
    <mergeCell ref="H9:I9"/>
    <mergeCell ref="J9:K9"/>
    <mergeCell ref="L11:M11"/>
    <mergeCell ref="H12:J12"/>
    <mergeCell ref="L12:M12"/>
    <mergeCell ref="A16:A22"/>
    <mergeCell ref="B19:B22"/>
    <mergeCell ref="C19:C22"/>
    <mergeCell ref="D19:D22"/>
    <mergeCell ref="E19:E22"/>
    <mergeCell ref="F21:F22"/>
    <mergeCell ref="G21:G22"/>
    <mergeCell ref="H21:H22"/>
    <mergeCell ref="I21:I22"/>
    <mergeCell ref="J19:J22"/>
    <mergeCell ref="K11:K12"/>
    <mergeCell ref="K19:K22"/>
    <mergeCell ref="L19:L22"/>
    <mergeCell ref="M19:M22"/>
    <mergeCell ref="N11:N12"/>
    <mergeCell ref="N19:N22"/>
    <mergeCell ref="M8:N9"/>
    <mergeCell ref="B11:C12"/>
    <mergeCell ref="E11:G12"/>
    <mergeCell ref="L16:N18"/>
    <mergeCell ref="F19:G20"/>
    <mergeCell ref="H19:I20"/>
    <mergeCell ref="B16:D18"/>
    <mergeCell ref="E16:K18"/>
    <mergeCell ref="C30:D31"/>
    <mergeCell ref="F30:I31"/>
  </mergeCells>
  <printOptions horizontalCentered="1"/>
  <pageMargins left="0.313888888888889" right="0.313888888888889" top="0.471527777777778" bottom="0.471527777777778" header="0.15625" footer="0.15625"/>
  <pageSetup paperSize="9" orientation="landscape"/>
  <headerFooter/>
  <drawing r:id="rId1"/>
  <legacyDrawing r:id="rId2"/>
  <mc:AlternateContent xmlns:mc="http://schemas.openxmlformats.org/markup-compatibility/2006">
    <mc:Choice Requires="x14">
      <controls>
        <mc:AlternateContent xmlns:mc="http://schemas.openxmlformats.org/markup-compatibility/2006">
          <mc:Choice Requires="x14">
            <control shapeId="37889" name="Check Box 1" r:id="rId3">
              <controlPr defaultSize="0">
                <anchor moveWithCells="1">
                  <from>
                    <xdr:col>7</xdr:col>
                    <xdr:colOff>238125</xdr:colOff>
                    <xdr:row>12</xdr:row>
                    <xdr:rowOff>161925</xdr:rowOff>
                  </from>
                  <to>
                    <xdr:col>8</xdr:col>
                    <xdr:colOff>57150</xdr:colOff>
                    <xdr:row>14</xdr:row>
                    <xdr:rowOff>28575</xdr:rowOff>
                  </to>
                </anchor>
              </controlPr>
            </control>
          </mc:Choice>
        </mc:AlternateContent>
        <mc:AlternateContent xmlns:mc="http://schemas.openxmlformats.org/markup-compatibility/2006">
          <mc:Choice Requires="x14">
            <control shapeId="37890" name="Check Box 2" r:id="rId4">
              <controlPr defaultSize="0">
                <anchor moveWithCells="1">
                  <from>
                    <xdr:col>7</xdr:col>
                    <xdr:colOff>238125</xdr:colOff>
                    <xdr:row>13</xdr:row>
                    <xdr:rowOff>152400</xdr:rowOff>
                  </from>
                  <to>
                    <xdr:col>8</xdr:col>
                    <xdr:colOff>57150</xdr:colOff>
                    <xdr:row>15</xdr:row>
                    <xdr:rowOff>19050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AD30"/>
  <sheetViews>
    <sheetView view="pageBreakPreview" zoomScaleNormal="100" workbookViewId="0">
      <selection activeCell="AG11" sqref="AG11"/>
    </sheetView>
  </sheetViews>
  <sheetFormatPr defaultColWidth="9" defaultRowHeight="26.25" customHeight="1"/>
  <cols>
    <col min="1" max="1" width="2.5" style="284" customWidth="1"/>
    <col min="2" max="2" width="6.875" style="284" customWidth="1"/>
    <col min="3" max="3" width="5" style="284" customWidth="1"/>
    <col min="4" max="4" width="1.125" style="284" customWidth="1"/>
    <col min="5" max="5" width="3.75" style="284" customWidth="1"/>
    <col min="6" max="6" width="0.75" style="284" customWidth="1"/>
    <col min="7" max="7" width="4.5" style="284" customWidth="1"/>
    <col min="8" max="8" width="5" style="284" customWidth="1"/>
    <col min="9" max="9" width="3.75" style="284" customWidth="1"/>
    <col min="10" max="10" width="1.375" style="284" customWidth="1"/>
    <col min="11" max="11" width="1.75" style="284" customWidth="1"/>
    <col min="12" max="12" width="3.125" style="284" customWidth="1"/>
    <col min="13" max="13" width="4.125" style="284" customWidth="1"/>
    <col min="14" max="14" width="0.875" style="284" customWidth="1"/>
    <col min="15" max="15" width="5" style="284" customWidth="1"/>
    <col min="16" max="16" width="7" style="284" customWidth="1"/>
    <col min="17" max="17" width="1.875" style="284" customWidth="1"/>
    <col min="18" max="18" width="3.25" style="284" customWidth="1"/>
    <col min="19" max="19" width="1.125" style="284" customWidth="1"/>
    <col min="20" max="20" width="3.75" style="284" customWidth="1"/>
    <col min="21" max="21" width="5.125" style="284" customWidth="1"/>
    <col min="22" max="22" width="5" style="284" customWidth="1"/>
    <col min="23" max="23" width="0.875" style="284" customWidth="1"/>
    <col min="24" max="24" width="1.5" style="284" customWidth="1"/>
    <col min="25" max="25" width="2.75" style="284" customWidth="1"/>
    <col min="26" max="26" width="1.75" style="284" customWidth="1"/>
    <col min="27" max="27" width="3.125" style="284" customWidth="1"/>
    <col min="28" max="28" width="1.125" style="284" customWidth="1"/>
    <col min="29" max="29" width="3.875" style="284" customWidth="1"/>
    <col min="30" max="30" width="5" style="284" customWidth="1"/>
    <col min="31" max="16384" width="9" style="284"/>
  </cols>
  <sheetData>
    <row r="1" customHeight="1" spans="1:30">
      <c r="A1" s="285" t="s">
        <v>555</v>
      </c>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row>
    <row r="2" customHeight="1" spans="1:30">
      <c r="A2" s="285"/>
      <c r="B2" s="285"/>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row>
    <row r="3" ht="24" customHeight="1" spans="1:30">
      <c r="B3" s="286" t="s">
        <v>556</v>
      </c>
      <c r="C3" s="286"/>
      <c r="D3" s="287"/>
      <c r="E3" s="287"/>
      <c r="F3" s="287"/>
      <c r="G3" s="287"/>
      <c r="H3" s="287"/>
      <c r="I3" s="287"/>
      <c r="J3" s="287"/>
      <c r="K3" s="287"/>
      <c r="L3" s="287"/>
      <c r="M3" s="287"/>
      <c r="N3" s="287"/>
      <c r="O3" s="287"/>
      <c r="P3" s="287"/>
      <c r="Q3" s="287"/>
      <c r="R3" s="287"/>
      <c r="S3" s="287"/>
      <c r="T3" s="286" t="s">
        <v>557</v>
      </c>
      <c r="U3" s="286"/>
      <c r="V3" s="286"/>
      <c r="W3" s="286"/>
      <c r="X3" s="349" t="str">
        <f>'Gen Inb'!S6</f>
        <v>南沙新港</v>
      </c>
      <c r="Y3" s="349"/>
      <c r="Z3" s="349"/>
      <c r="AA3" s="349"/>
      <c r="AB3" s="349"/>
      <c r="AC3" s="349"/>
      <c r="AD3" s="349"/>
    </row>
    <row r="4" ht="24" customHeight="1" spans="1:30">
      <c r="B4" s="289" t="s">
        <v>493</v>
      </c>
      <c r="C4" s="289"/>
      <c r="D4" s="289"/>
      <c r="E4" s="303" t="str">
        <f>'Gen Inb'!I6</f>
        <v>马士基奋进</v>
      </c>
      <c r="F4" s="303"/>
      <c r="G4" s="303"/>
      <c r="H4" s="303"/>
      <c r="I4" s="303"/>
      <c r="J4" s="289" t="s">
        <v>494</v>
      </c>
      <c r="K4" s="289"/>
      <c r="L4" s="289"/>
      <c r="M4" s="289"/>
      <c r="N4" s="289"/>
      <c r="O4" s="289"/>
      <c r="P4" s="350" t="str">
        <f>'Gen Inb'!F8</f>
        <v>巴拿马</v>
      </c>
      <c r="Q4" s="350"/>
      <c r="R4" s="350"/>
      <c r="S4" s="350"/>
      <c r="T4" s="289" t="s">
        <v>558</v>
      </c>
      <c r="U4" s="289"/>
      <c r="V4" s="292" t="s">
        <v>559</v>
      </c>
      <c r="W4" s="293"/>
      <c r="X4" s="293"/>
      <c r="Y4" s="293" t="s">
        <v>560</v>
      </c>
      <c r="Z4" s="293"/>
      <c r="AA4" s="293"/>
      <c r="AB4" s="293"/>
      <c r="AC4" s="293" t="s">
        <v>561</v>
      </c>
      <c r="AD4" s="294"/>
    </row>
    <row r="5" ht="24" customHeight="1" spans="1:30">
      <c r="B5" s="289" t="s">
        <v>15</v>
      </c>
      <c r="C5" s="289"/>
      <c r="D5" s="289"/>
      <c r="E5" s="303">
        <f>'Gen Inb'!H24</f>
        <v>19</v>
      </c>
      <c r="F5" s="303"/>
      <c r="G5" s="303"/>
      <c r="H5" s="303"/>
      <c r="I5" s="303"/>
      <c r="J5" s="289" t="s">
        <v>562</v>
      </c>
      <c r="K5" s="289"/>
      <c r="L5" s="289"/>
      <c r="M5" s="289"/>
      <c r="N5" s="289"/>
      <c r="O5" s="289"/>
      <c r="P5" s="303" t="str">
        <f>'Gen Inb'!N24</f>
        <v>nil</v>
      </c>
      <c r="Q5" s="303"/>
      <c r="R5" s="303"/>
      <c r="S5" s="303"/>
      <c r="T5" s="289" t="s">
        <v>563</v>
      </c>
      <c r="U5" s="289"/>
      <c r="V5" s="303">
        <f>'Gen Inb'!E12</f>
        <v>9562</v>
      </c>
      <c r="W5" s="303"/>
      <c r="X5" s="303"/>
      <c r="Y5" s="289" t="s">
        <v>564</v>
      </c>
      <c r="Z5" s="289"/>
      <c r="AA5" s="289"/>
      <c r="AB5" s="289"/>
      <c r="AC5" s="303">
        <f>'Gen Inb'!L12</f>
        <v>4523</v>
      </c>
      <c r="AD5" s="303"/>
    </row>
    <row r="6" ht="24" customHeight="1" spans="1:30">
      <c r="B6" s="289" t="s">
        <v>565</v>
      </c>
      <c r="C6" s="289"/>
      <c r="D6" s="289"/>
      <c r="E6" s="351" t="str">
        <f>'Gen Inb'!W8&amp;"/"&amp;'Gen Inb'!S6</f>
        <v>胡志明市/南沙新港</v>
      </c>
      <c r="F6" s="352"/>
      <c r="G6" s="352"/>
      <c r="H6" s="352"/>
      <c r="I6" s="352"/>
      <c r="J6" s="352"/>
      <c r="K6" s="352"/>
      <c r="L6" s="352"/>
      <c r="M6" s="352"/>
      <c r="N6" s="352"/>
      <c r="O6" s="302"/>
      <c r="P6" s="289" t="s">
        <v>566</v>
      </c>
      <c r="Q6" s="289"/>
      <c r="R6" s="289"/>
      <c r="S6" s="289"/>
      <c r="T6" s="289"/>
      <c r="U6" s="289"/>
      <c r="V6" s="353">
        <f>'Gen Inb'!X6</f>
        <v>46238</v>
      </c>
      <c r="W6" s="353"/>
      <c r="X6" s="353"/>
      <c r="Y6" s="353"/>
      <c r="Z6" s="353"/>
      <c r="AA6" s="353"/>
      <c r="AB6" s="353"/>
      <c r="AC6" s="353"/>
      <c r="AD6" s="353"/>
    </row>
    <row r="7" ht="24" customHeight="1" spans="1:30">
      <c r="B7" s="289" t="s">
        <v>567</v>
      </c>
      <c r="C7" s="289"/>
      <c r="D7" s="289"/>
      <c r="E7" s="303" t="s">
        <v>145</v>
      </c>
      <c r="F7" s="303"/>
      <c r="G7" s="303"/>
      <c r="H7" s="303"/>
      <c r="I7" s="303"/>
      <c r="J7" s="289" t="s">
        <v>568</v>
      </c>
      <c r="K7" s="289"/>
      <c r="L7" s="289"/>
      <c r="M7" s="289"/>
      <c r="N7" s="289"/>
      <c r="O7" s="289"/>
      <c r="P7" s="303" t="s">
        <v>569</v>
      </c>
      <c r="Q7" s="303"/>
      <c r="R7" s="303"/>
      <c r="S7" s="303"/>
      <c r="T7" s="289" t="s">
        <v>570</v>
      </c>
      <c r="U7" s="289"/>
      <c r="V7" s="289"/>
      <c r="W7" s="289"/>
      <c r="X7" s="289"/>
      <c r="Y7" s="303" t="str">
        <f>'Gen Inb'!M21&amp;"吨"</f>
        <v>12059吨</v>
      </c>
      <c r="Z7" s="303"/>
      <c r="AA7" s="303"/>
      <c r="AB7" s="303"/>
      <c r="AC7" s="303"/>
      <c r="AD7" s="303"/>
    </row>
    <row r="8" ht="24" customHeight="1" spans="1:30">
      <c r="B8" s="289" t="s">
        <v>571</v>
      </c>
      <c r="C8" s="301" t="s">
        <v>572</v>
      </c>
      <c r="D8" s="302">
        <f>'Cstm Outb'!E8</f>
        <v>0</v>
      </c>
      <c r="E8" s="303"/>
      <c r="F8" s="304" t="s">
        <v>573</v>
      </c>
      <c r="G8" s="301"/>
      <c r="H8" s="302">
        <f>'Cstm Outb'!D8</f>
        <v>0</v>
      </c>
      <c r="I8" s="304" t="s">
        <v>574</v>
      </c>
      <c r="J8" s="301"/>
      <c r="K8" s="302">
        <v>0</v>
      </c>
      <c r="L8" s="303"/>
      <c r="M8" s="304" t="s">
        <v>575</v>
      </c>
      <c r="N8" s="301"/>
      <c r="O8" s="302">
        <v>0</v>
      </c>
      <c r="P8" s="289" t="s">
        <v>576</v>
      </c>
      <c r="Q8" s="304" t="s">
        <v>572</v>
      </c>
      <c r="R8" s="301"/>
      <c r="S8" s="302">
        <f>'Cstm Inb'!E9+'Cstm Inb'!I9+'Cstm Inb'!E11</f>
        <v>68</v>
      </c>
      <c r="T8" s="303"/>
      <c r="U8" s="301" t="s">
        <v>573</v>
      </c>
      <c r="V8" s="302">
        <f>'Cstm Inb'!D9+'Cstm Inb'!H9+'Cstm Inb'!D11</f>
        <v>67</v>
      </c>
      <c r="W8" s="304" t="s">
        <v>574</v>
      </c>
      <c r="X8" s="304"/>
      <c r="Y8" s="301"/>
      <c r="Z8" s="302">
        <f>'Cstm Inb'!I11</f>
        <v>0</v>
      </c>
      <c r="AA8" s="303"/>
      <c r="AB8" s="304" t="s">
        <v>575</v>
      </c>
      <c r="AC8" s="301"/>
      <c r="AD8" s="302">
        <f>'Cstm Inb'!H11</f>
        <v>0</v>
      </c>
    </row>
    <row r="9" ht="24" customHeight="1" spans="1:30">
      <c r="B9" s="289" t="s">
        <v>577</v>
      </c>
      <c r="C9" s="289"/>
      <c r="D9" s="289"/>
      <c r="E9" s="289"/>
      <c r="F9" s="289"/>
      <c r="G9" s="289"/>
      <c r="H9" s="289" t="s">
        <v>578</v>
      </c>
      <c r="I9" s="289"/>
      <c r="J9" s="289"/>
      <c r="K9" s="305"/>
      <c r="L9" s="294" t="s">
        <v>579</v>
      </c>
      <c r="M9" s="306"/>
      <c r="N9" s="306"/>
      <c r="O9" s="306"/>
      <c r="P9" s="289" t="s">
        <v>580</v>
      </c>
      <c r="Q9" s="289"/>
      <c r="R9" s="289"/>
      <c r="S9" s="289"/>
      <c r="T9" s="289"/>
      <c r="U9" s="289"/>
      <c r="V9" s="305" t="s">
        <v>578</v>
      </c>
      <c r="W9" s="307"/>
      <c r="X9" s="307"/>
      <c r="Y9" s="307"/>
      <c r="Z9" s="307"/>
      <c r="AA9" s="293" t="s">
        <v>579</v>
      </c>
      <c r="AB9" s="293"/>
      <c r="AC9" s="293"/>
      <c r="AD9" s="294"/>
    </row>
    <row r="10" ht="24" customHeight="1" spans="1:30">
      <c r="B10" s="289" t="s">
        <v>11</v>
      </c>
      <c r="C10" s="289"/>
      <c r="D10" s="289"/>
      <c r="E10" s="305" t="s">
        <v>581</v>
      </c>
      <c r="F10" s="307"/>
      <c r="G10" s="352" t="str">
        <f>'Gen Outb'!G18</f>
        <v>胡志明市</v>
      </c>
      <c r="H10" s="352"/>
      <c r="I10" s="352"/>
      <c r="J10" s="307" t="s">
        <v>582</v>
      </c>
      <c r="K10" s="307"/>
      <c r="L10" s="302" t="str">
        <f>'Gen Outb'!M18</f>
        <v>南沙新港</v>
      </c>
      <c r="M10" s="303"/>
      <c r="N10" s="303"/>
      <c r="O10" s="303"/>
      <c r="P10" s="289" t="s">
        <v>583</v>
      </c>
      <c r="Q10" s="289"/>
      <c r="R10" s="289"/>
      <c r="S10" s="289"/>
      <c r="T10" s="289"/>
      <c r="U10" s="289"/>
      <c r="V10" s="303" t="str">
        <f>P7</f>
        <v>集装箱</v>
      </c>
      <c r="W10" s="303"/>
      <c r="X10" s="303"/>
      <c r="Y10" s="303"/>
      <c r="Z10" s="303"/>
      <c r="AA10" s="303"/>
      <c r="AB10" s="303"/>
      <c r="AC10" s="303"/>
      <c r="AD10" s="303"/>
    </row>
    <row r="11" ht="24" customHeight="1" spans="1:30">
      <c r="B11" s="289" t="s">
        <v>584</v>
      </c>
      <c r="C11" s="289"/>
      <c r="D11" s="289"/>
      <c r="E11" s="289"/>
      <c r="F11" s="289"/>
      <c r="G11" s="289"/>
      <c r="H11" s="310" t="s">
        <v>585</v>
      </c>
      <c r="I11" s="311"/>
      <c r="J11" s="311"/>
      <c r="K11" s="311"/>
      <c r="L11" s="311" t="s">
        <v>586</v>
      </c>
      <c r="M11" s="311"/>
      <c r="N11" s="311"/>
      <c r="O11" s="311"/>
      <c r="P11" s="311" t="s">
        <v>587</v>
      </c>
      <c r="Q11" s="311"/>
      <c r="R11" s="311"/>
      <c r="S11" s="311"/>
      <c r="T11" s="311"/>
      <c r="U11" s="311"/>
      <c r="V11" s="311" t="s">
        <v>588</v>
      </c>
      <c r="W11" s="311"/>
      <c r="X11" s="311"/>
      <c r="Y11" s="311"/>
      <c r="Z11" s="311"/>
      <c r="AA11" s="311"/>
      <c r="AB11" s="311"/>
      <c r="AC11" s="311"/>
      <c r="AD11" s="312"/>
    </row>
    <row r="12" ht="24" customHeight="1" spans="1:30">
      <c r="B12" s="289"/>
      <c r="C12" s="289"/>
      <c r="D12" s="289"/>
      <c r="E12" s="289"/>
      <c r="F12" s="289"/>
      <c r="G12" s="289"/>
      <c r="H12" s="313" t="s">
        <v>589</v>
      </c>
      <c r="I12" s="314"/>
      <c r="J12" s="314"/>
      <c r="K12" s="314"/>
      <c r="L12" s="314" t="s">
        <v>590</v>
      </c>
      <c r="M12" s="314"/>
      <c r="N12" s="314"/>
      <c r="O12" s="314"/>
      <c r="P12" s="315" t="s">
        <v>591</v>
      </c>
      <c r="Q12" s="315"/>
      <c r="R12" s="315"/>
      <c r="S12" s="315"/>
      <c r="T12" s="315"/>
      <c r="U12" s="315"/>
      <c r="V12" s="314" t="s">
        <v>592</v>
      </c>
      <c r="W12" s="314"/>
      <c r="X12" s="314"/>
      <c r="Y12" s="314"/>
      <c r="Z12" s="314"/>
      <c r="AA12" s="314"/>
      <c r="AB12" s="314"/>
      <c r="AC12" s="314"/>
      <c r="AD12" s="316"/>
    </row>
    <row r="13" ht="24" customHeight="1" spans="1:30">
      <c r="B13" s="289" t="s">
        <v>593</v>
      </c>
      <c r="C13" s="289"/>
      <c r="D13" s="289"/>
      <c r="E13" s="289"/>
      <c r="F13" s="289"/>
      <c r="G13" s="289"/>
      <c r="H13" s="289"/>
      <c r="I13" s="289"/>
      <c r="J13" s="289"/>
      <c r="K13" s="289"/>
      <c r="L13" s="289"/>
      <c r="M13" s="289"/>
      <c r="N13" s="289"/>
      <c r="O13" s="289"/>
      <c r="P13" s="303"/>
      <c r="Q13" s="303"/>
      <c r="R13" s="303"/>
      <c r="S13" s="303"/>
      <c r="T13" s="303"/>
      <c r="U13" s="303"/>
      <c r="V13" s="303"/>
      <c r="W13" s="303"/>
      <c r="X13" s="303"/>
      <c r="Y13" s="303"/>
      <c r="Z13" s="303"/>
      <c r="AA13" s="303"/>
      <c r="AB13" s="303"/>
      <c r="AC13" s="303"/>
      <c r="AD13" s="303"/>
    </row>
    <row r="14" ht="24" customHeight="1" spans="1:30">
      <c r="B14" s="289" t="s">
        <v>594</v>
      </c>
      <c r="C14" s="289"/>
      <c r="D14" s="289"/>
      <c r="E14" s="289"/>
      <c r="F14" s="289"/>
      <c r="G14" s="289"/>
      <c r="H14" s="289"/>
      <c r="I14" s="289"/>
      <c r="J14" s="289"/>
      <c r="K14" s="289"/>
      <c r="L14" s="289"/>
      <c r="M14" s="289"/>
      <c r="N14" s="289"/>
      <c r="O14" s="289"/>
      <c r="P14" s="303" t="s">
        <v>595</v>
      </c>
      <c r="Q14" s="303"/>
      <c r="R14" s="303"/>
      <c r="S14" s="303"/>
      <c r="T14" s="303"/>
      <c r="U14" s="303"/>
      <c r="V14" s="303"/>
      <c r="W14" s="303"/>
      <c r="X14" s="303"/>
      <c r="Y14" s="303"/>
      <c r="Z14" s="303"/>
      <c r="AA14" s="303"/>
      <c r="AB14" s="303"/>
      <c r="AC14" s="303"/>
      <c r="AD14" s="303"/>
    </row>
    <row r="15" ht="24" customHeight="1" spans="1:30">
      <c r="B15" s="289" t="s">
        <v>596</v>
      </c>
      <c r="C15" s="289"/>
      <c r="D15" s="289"/>
      <c r="E15" s="289"/>
      <c r="F15" s="289"/>
      <c r="G15" s="289"/>
      <c r="H15" s="305" t="s">
        <v>597</v>
      </c>
      <c r="I15" s="307"/>
      <c r="J15" s="307"/>
      <c r="K15" s="307"/>
      <c r="L15" s="293" t="s">
        <v>595</v>
      </c>
      <c r="M15" s="293"/>
      <c r="N15" s="293"/>
      <c r="O15" s="294"/>
      <c r="P15" s="289" t="s">
        <v>598</v>
      </c>
      <c r="Q15" s="289"/>
      <c r="R15" s="289"/>
      <c r="S15" s="289"/>
      <c r="T15" s="289"/>
      <c r="U15" s="289"/>
      <c r="V15" s="305" t="s">
        <v>578</v>
      </c>
      <c r="W15" s="307"/>
      <c r="X15" s="307"/>
      <c r="Y15" s="307"/>
      <c r="Z15" s="307"/>
      <c r="AA15" s="293" t="s">
        <v>579</v>
      </c>
      <c r="AB15" s="293"/>
      <c r="AC15" s="293"/>
      <c r="AD15" s="294"/>
    </row>
    <row r="16" ht="24" customHeight="1" spans="1:30">
      <c r="B16" s="289" t="s">
        <v>599</v>
      </c>
      <c r="C16" s="289"/>
      <c r="D16" s="289"/>
      <c r="E16" s="289"/>
      <c r="F16" s="289"/>
      <c r="G16" s="289"/>
      <c r="H16" s="303" t="s">
        <v>91</v>
      </c>
      <c r="I16" s="303"/>
      <c r="J16" s="303"/>
      <c r="K16" s="303"/>
      <c r="L16" s="303"/>
      <c r="M16" s="303"/>
      <c r="N16" s="303"/>
      <c r="O16" s="303"/>
      <c r="P16" s="289" t="s">
        <v>600</v>
      </c>
      <c r="Q16" s="289"/>
      <c r="R16" s="289"/>
      <c r="S16" s="289"/>
      <c r="T16" s="289"/>
      <c r="U16" s="289"/>
      <c r="V16" s="303" t="s">
        <v>91</v>
      </c>
      <c r="W16" s="303"/>
      <c r="X16" s="303"/>
      <c r="Y16" s="303"/>
      <c r="Z16" s="303"/>
      <c r="AA16" s="303"/>
      <c r="AB16" s="303"/>
      <c r="AC16" s="303"/>
      <c r="AD16" s="303"/>
    </row>
    <row r="17" ht="24" customHeight="1" spans="2:30">
      <c r="B17" s="289"/>
      <c r="C17" s="289"/>
      <c r="D17" s="289"/>
      <c r="E17" s="289"/>
      <c r="F17" s="289"/>
      <c r="G17" s="289"/>
      <c r="H17" s="292" t="s">
        <v>601</v>
      </c>
      <c r="I17" s="293"/>
      <c r="J17" s="293"/>
      <c r="K17" s="293"/>
      <c r="L17" s="293"/>
      <c r="M17" s="293"/>
      <c r="N17" s="293" t="s">
        <v>602</v>
      </c>
      <c r="O17" s="293"/>
      <c r="P17" s="293"/>
      <c r="Q17" s="293"/>
      <c r="R17" s="293" t="s">
        <v>603</v>
      </c>
      <c r="S17" s="293"/>
      <c r="T17" s="293"/>
      <c r="U17" s="293"/>
      <c r="V17" s="293"/>
      <c r="W17" s="293"/>
      <c r="X17" s="293" t="s">
        <v>604</v>
      </c>
      <c r="Y17" s="293"/>
      <c r="Z17" s="293"/>
      <c r="AA17" s="293"/>
      <c r="AB17" s="293"/>
      <c r="AC17" s="293"/>
      <c r="AD17" s="294"/>
    </row>
    <row r="18" ht="24" customHeight="1" spans="2:30">
      <c r="B18" s="318" t="s">
        <v>605</v>
      </c>
      <c r="C18" s="318"/>
      <c r="D18" s="318"/>
      <c r="E18" s="318"/>
      <c r="F18" s="318"/>
      <c r="G18" s="318"/>
      <c r="H18" s="318"/>
      <c r="I18" s="318"/>
      <c r="J18" s="318"/>
      <c r="K18" s="318"/>
      <c r="L18" s="318"/>
      <c r="M18" s="318"/>
      <c r="N18" s="318"/>
      <c r="O18" s="318"/>
      <c r="P18" s="310" t="s">
        <v>606</v>
      </c>
      <c r="Q18" s="319" t="s">
        <v>607</v>
      </c>
      <c r="R18" s="319"/>
      <c r="S18" s="319"/>
      <c r="T18" s="319"/>
      <c r="U18" s="320"/>
      <c r="V18" s="320"/>
      <c r="W18" s="320"/>
      <c r="X18" s="320"/>
      <c r="Y18" s="320"/>
      <c r="Z18" s="320"/>
      <c r="AA18" s="320"/>
      <c r="AB18" s="311" t="s">
        <v>608</v>
      </c>
      <c r="AC18" s="311"/>
      <c r="AD18" s="312"/>
    </row>
    <row r="19" ht="24" customHeight="1" spans="2:30">
      <c r="B19" s="321" t="s">
        <v>609</v>
      </c>
      <c r="C19" s="321"/>
      <c r="D19" s="321"/>
      <c r="E19" s="321"/>
      <c r="F19" s="321"/>
      <c r="G19" s="321"/>
      <c r="H19" s="321"/>
      <c r="I19" s="321"/>
      <c r="J19" s="321"/>
      <c r="K19" s="321"/>
      <c r="L19" s="321"/>
      <c r="M19" s="321"/>
      <c r="N19" s="321"/>
      <c r="O19" s="321"/>
      <c r="P19" s="322" t="s">
        <v>606</v>
      </c>
      <c r="Q19" s="323" t="s">
        <v>607</v>
      </c>
      <c r="R19" s="323"/>
      <c r="S19" s="323"/>
      <c r="T19" s="323"/>
      <c r="U19" s="327"/>
      <c r="V19" s="327"/>
      <c r="W19" s="327"/>
      <c r="X19" s="327"/>
      <c r="Y19" s="327"/>
      <c r="Z19" s="327"/>
      <c r="AA19" s="327"/>
      <c r="AB19" s="325" t="s">
        <v>608</v>
      </c>
      <c r="AC19" s="325"/>
      <c r="AD19" s="326"/>
    </row>
    <row r="20" ht="24" customHeight="1" spans="2:30">
      <c r="B20" s="321" t="s">
        <v>610</v>
      </c>
      <c r="C20" s="321"/>
      <c r="D20" s="321"/>
      <c r="E20" s="321"/>
      <c r="F20" s="321"/>
      <c r="G20" s="321"/>
      <c r="H20" s="321"/>
      <c r="I20" s="321"/>
      <c r="J20" s="321"/>
      <c r="K20" s="321"/>
      <c r="L20" s="321"/>
      <c r="M20" s="321"/>
      <c r="N20" s="321"/>
      <c r="O20" s="321"/>
      <c r="P20" s="322" t="s">
        <v>606</v>
      </c>
      <c r="Q20" s="323" t="s">
        <v>607</v>
      </c>
      <c r="R20" s="323"/>
      <c r="S20" s="323"/>
      <c r="T20" s="323"/>
      <c r="U20" s="327"/>
      <c r="V20" s="327"/>
      <c r="W20" s="327"/>
      <c r="X20" s="327"/>
      <c r="Y20" s="327"/>
      <c r="Z20" s="327"/>
      <c r="AA20" s="327"/>
      <c r="AB20" s="325" t="s">
        <v>608</v>
      </c>
      <c r="AC20" s="325"/>
      <c r="AD20" s="326"/>
    </row>
    <row r="21" ht="24" customHeight="1" spans="2:30">
      <c r="B21" s="321" t="s">
        <v>611</v>
      </c>
      <c r="C21" s="321"/>
      <c r="D21" s="321"/>
      <c r="E21" s="321"/>
      <c r="F21" s="321"/>
      <c r="G21" s="321"/>
      <c r="H21" s="321"/>
      <c r="I21" s="321"/>
      <c r="J21" s="321"/>
      <c r="K21" s="321"/>
      <c r="L21" s="321"/>
      <c r="M21" s="321"/>
      <c r="N21" s="321"/>
      <c r="O21" s="321"/>
      <c r="P21" s="322" t="s">
        <v>606</v>
      </c>
      <c r="Q21" s="323" t="s">
        <v>607</v>
      </c>
      <c r="R21" s="323"/>
      <c r="S21" s="323"/>
      <c r="T21" s="323"/>
      <c r="U21" s="327"/>
      <c r="V21" s="327"/>
      <c r="W21" s="327"/>
      <c r="X21" s="327"/>
      <c r="Y21" s="327"/>
      <c r="Z21" s="327"/>
      <c r="AA21" s="327"/>
      <c r="AB21" s="325" t="s">
        <v>608</v>
      </c>
      <c r="AC21" s="325"/>
      <c r="AD21" s="326"/>
    </row>
    <row r="22" ht="24" customHeight="1" spans="2:30">
      <c r="B22" s="328" t="s">
        <v>612</v>
      </c>
      <c r="C22" s="328"/>
      <c r="D22" s="328"/>
      <c r="E22" s="328"/>
      <c r="F22" s="328"/>
      <c r="G22" s="328"/>
      <c r="H22" s="328"/>
      <c r="I22" s="328"/>
      <c r="J22" s="328"/>
      <c r="K22" s="328"/>
      <c r="L22" s="328"/>
      <c r="M22" s="328"/>
      <c r="N22" s="328"/>
      <c r="O22" s="328"/>
      <c r="P22" s="313" t="s">
        <v>606</v>
      </c>
      <c r="Q22" s="329" t="s">
        <v>607</v>
      </c>
      <c r="R22" s="329"/>
      <c r="S22" s="329"/>
      <c r="T22" s="329"/>
      <c r="U22" s="330"/>
      <c r="V22" s="330"/>
      <c r="W22" s="330"/>
      <c r="X22" s="330"/>
      <c r="Y22" s="330"/>
      <c r="Z22" s="330"/>
      <c r="AA22" s="330"/>
      <c r="AB22" s="314" t="s">
        <v>608</v>
      </c>
      <c r="AC22" s="314"/>
      <c r="AD22" s="316"/>
    </row>
    <row r="23" ht="24" customHeight="1" spans="2:30">
      <c r="B23" s="306" t="s">
        <v>613</v>
      </c>
      <c r="C23" s="306"/>
      <c r="D23" s="306"/>
      <c r="E23" s="306"/>
      <c r="F23" s="306"/>
      <c r="G23" s="306"/>
      <c r="H23" s="305" t="s">
        <v>614</v>
      </c>
      <c r="I23" s="307"/>
      <c r="J23" s="307"/>
      <c r="K23" s="307"/>
      <c r="L23" s="307" t="s">
        <v>615</v>
      </c>
      <c r="M23" s="307"/>
      <c r="N23" s="307"/>
      <c r="O23" s="307"/>
      <c r="P23" s="307" t="s">
        <v>616</v>
      </c>
      <c r="Q23" s="307"/>
      <c r="R23" s="307"/>
      <c r="S23" s="307"/>
      <c r="T23" s="307"/>
      <c r="U23" s="307"/>
      <c r="V23" s="307"/>
      <c r="W23" s="307"/>
      <c r="X23" s="307"/>
      <c r="Y23" s="307"/>
      <c r="Z23" s="307" t="s">
        <v>617</v>
      </c>
      <c r="AA23" s="307"/>
      <c r="AB23" s="307"/>
      <c r="AC23" s="307"/>
      <c r="AD23" s="331"/>
    </row>
    <row r="24" ht="24" customHeight="1" spans="2:30">
      <c r="B24" s="306" t="s">
        <v>618</v>
      </c>
      <c r="C24" s="306"/>
      <c r="D24" s="306"/>
      <c r="E24" s="306"/>
      <c r="F24" s="306"/>
      <c r="G24" s="306"/>
      <c r="H24" s="305" t="s">
        <v>614</v>
      </c>
      <c r="I24" s="307"/>
      <c r="J24" s="307"/>
      <c r="K24" s="307"/>
      <c r="L24" s="307" t="s">
        <v>615</v>
      </c>
      <c r="M24" s="307"/>
      <c r="N24" s="307"/>
      <c r="O24" s="307"/>
      <c r="P24" s="331"/>
      <c r="Q24" s="289"/>
      <c r="R24" s="289"/>
      <c r="S24" s="289"/>
      <c r="T24" s="289"/>
      <c r="U24" s="289"/>
      <c r="V24" s="289"/>
      <c r="W24" s="289"/>
      <c r="X24" s="289"/>
      <c r="Y24" s="289"/>
      <c r="Z24" s="289"/>
      <c r="AA24" s="289"/>
      <c r="AB24" s="289"/>
      <c r="AC24" s="289"/>
      <c r="AD24" s="289"/>
    </row>
    <row r="25" ht="24" customHeight="1" spans="2:30">
      <c r="B25" s="306" t="s">
        <v>619</v>
      </c>
      <c r="C25" s="306"/>
      <c r="D25" s="306"/>
      <c r="E25" s="306"/>
      <c r="F25" s="306"/>
      <c r="G25" s="306"/>
      <c r="H25" s="305" t="s">
        <v>614</v>
      </c>
      <c r="I25" s="307"/>
      <c r="J25" s="307"/>
      <c r="K25" s="307"/>
      <c r="L25" s="307" t="s">
        <v>615</v>
      </c>
      <c r="M25" s="307"/>
      <c r="N25" s="307"/>
      <c r="O25" s="307"/>
      <c r="P25" s="307" t="s">
        <v>616</v>
      </c>
      <c r="Q25" s="307"/>
      <c r="R25" s="307"/>
      <c r="S25" s="307"/>
      <c r="T25" s="307"/>
      <c r="U25" s="354"/>
      <c r="V25" s="354"/>
      <c r="W25" s="354"/>
      <c r="X25" s="354"/>
      <c r="Y25" s="354"/>
      <c r="Z25" s="333"/>
      <c r="AA25" s="333"/>
      <c r="AB25" s="333"/>
      <c r="AC25" s="333"/>
      <c r="AD25" s="334"/>
    </row>
    <row r="26" ht="24" customHeight="1" spans="2:30">
      <c r="B26" s="310" t="s">
        <v>620</v>
      </c>
      <c r="C26" s="311"/>
      <c r="D26" s="311"/>
      <c r="E26" s="311"/>
      <c r="F26" s="311"/>
      <c r="G26" s="311"/>
      <c r="H26" s="319"/>
      <c r="I26" s="319"/>
      <c r="J26" s="319"/>
      <c r="K26" s="319"/>
      <c r="L26" s="319"/>
      <c r="M26" s="319"/>
      <c r="N26" s="319"/>
      <c r="O26" s="319"/>
      <c r="P26" s="319"/>
      <c r="Q26" s="319"/>
      <c r="R26" s="319"/>
      <c r="S26" s="319"/>
      <c r="T26" s="319"/>
      <c r="U26" s="319"/>
      <c r="V26" s="319"/>
      <c r="W26" s="319"/>
      <c r="X26" s="319"/>
      <c r="Y26" s="319"/>
      <c r="Z26" s="319"/>
      <c r="AA26" s="319"/>
      <c r="AB26" s="319"/>
      <c r="AC26" s="319"/>
      <c r="AD26" s="335"/>
    </row>
    <row r="27" ht="24" customHeight="1" spans="2:30">
      <c r="B27" s="336"/>
      <c r="C27" s="337"/>
      <c r="D27" s="337"/>
      <c r="E27" s="337"/>
      <c r="F27" s="337"/>
      <c r="G27" s="337"/>
      <c r="H27" s="337"/>
      <c r="I27" s="337"/>
      <c r="J27" s="337"/>
      <c r="K27" s="337"/>
      <c r="L27" s="337"/>
      <c r="M27" s="337"/>
      <c r="N27" s="337"/>
      <c r="O27" s="337"/>
      <c r="P27" s="337"/>
      <c r="Q27" s="337"/>
      <c r="R27" s="337"/>
      <c r="S27" s="337"/>
      <c r="T27" s="337"/>
      <c r="U27" s="337"/>
      <c r="V27" s="337"/>
      <c r="W27" s="337"/>
      <c r="X27" s="337"/>
      <c r="Y27" s="337"/>
      <c r="Z27" s="337"/>
      <c r="AA27" s="337"/>
      <c r="AB27" s="337"/>
      <c r="AC27" s="337"/>
      <c r="AD27" s="338"/>
    </row>
    <row r="28" ht="24" customHeight="1" spans="2:30">
      <c r="B28" s="339"/>
      <c r="C28" s="323"/>
      <c r="D28" s="323"/>
      <c r="E28" s="323"/>
      <c r="F28" s="323"/>
      <c r="G28" s="323"/>
      <c r="H28" s="323"/>
      <c r="I28" s="323"/>
      <c r="J28" s="323"/>
      <c r="K28" s="323"/>
      <c r="L28" s="323"/>
      <c r="M28" s="323"/>
      <c r="N28" s="323"/>
      <c r="O28" s="323"/>
      <c r="P28" s="323"/>
      <c r="Q28" s="323"/>
      <c r="R28" s="323"/>
      <c r="S28" s="323"/>
      <c r="T28" s="323"/>
      <c r="U28" s="323"/>
      <c r="V28" s="323"/>
      <c r="W28" s="323"/>
      <c r="X28" s="323"/>
      <c r="Y28" s="323"/>
      <c r="Z28" s="323"/>
      <c r="AA28" s="323"/>
      <c r="AB28" s="323"/>
      <c r="AC28" s="323"/>
      <c r="AD28" s="340"/>
    </row>
    <row r="29" ht="24" customHeight="1" spans="2:30">
      <c r="B29" s="322" t="s">
        <v>621</v>
      </c>
      <c r="C29" s="325"/>
      <c r="D29" s="325"/>
      <c r="E29" s="325"/>
      <c r="F29" s="325"/>
      <c r="G29" s="325"/>
      <c r="H29" s="323"/>
      <c r="I29" s="323"/>
      <c r="J29" s="323"/>
      <c r="K29" s="323"/>
      <c r="L29" s="323"/>
      <c r="M29" s="323"/>
      <c r="N29" s="323"/>
      <c r="O29" s="323"/>
      <c r="P29" s="341" t="s">
        <v>622</v>
      </c>
      <c r="Q29" s="341"/>
      <c r="R29" s="342"/>
      <c r="S29" s="342"/>
      <c r="T29" s="342">
        <v>20</v>
      </c>
      <c r="U29" s="342"/>
      <c r="V29" s="342" t="s">
        <v>623</v>
      </c>
      <c r="W29" s="342"/>
      <c r="X29" s="342" t="s">
        <v>624</v>
      </c>
      <c r="Y29" s="342"/>
      <c r="Z29" s="342"/>
      <c r="AA29" s="343" t="s">
        <v>625</v>
      </c>
      <c r="AB29" s="342"/>
      <c r="AC29" s="341" t="s">
        <v>626</v>
      </c>
      <c r="AD29" s="344" t="s">
        <v>627</v>
      </c>
    </row>
    <row r="30" ht="24" customHeight="1" spans="2:30">
      <c r="B30" s="313" t="s">
        <v>628</v>
      </c>
      <c r="C30" s="314"/>
      <c r="D30" s="314"/>
      <c r="E30" s="314"/>
      <c r="F30" s="314"/>
      <c r="G30" s="314"/>
      <c r="H30" s="329"/>
      <c r="I30" s="329"/>
      <c r="J30" s="329"/>
      <c r="K30" s="329"/>
      <c r="L30" s="329"/>
      <c r="M30" s="329"/>
      <c r="N30" s="329"/>
      <c r="O30" s="329"/>
      <c r="P30" s="345" t="s">
        <v>629</v>
      </c>
      <c r="Q30" s="345"/>
      <c r="R30" s="346"/>
      <c r="S30" s="346"/>
      <c r="T30" s="346">
        <v>20</v>
      </c>
      <c r="U30" s="346"/>
      <c r="V30" s="346" t="s">
        <v>623</v>
      </c>
      <c r="W30" s="346"/>
      <c r="X30" s="346" t="s">
        <v>624</v>
      </c>
      <c r="Y30" s="346"/>
      <c r="Z30" s="346"/>
      <c r="AA30" s="347" t="s">
        <v>625</v>
      </c>
      <c r="AB30" s="346"/>
      <c r="AC30" s="345" t="s">
        <v>626</v>
      </c>
      <c r="AD30" s="348" t="s">
        <v>627</v>
      </c>
    </row>
  </sheetData>
  <mergeCells count="128">
    <mergeCell ref="B3:C3"/>
    <mergeCell ref="D3:S3"/>
    <mergeCell ref="T3:W3"/>
    <mergeCell ref="X3:AD3"/>
    <mergeCell ref="B4:D4"/>
    <mergeCell ref="E4:I4"/>
    <mergeCell ref="J4:O4"/>
    <mergeCell ref="P4:S4"/>
    <mergeCell ref="T4:U4"/>
    <mergeCell ref="V4:X4"/>
    <mergeCell ref="Y4:AB4"/>
    <mergeCell ref="AC4:AD4"/>
    <mergeCell ref="B5:D5"/>
    <mergeCell ref="E5:I5"/>
    <mergeCell ref="J5:O5"/>
    <mergeCell ref="P5:S5"/>
    <mergeCell ref="T5:U5"/>
    <mergeCell ref="V5:X5"/>
    <mergeCell ref="Y5:AB5"/>
    <mergeCell ref="AC5:AD5"/>
    <mergeCell ref="B6:D6"/>
    <mergeCell ref="E6:O6"/>
    <mergeCell ref="P6:U6"/>
    <mergeCell ref="V6:AD6"/>
    <mergeCell ref="B7:D7"/>
    <mergeCell ref="E7:I7"/>
    <mergeCell ref="J7:O7"/>
    <mergeCell ref="P7:S7"/>
    <mergeCell ref="T7:X7"/>
    <mergeCell ref="Y7:AD7"/>
    <mergeCell ref="D8:E8"/>
    <mergeCell ref="F8:G8"/>
    <mergeCell ref="I8:J8"/>
    <mergeCell ref="K8:L8"/>
    <mergeCell ref="M8:N8"/>
    <mergeCell ref="Q8:R8"/>
    <mergeCell ref="S8:T8"/>
    <mergeCell ref="W8:Y8"/>
    <mergeCell ref="Z8:AA8"/>
    <mergeCell ref="AB8:AC8"/>
    <mergeCell ref="B9:G9"/>
    <mergeCell ref="H9:K9"/>
    <mergeCell ref="L9:O9"/>
    <mergeCell ref="P9:U9"/>
    <mergeCell ref="V9:Z9"/>
    <mergeCell ref="AA9:AD9"/>
    <mergeCell ref="B10:D10"/>
    <mergeCell ref="E10:F10"/>
    <mergeCell ref="G10:I10"/>
    <mergeCell ref="J10:K10"/>
    <mergeCell ref="L10:O10"/>
    <mergeCell ref="P10:U10"/>
    <mergeCell ref="V10:AD10"/>
    <mergeCell ref="H11:K11"/>
    <mergeCell ref="L11:O11"/>
    <mergeCell ref="P11:U11"/>
    <mergeCell ref="V11:AD11"/>
    <mergeCell ref="H12:K12"/>
    <mergeCell ref="L12:O12"/>
    <mergeCell ref="P12:U12"/>
    <mergeCell ref="V12:AD12"/>
    <mergeCell ref="B13:O13"/>
    <mergeCell ref="P13:AD13"/>
    <mergeCell ref="B14:O14"/>
    <mergeCell ref="P14:AD14"/>
    <mergeCell ref="B15:G15"/>
    <mergeCell ref="H15:K15"/>
    <mergeCell ref="L15:O15"/>
    <mergeCell ref="P15:U15"/>
    <mergeCell ref="V15:Z15"/>
    <mergeCell ref="AA15:AD15"/>
    <mergeCell ref="B16:G16"/>
    <mergeCell ref="H16:O16"/>
    <mergeCell ref="P16:U16"/>
    <mergeCell ref="V16:AD16"/>
    <mergeCell ref="B17:G17"/>
    <mergeCell ref="H17:M17"/>
    <mergeCell ref="N17:Q17"/>
    <mergeCell ref="R17:W17"/>
    <mergeCell ref="X17:AD17"/>
    <mergeCell ref="B18:O18"/>
    <mergeCell ref="Q18:T18"/>
    <mergeCell ref="U18:AA18"/>
    <mergeCell ref="AB18:AD18"/>
    <mergeCell ref="B19:O19"/>
    <mergeCell ref="Q19:T19"/>
    <mergeCell ref="U19:AA19"/>
    <mergeCell ref="AB19:AD19"/>
    <mergeCell ref="B20:O20"/>
    <mergeCell ref="Q20:T20"/>
    <mergeCell ref="U20:AA20"/>
    <mergeCell ref="AB20:AD20"/>
    <mergeCell ref="B21:O21"/>
    <mergeCell ref="Q21:T21"/>
    <mergeCell ref="U21:AA21"/>
    <mergeCell ref="AB21:AD21"/>
    <mergeCell ref="B22:O22"/>
    <mergeCell ref="Q22:T22"/>
    <mergeCell ref="U22:AA22"/>
    <mergeCell ref="AB22:AD22"/>
    <mergeCell ref="B23:G23"/>
    <mergeCell ref="H23:K23"/>
    <mergeCell ref="L23:O23"/>
    <mergeCell ref="P23:T23"/>
    <mergeCell ref="U23:Y23"/>
    <mergeCell ref="Z23:AD23"/>
    <mergeCell ref="B24:G24"/>
    <mergeCell ref="H24:K24"/>
    <mergeCell ref="L24:O24"/>
    <mergeCell ref="P24:AD24"/>
    <mergeCell ref="B25:G25"/>
    <mergeCell ref="H25:K25"/>
    <mergeCell ref="L25:O25"/>
    <mergeCell ref="P25:T25"/>
    <mergeCell ref="U25:Y25"/>
    <mergeCell ref="Z25:AD25"/>
    <mergeCell ref="B26:G26"/>
    <mergeCell ref="H26:AD26"/>
    <mergeCell ref="B27:AD27"/>
    <mergeCell ref="B28:AD28"/>
    <mergeCell ref="B29:G29"/>
    <mergeCell ref="H29:O29"/>
    <mergeCell ref="P29:Q29"/>
    <mergeCell ref="B30:G30"/>
    <mergeCell ref="H30:O30"/>
    <mergeCell ref="P30:Q30"/>
    <mergeCell ref="B11:G12"/>
    <mergeCell ref="A1:AD2"/>
  </mergeCells>
  <pageMargins left="0.699305555555556" right="0.699305555555556" top="0.75" bottom="0.75" header="0.3" footer="0.3"/>
  <pageSetup paperSize="9" scale="84"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48129" name="Check Box 1" r:id="rId3">
              <controlPr defaultSize="0">
                <anchor moveWithCells="1">
                  <from>
                    <xdr:col>8</xdr:col>
                    <xdr:colOff>266700</xdr:colOff>
                    <xdr:row>7</xdr:row>
                    <xdr:rowOff>276225</xdr:rowOff>
                  </from>
                  <to>
                    <xdr:col>11</xdr:col>
                    <xdr:colOff>47625</xdr:colOff>
                    <xdr:row>9</xdr:row>
                    <xdr:rowOff>9525</xdr:rowOff>
                  </to>
                </anchor>
              </controlPr>
            </control>
          </mc:Choice>
        </mc:AlternateContent>
        <mc:AlternateContent xmlns:mc="http://schemas.openxmlformats.org/markup-compatibility/2006">
          <mc:Choice Requires="x14">
            <control shapeId="48130" name="Check Box 2" r:id="rId4">
              <controlPr defaultSize="0">
                <anchor moveWithCells="1">
                  <from>
                    <xdr:col>12</xdr:col>
                    <xdr:colOff>76200</xdr:colOff>
                    <xdr:row>7</xdr:row>
                    <xdr:rowOff>276225</xdr:rowOff>
                  </from>
                  <to>
                    <xdr:col>14</xdr:col>
                    <xdr:colOff>0</xdr:colOff>
                    <xdr:row>9</xdr:row>
                    <xdr:rowOff>9525</xdr:rowOff>
                  </to>
                </anchor>
              </controlPr>
            </control>
          </mc:Choice>
        </mc:AlternateContent>
        <mc:AlternateContent xmlns:mc="http://schemas.openxmlformats.org/markup-compatibility/2006">
          <mc:Choice Requires="x14">
            <control shapeId="48131" name="Check Box 3" r:id="rId5">
              <controlPr defaultSize="0">
                <anchor moveWithCells="1">
                  <from>
                    <xdr:col>23</xdr:col>
                    <xdr:colOff>95250</xdr:colOff>
                    <xdr:row>7</xdr:row>
                    <xdr:rowOff>285750</xdr:rowOff>
                  </from>
                  <to>
                    <xdr:col>25</xdr:col>
                    <xdr:colOff>76200</xdr:colOff>
                    <xdr:row>9</xdr:row>
                    <xdr:rowOff>19050</xdr:rowOff>
                  </to>
                </anchor>
              </controlPr>
            </control>
          </mc:Choice>
        </mc:AlternateContent>
        <mc:AlternateContent xmlns:mc="http://schemas.openxmlformats.org/markup-compatibility/2006">
          <mc:Choice Requires="x14">
            <control shapeId="48132" name="Check Box 4" r:id="rId6">
              <controlPr defaultSize="0">
                <anchor moveWithCells="1">
                  <from>
                    <xdr:col>28</xdr:col>
                    <xdr:colOff>9525</xdr:colOff>
                    <xdr:row>7</xdr:row>
                    <xdr:rowOff>285750</xdr:rowOff>
                  </from>
                  <to>
                    <xdr:col>29</xdr:col>
                    <xdr:colOff>19050</xdr:colOff>
                    <xdr:row>9</xdr:row>
                    <xdr:rowOff>19050</xdr:rowOff>
                  </to>
                </anchor>
              </controlPr>
            </control>
          </mc:Choice>
        </mc:AlternateContent>
        <mc:AlternateContent xmlns:mc="http://schemas.openxmlformats.org/markup-compatibility/2006">
          <mc:Choice Requires="x14">
            <control shapeId="48133" name="Check Box 5" r:id="rId7">
              <controlPr defaultSize="0">
                <anchor moveWithCells="1">
                  <from>
                    <xdr:col>9</xdr:col>
                    <xdr:colOff>0</xdr:colOff>
                    <xdr:row>9</xdr:row>
                    <xdr:rowOff>295275</xdr:rowOff>
                  </from>
                  <to>
                    <xdr:col>11</xdr:col>
                    <xdr:colOff>66675</xdr:colOff>
                    <xdr:row>11</xdr:row>
                    <xdr:rowOff>28575</xdr:rowOff>
                  </to>
                </anchor>
              </controlPr>
            </control>
          </mc:Choice>
        </mc:AlternateContent>
        <mc:AlternateContent xmlns:mc="http://schemas.openxmlformats.org/markup-compatibility/2006">
          <mc:Choice Requires="x14">
            <control shapeId="48134" name="Check Box 6" r:id="rId8">
              <controlPr defaultSize="0">
                <anchor moveWithCells="1">
                  <from>
                    <xdr:col>14</xdr:col>
                    <xdr:colOff>28575</xdr:colOff>
                    <xdr:row>9</xdr:row>
                    <xdr:rowOff>295275</xdr:rowOff>
                  </from>
                  <to>
                    <xdr:col>14</xdr:col>
                    <xdr:colOff>333375</xdr:colOff>
                    <xdr:row>11</xdr:row>
                    <xdr:rowOff>28575</xdr:rowOff>
                  </to>
                </anchor>
              </controlPr>
            </control>
          </mc:Choice>
        </mc:AlternateContent>
        <mc:AlternateContent xmlns:mc="http://schemas.openxmlformats.org/markup-compatibility/2006">
          <mc:Choice Requires="x14">
            <control shapeId="48135" name="Check Box 7" r:id="rId9">
              <controlPr defaultSize="0">
                <anchor moveWithCells="1">
                  <from>
                    <xdr:col>20</xdr:col>
                    <xdr:colOff>28575</xdr:colOff>
                    <xdr:row>9</xdr:row>
                    <xdr:rowOff>295275</xdr:rowOff>
                  </from>
                  <to>
                    <xdr:col>20</xdr:col>
                    <xdr:colOff>333375</xdr:colOff>
                    <xdr:row>11</xdr:row>
                    <xdr:rowOff>28575</xdr:rowOff>
                  </to>
                </anchor>
              </controlPr>
            </control>
          </mc:Choice>
        </mc:AlternateContent>
        <mc:AlternateContent xmlns:mc="http://schemas.openxmlformats.org/markup-compatibility/2006">
          <mc:Choice Requires="x14">
            <control shapeId="48136" name="Check Box 8" r:id="rId10">
              <controlPr defaultSize="0">
                <anchor moveWithCells="1">
                  <from>
                    <xdr:col>28</xdr:col>
                    <xdr:colOff>133350</xdr:colOff>
                    <xdr:row>9</xdr:row>
                    <xdr:rowOff>295275</xdr:rowOff>
                  </from>
                  <to>
                    <xdr:col>29</xdr:col>
                    <xdr:colOff>142875</xdr:colOff>
                    <xdr:row>11</xdr:row>
                    <xdr:rowOff>28575</xdr:rowOff>
                  </to>
                </anchor>
              </controlPr>
            </control>
          </mc:Choice>
        </mc:AlternateContent>
        <mc:AlternateContent xmlns:mc="http://schemas.openxmlformats.org/markup-compatibility/2006">
          <mc:Choice Requires="x14">
            <control shapeId="48137" name="Check Box 9" r:id="rId11">
              <controlPr defaultSize="0">
                <anchor moveWithCells="1">
                  <from>
                    <xdr:col>28</xdr:col>
                    <xdr:colOff>133350</xdr:colOff>
                    <xdr:row>10</xdr:row>
                    <xdr:rowOff>295275</xdr:rowOff>
                  </from>
                  <to>
                    <xdr:col>29</xdr:col>
                    <xdr:colOff>142875</xdr:colOff>
                    <xdr:row>12</xdr:row>
                    <xdr:rowOff>28575</xdr:rowOff>
                  </to>
                </anchor>
              </controlPr>
            </control>
          </mc:Choice>
        </mc:AlternateContent>
        <mc:AlternateContent xmlns:mc="http://schemas.openxmlformats.org/markup-compatibility/2006">
          <mc:Choice Requires="x14">
            <control shapeId="48138" name="Check Box 10" r:id="rId12">
              <controlPr defaultSize="0">
                <anchor moveWithCells="1">
                  <from>
                    <xdr:col>20</xdr:col>
                    <xdr:colOff>38100</xdr:colOff>
                    <xdr:row>10</xdr:row>
                    <xdr:rowOff>295275</xdr:rowOff>
                  </from>
                  <to>
                    <xdr:col>20</xdr:col>
                    <xdr:colOff>342900</xdr:colOff>
                    <xdr:row>12</xdr:row>
                    <xdr:rowOff>28575</xdr:rowOff>
                  </to>
                </anchor>
              </controlPr>
            </control>
          </mc:Choice>
        </mc:AlternateContent>
        <mc:AlternateContent xmlns:mc="http://schemas.openxmlformats.org/markup-compatibility/2006">
          <mc:Choice Requires="x14">
            <control shapeId="48139" name="Check Box 11" r:id="rId13">
              <controlPr defaultSize="0">
                <anchor moveWithCells="1">
                  <from>
                    <xdr:col>14</xdr:col>
                    <xdr:colOff>28575</xdr:colOff>
                    <xdr:row>10</xdr:row>
                    <xdr:rowOff>295275</xdr:rowOff>
                  </from>
                  <to>
                    <xdr:col>14</xdr:col>
                    <xdr:colOff>333375</xdr:colOff>
                    <xdr:row>12</xdr:row>
                    <xdr:rowOff>28575</xdr:rowOff>
                  </to>
                </anchor>
              </controlPr>
            </control>
          </mc:Choice>
        </mc:AlternateContent>
        <mc:AlternateContent xmlns:mc="http://schemas.openxmlformats.org/markup-compatibility/2006">
          <mc:Choice Requires="x14">
            <control shapeId="48140" name="Check Box 12" r:id="rId14">
              <controlPr defaultSize="0">
                <anchor moveWithCells="1">
                  <from>
                    <xdr:col>9</xdr:col>
                    <xdr:colOff>0</xdr:colOff>
                    <xdr:row>10</xdr:row>
                    <xdr:rowOff>295275</xdr:rowOff>
                  </from>
                  <to>
                    <xdr:col>11</xdr:col>
                    <xdr:colOff>66675</xdr:colOff>
                    <xdr:row>12</xdr:row>
                    <xdr:rowOff>28575</xdr:rowOff>
                  </to>
                </anchor>
              </controlPr>
            </control>
          </mc:Choice>
        </mc:AlternateContent>
        <mc:AlternateContent xmlns:mc="http://schemas.openxmlformats.org/markup-compatibility/2006">
          <mc:Choice Requires="x14">
            <control shapeId="48141" name="Check Box 13" r:id="rId15">
              <controlPr defaultSize="0">
                <anchor moveWithCells="1">
                  <from>
                    <xdr:col>11</xdr:col>
                    <xdr:colOff>19050</xdr:colOff>
                    <xdr:row>15</xdr:row>
                    <xdr:rowOff>295275</xdr:rowOff>
                  </from>
                  <to>
                    <xdr:col>12</xdr:col>
                    <xdr:colOff>85725</xdr:colOff>
                    <xdr:row>17</xdr:row>
                    <xdr:rowOff>28575</xdr:rowOff>
                  </to>
                </anchor>
              </controlPr>
            </control>
          </mc:Choice>
        </mc:AlternateContent>
        <mc:AlternateContent xmlns:mc="http://schemas.openxmlformats.org/markup-compatibility/2006">
          <mc:Choice Requires="x14">
            <control shapeId="48142" name="Check Box 14" r:id="rId16">
              <controlPr defaultSize="0">
                <anchor moveWithCells="1">
                  <from>
                    <xdr:col>28</xdr:col>
                    <xdr:colOff>238125</xdr:colOff>
                    <xdr:row>16</xdr:row>
                    <xdr:rowOff>285750</xdr:rowOff>
                  </from>
                  <to>
                    <xdr:col>29</xdr:col>
                    <xdr:colOff>247650</xdr:colOff>
                    <xdr:row>18</xdr:row>
                    <xdr:rowOff>19050</xdr:rowOff>
                  </to>
                </anchor>
              </controlPr>
            </control>
          </mc:Choice>
        </mc:AlternateContent>
        <mc:AlternateContent xmlns:mc="http://schemas.openxmlformats.org/markup-compatibility/2006">
          <mc:Choice Requires="x14">
            <control shapeId="48143" name="Check Box 15" r:id="rId17">
              <controlPr defaultSize="0">
                <anchor moveWithCells="1">
                  <from>
                    <xdr:col>28</xdr:col>
                    <xdr:colOff>238125</xdr:colOff>
                    <xdr:row>17</xdr:row>
                    <xdr:rowOff>285750</xdr:rowOff>
                  </from>
                  <to>
                    <xdr:col>29</xdr:col>
                    <xdr:colOff>247650</xdr:colOff>
                    <xdr:row>19</xdr:row>
                    <xdr:rowOff>19050</xdr:rowOff>
                  </to>
                </anchor>
              </controlPr>
            </control>
          </mc:Choice>
        </mc:AlternateContent>
        <mc:AlternateContent xmlns:mc="http://schemas.openxmlformats.org/markup-compatibility/2006">
          <mc:Choice Requires="x14">
            <control shapeId="48144" name="Check Box 16" r:id="rId18">
              <controlPr defaultSize="0">
                <anchor moveWithCells="1">
                  <from>
                    <xdr:col>28</xdr:col>
                    <xdr:colOff>238125</xdr:colOff>
                    <xdr:row>18</xdr:row>
                    <xdr:rowOff>285750</xdr:rowOff>
                  </from>
                  <to>
                    <xdr:col>29</xdr:col>
                    <xdr:colOff>247650</xdr:colOff>
                    <xdr:row>20</xdr:row>
                    <xdr:rowOff>19050</xdr:rowOff>
                  </to>
                </anchor>
              </controlPr>
            </control>
          </mc:Choice>
        </mc:AlternateContent>
        <mc:AlternateContent xmlns:mc="http://schemas.openxmlformats.org/markup-compatibility/2006">
          <mc:Choice Requires="x14">
            <control shapeId="48145" name="Check Box 17" r:id="rId19">
              <controlPr defaultSize="0">
                <anchor moveWithCells="1">
                  <from>
                    <xdr:col>28</xdr:col>
                    <xdr:colOff>238125</xdr:colOff>
                    <xdr:row>19</xdr:row>
                    <xdr:rowOff>285750</xdr:rowOff>
                  </from>
                  <to>
                    <xdr:col>29</xdr:col>
                    <xdr:colOff>247650</xdr:colOff>
                    <xdr:row>21</xdr:row>
                    <xdr:rowOff>19050</xdr:rowOff>
                  </to>
                </anchor>
              </controlPr>
            </control>
          </mc:Choice>
        </mc:AlternateContent>
        <mc:AlternateContent xmlns:mc="http://schemas.openxmlformats.org/markup-compatibility/2006">
          <mc:Choice Requires="x14">
            <control shapeId="48146" name="Check Box 18" r:id="rId20">
              <controlPr defaultSize="0">
                <anchor moveWithCells="1">
                  <from>
                    <xdr:col>28</xdr:col>
                    <xdr:colOff>238125</xdr:colOff>
                    <xdr:row>20</xdr:row>
                    <xdr:rowOff>285750</xdr:rowOff>
                  </from>
                  <to>
                    <xdr:col>29</xdr:col>
                    <xdr:colOff>247650</xdr:colOff>
                    <xdr:row>22</xdr:row>
                    <xdr:rowOff>19050</xdr:rowOff>
                  </to>
                </anchor>
              </controlPr>
            </control>
          </mc:Choice>
        </mc:AlternateContent>
        <mc:AlternateContent xmlns:mc="http://schemas.openxmlformats.org/markup-compatibility/2006">
          <mc:Choice Requires="x14">
            <control shapeId="48147" name="Check Box 19" r:id="rId21">
              <controlPr defaultSize="0">
                <anchor moveWithCells="1">
                  <from>
                    <xdr:col>15</xdr:col>
                    <xdr:colOff>381000</xdr:colOff>
                    <xdr:row>16</xdr:row>
                    <xdr:rowOff>285750</xdr:rowOff>
                  </from>
                  <to>
                    <xdr:col>17</xdr:col>
                    <xdr:colOff>9525</xdr:colOff>
                    <xdr:row>18</xdr:row>
                    <xdr:rowOff>19050</xdr:rowOff>
                  </to>
                </anchor>
              </controlPr>
            </control>
          </mc:Choice>
        </mc:AlternateContent>
        <mc:AlternateContent xmlns:mc="http://schemas.openxmlformats.org/markup-compatibility/2006">
          <mc:Choice Requires="x14">
            <control shapeId="48152" name="Check Box 24" r:id="rId22">
              <controlPr defaultSize="0">
                <anchor moveWithCells="1">
                  <from>
                    <xdr:col>15</xdr:col>
                    <xdr:colOff>352425</xdr:colOff>
                    <xdr:row>15</xdr:row>
                    <xdr:rowOff>295275</xdr:rowOff>
                  </from>
                  <to>
                    <xdr:col>16</xdr:col>
                    <xdr:colOff>123825</xdr:colOff>
                    <xdr:row>17</xdr:row>
                    <xdr:rowOff>28575</xdr:rowOff>
                  </to>
                </anchor>
              </controlPr>
            </control>
          </mc:Choice>
        </mc:AlternateContent>
        <mc:AlternateContent xmlns:mc="http://schemas.openxmlformats.org/markup-compatibility/2006">
          <mc:Choice Requires="x14">
            <control shapeId="48153" name="Check Box 25" r:id="rId23">
              <controlPr defaultSize="0">
                <anchor moveWithCells="1">
                  <from>
                    <xdr:col>21</xdr:col>
                    <xdr:colOff>9525</xdr:colOff>
                    <xdr:row>15</xdr:row>
                    <xdr:rowOff>295275</xdr:rowOff>
                  </from>
                  <to>
                    <xdr:col>21</xdr:col>
                    <xdr:colOff>314325</xdr:colOff>
                    <xdr:row>17</xdr:row>
                    <xdr:rowOff>28575</xdr:rowOff>
                  </to>
                </anchor>
              </controlPr>
            </control>
          </mc:Choice>
        </mc:AlternateContent>
        <mc:AlternateContent xmlns:mc="http://schemas.openxmlformats.org/markup-compatibility/2006">
          <mc:Choice Requires="x14">
            <control shapeId="48154" name="Check Box 26" r:id="rId24">
              <controlPr defaultSize="0">
                <anchor moveWithCells="1">
                  <from>
                    <xdr:col>28</xdr:col>
                    <xdr:colOff>133350</xdr:colOff>
                    <xdr:row>15</xdr:row>
                    <xdr:rowOff>295275</xdr:rowOff>
                  </from>
                  <to>
                    <xdr:col>29</xdr:col>
                    <xdr:colOff>142875</xdr:colOff>
                    <xdr:row>17</xdr:row>
                    <xdr:rowOff>28575</xdr:rowOff>
                  </to>
                </anchor>
              </controlPr>
            </control>
          </mc:Choice>
        </mc:AlternateContent>
        <mc:AlternateContent xmlns:mc="http://schemas.openxmlformats.org/markup-compatibility/2006">
          <mc:Choice Requires="x14">
            <control shapeId="48155" name="Check Box 27" r:id="rId25">
              <controlPr defaultSize="0">
                <anchor moveWithCells="1">
                  <from>
                    <xdr:col>9</xdr:col>
                    <xdr:colOff>0</xdr:colOff>
                    <xdr:row>13</xdr:row>
                    <xdr:rowOff>285750</xdr:rowOff>
                  </from>
                  <to>
                    <xdr:col>11</xdr:col>
                    <xdr:colOff>66675</xdr:colOff>
                    <xdr:row>15</xdr:row>
                    <xdr:rowOff>19050</xdr:rowOff>
                  </to>
                </anchor>
              </controlPr>
            </control>
          </mc:Choice>
        </mc:AlternateContent>
        <mc:AlternateContent xmlns:mc="http://schemas.openxmlformats.org/markup-compatibility/2006">
          <mc:Choice Requires="x14">
            <control shapeId="48156" name="Check Box 28" r:id="rId26">
              <controlPr defaultSize="0">
                <anchor moveWithCells="1">
                  <from>
                    <xdr:col>12</xdr:col>
                    <xdr:colOff>47625</xdr:colOff>
                    <xdr:row>13</xdr:row>
                    <xdr:rowOff>285750</xdr:rowOff>
                  </from>
                  <to>
                    <xdr:col>13</xdr:col>
                    <xdr:colOff>38100</xdr:colOff>
                    <xdr:row>15</xdr:row>
                    <xdr:rowOff>19050</xdr:rowOff>
                  </to>
                </anchor>
              </controlPr>
            </control>
          </mc:Choice>
        </mc:AlternateContent>
        <mc:AlternateContent xmlns:mc="http://schemas.openxmlformats.org/markup-compatibility/2006">
          <mc:Choice Requires="x14">
            <control shapeId="48157" name="Check Box 29" r:id="rId27">
              <controlPr defaultSize="0">
                <anchor moveWithCells="1">
                  <from>
                    <xdr:col>15</xdr:col>
                    <xdr:colOff>381000</xdr:colOff>
                    <xdr:row>17</xdr:row>
                    <xdr:rowOff>285750</xdr:rowOff>
                  </from>
                  <to>
                    <xdr:col>17</xdr:col>
                    <xdr:colOff>9525</xdr:colOff>
                    <xdr:row>19</xdr:row>
                    <xdr:rowOff>19050</xdr:rowOff>
                  </to>
                </anchor>
              </controlPr>
            </control>
          </mc:Choice>
        </mc:AlternateContent>
        <mc:AlternateContent xmlns:mc="http://schemas.openxmlformats.org/markup-compatibility/2006">
          <mc:Choice Requires="x14">
            <control shapeId="48158" name="Check Box 30" r:id="rId28">
              <controlPr defaultSize="0">
                <anchor moveWithCells="1">
                  <from>
                    <xdr:col>15</xdr:col>
                    <xdr:colOff>381000</xdr:colOff>
                    <xdr:row>18</xdr:row>
                    <xdr:rowOff>285750</xdr:rowOff>
                  </from>
                  <to>
                    <xdr:col>17</xdr:col>
                    <xdr:colOff>9525</xdr:colOff>
                    <xdr:row>20</xdr:row>
                    <xdr:rowOff>19050</xdr:rowOff>
                  </to>
                </anchor>
              </controlPr>
            </control>
          </mc:Choice>
        </mc:AlternateContent>
        <mc:AlternateContent xmlns:mc="http://schemas.openxmlformats.org/markup-compatibility/2006">
          <mc:Choice Requires="x14">
            <control shapeId="48159" name="Check Box 31" r:id="rId29">
              <controlPr defaultSize="0">
                <anchor moveWithCells="1">
                  <from>
                    <xdr:col>15</xdr:col>
                    <xdr:colOff>381000</xdr:colOff>
                    <xdr:row>19</xdr:row>
                    <xdr:rowOff>285750</xdr:rowOff>
                  </from>
                  <to>
                    <xdr:col>17</xdr:col>
                    <xdr:colOff>9525</xdr:colOff>
                    <xdr:row>21</xdr:row>
                    <xdr:rowOff>19050</xdr:rowOff>
                  </to>
                </anchor>
              </controlPr>
            </control>
          </mc:Choice>
        </mc:AlternateContent>
        <mc:AlternateContent xmlns:mc="http://schemas.openxmlformats.org/markup-compatibility/2006">
          <mc:Choice Requires="x14">
            <control shapeId="48160" name="Check Box 32" r:id="rId30">
              <controlPr defaultSize="0">
                <anchor moveWithCells="1">
                  <from>
                    <xdr:col>15</xdr:col>
                    <xdr:colOff>381000</xdr:colOff>
                    <xdr:row>20</xdr:row>
                    <xdr:rowOff>285750</xdr:rowOff>
                  </from>
                  <to>
                    <xdr:col>17</xdr:col>
                    <xdr:colOff>9525</xdr:colOff>
                    <xdr:row>22</xdr:row>
                    <xdr:rowOff>19050</xdr:rowOff>
                  </to>
                </anchor>
              </controlPr>
            </control>
          </mc:Choice>
        </mc:AlternateContent>
        <mc:AlternateContent xmlns:mc="http://schemas.openxmlformats.org/markup-compatibility/2006">
          <mc:Choice Requires="x14">
            <control shapeId="48161" name="Check Box 33" r:id="rId31">
              <controlPr defaultSize="0">
                <anchor moveWithCells="1">
                  <from>
                    <xdr:col>23</xdr:col>
                    <xdr:colOff>95250</xdr:colOff>
                    <xdr:row>13</xdr:row>
                    <xdr:rowOff>285750</xdr:rowOff>
                  </from>
                  <to>
                    <xdr:col>25</xdr:col>
                    <xdr:colOff>76200</xdr:colOff>
                    <xdr:row>15</xdr:row>
                    <xdr:rowOff>19050</xdr:rowOff>
                  </to>
                </anchor>
              </controlPr>
            </control>
          </mc:Choice>
        </mc:AlternateContent>
        <mc:AlternateContent xmlns:mc="http://schemas.openxmlformats.org/markup-compatibility/2006">
          <mc:Choice Requires="x14">
            <control shapeId="48162" name="Check Box 34" r:id="rId32">
              <controlPr defaultSize="0">
                <anchor moveWithCells="1">
                  <from>
                    <xdr:col>28</xdr:col>
                    <xdr:colOff>0</xdr:colOff>
                    <xdr:row>13</xdr:row>
                    <xdr:rowOff>285750</xdr:rowOff>
                  </from>
                  <to>
                    <xdr:col>29</xdr:col>
                    <xdr:colOff>9525</xdr:colOff>
                    <xdr:row>15</xdr:row>
                    <xdr:rowOff>19050</xdr:rowOff>
                  </to>
                </anchor>
              </controlPr>
            </control>
          </mc:Choice>
        </mc:AlternateContent>
        <mc:AlternateContent xmlns:mc="http://schemas.openxmlformats.org/markup-compatibility/2006">
          <mc:Choice Requires="x14">
            <control shapeId="48163" name="Check Box 35" r:id="rId33">
              <controlPr defaultSize="0">
                <anchor moveWithCells="1">
                  <from>
                    <xdr:col>9</xdr:col>
                    <xdr:colOff>19050</xdr:colOff>
                    <xdr:row>21</xdr:row>
                    <xdr:rowOff>285750</xdr:rowOff>
                  </from>
                  <to>
                    <xdr:col>11</xdr:col>
                    <xdr:colOff>85725</xdr:colOff>
                    <xdr:row>23</xdr:row>
                    <xdr:rowOff>19050</xdr:rowOff>
                  </to>
                </anchor>
              </controlPr>
            </control>
          </mc:Choice>
        </mc:AlternateContent>
        <mc:AlternateContent xmlns:mc="http://schemas.openxmlformats.org/markup-compatibility/2006">
          <mc:Choice Requires="x14">
            <control shapeId="48164" name="Check Box 36" r:id="rId34">
              <controlPr defaultSize="0">
                <anchor moveWithCells="1">
                  <from>
                    <xdr:col>14</xdr:col>
                    <xdr:colOff>57150</xdr:colOff>
                    <xdr:row>21</xdr:row>
                    <xdr:rowOff>285750</xdr:rowOff>
                  </from>
                  <to>
                    <xdr:col>14</xdr:col>
                    <xdr:colOff>361950</xdr:colOff>
                    <xdr:row>23</xdr:row>
                    <xdr:rowOff>19050</xdr:rowOff>
                  </to>
                </anchor>
              </controlPr>
            </control>
          </mc:Choice>
        </mc:AlternateContent>
        <mc:AlternateContent xmlns:mc="http://schemas.openxmlformats.org/markup-compatibility/2006">
          <mc:Choice Requires="x14">
            <control shapeId="48165" name="Check Box 37" r:id="rId35">
              <controlPr defaultSize="0">
                <anchor moveWithCells="1">
                  <from>
                    <xdr:col>9</xdr:col>
                    <xdr:colOff>19050</xdr:colOff>
                    <xdr:row>22</xdr:row>
                    <xdr:rowOff>285750</xdr:rowOff>
                  </from>
                  <to>
                    <xdr:col>11</xdr:col>
                    <xdr:colOff>85725</xdr:colOff>
                    <xdr:row>24</xdr:row>
                    <xdr:rowOff>19050</xdr:rowOff>
                  </to>
                </anchor>
              </controlPr>
            </control>
          </mc:Choice>
        </mc:AlternateContent>
        <mc:AlternateContent xmlns:mc="http://schemas.openxmlformats.org/markup-compatibility/2006">
          <mc:Choice Requires="x14">
            <control shapeId="48166" name="Check Box 38" r:id="rId36">
              <controlPr defaultSize="0">
                <anchor moveWithCells="1">
                  <from>
                    <xdr:col>14</xdr:col>
                    <xdr:colOff>57150</xdr:colOff>
                    <xdr:row>22</xdr:row>
                    <xdr:rowOff>285750</xdr:rowOff>
                  </from>
                  <to>
                    <xdr:col>14</xdr:col>
                    <xdr:colOff>361950</xdr:colOff>
                    <xdr:row>24</xdr:row>
                    <xdr:rowOff>19050</xdr:rowOff>
                  </to>
                </anchor>
              </controlPr>
            </control>
          </mc:Choice>
        </mc:AlternateContent>
        <mc:AlternateContent xmlns:mc="http://schemas.openxmlformats.org/markup-compatibility/2006">
          <mc:Choice Requires="x14">
            <control shapeId="48167" name="Check Box 39" r:id="rId37">
              <controlPr defaultSize="0">
                <anchor moveWithCells="1">
                  <from>
                    <xdr:col>9</xdr:col>
                    <xdr:colOff>19050</xdr:colOff>
                    <xdr:row>23</xdr:row>
                    <xdr:rowOff>285750</xdr:rowOff>
                  </from>
                  <to>
                    <xdr:col>11</xdr:col>
                    <xdr:colOff>85725</xdr:colOff>
                    <xdr:row>25</xdr:row>
                    <xdr:rowOff>19050</xdr:rowOff>
                  </to>
                </anchor>
              </controlPr>
            </control>
          </mc:Choice>
        </mc:AlternateContent>
        <mc:AlternateContent xmlns:mc="http://schemas.openxmlformats.org/markup-compatibility/2006">
          <mc:Choice Requires="x14">
            <control shapeId="48168" name="Check Box 40" r:id="rId38">
              <controlPr defaultSize="0">
                <anchor moveWithCells="1">
                  <from>
                    <xdr:col>14</xdr:col>
                    <xdr:colOff>57150</xdr:colOff>
                    <xdr:row>23</xdr:row>
                    <xdr:rowOff>285750</xdr:rowOff>
                  </from>
                  <to>
                    <xdr:col>14</xdr:col>
                    <xdr:colOff>361950</xdr:colOff>
                    <xdr:row>25</xdr:row>
                    <xdr:rowOff>19050</xdr:rowOff>
                  </to>
                </anchor>
              </controlPr>
            </control>
          </mc:Choice>
        </mc:AlternateContent>
        <mc:AlternateContent xmlns:mc="http://schemas.openxmlformats.org/markup-compatibility/2006">
          <mc:Choice Requires="x14">
            <control shapeId="48169" name="Check Box 41" r:id="rId39">
              <controlPr defaultSize="0">
                <anchor moveWithCells="1">
                  <from>
                    <xdr:col>21</xdr:col>
                    <xdr:colOff>333375</xdr:colOff>
                    <xdr:row>2</xdr:row>
                    <xdr:rowOff>285750</xdr:rowOff>
                  </from>
                  <to>
                    <xdr:col>24</xdr:col>
                    <xdr:colOff>76200</xdr:colOff>
                    <xdr:row>4</xdr:row>
                    <xdr:rowOff>19050</xdr:rowOff>
                  </to>
                </anchor>
              </controlPr>
            </control>
          </mc:Choice>
        </mc:AlternateContent>
        <mc:AlternateContent xmlns:mc="http://schemas.openxmlformats.org/markup-compatibility/2006">
          <mc:Choice Requires="x14">
            <control shapeId="48170" name="Check Box 42" r:id="rId40">
              <controlPr defaultSize="0">
                <anchor moveWithCells="1">
                  <from>
                    <xdr:col>26</xdr:col>
                    <xdr:colOff>38100</xdr:colOff>
                    <xdr:row>2</xdr:row>
                    <xdr:rowOff>285750</xdr:rowOff>
                  </from>
                  <to>
                    <xdr:col>28</xdr:col>
                    <xdr:colOff>19050</xdr:colOff>
                    <xdr:row>4</xdr:row>
                    <xdr:rowOff>19050</xdr:rowOff>
                  </to>
                </anchor>
              </controlPr>
            </control>
          </mc:Choice>
        </mc:AlternateContent>
        <mc:AlternateContent xmlns:mc="http://schemas.openxmlformats.org/markup-compatibility/2006">
          <mc:Choice Requires="x14">
            <control shapeId="48171" name="Check Box 43" r:id="rId41">
              <controlPr defaultSize="0">
                <anchor moveWithCells="1">
                  <from>
                    <xdr:col>29</xdr:col>
                    <xdr:colOff>95250</xdr:colOff>
                    <xdr:row>2</xdr:row>
                    <xdr:rowOff>285750</xdr:rowOff>
                  </from>
                  <to>
                    <xdr:col>30</xdr:col>
                    <xdr:colOff>19050</xdr:colOff>
                    <xdr:row>4</xdr:row>
                    <xdr:rowOff>19050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AD30"/>
  <sheetViews>
    <sheetView view="pageBreakPreview" zoomScaleNormal="100" workbookViewId="0">
      <selection activeCell="AH9" sqref="AH9"/>
    </sheetView>
  </sheetViews>
  <sheetFormatPr defaultColWidth="9" defaultRowHeight="26.25" customHeight="1"/>
  <cols>
    <col min="1" max="1" width="2.5" style="284" customWidth="1"/>
    <col min="2" max="2" width="6.875" style="284" customWidth="1"/>
    <col min="3" max="3" width="5" style="284" customWidth="1"/>
    <col min="4" max="4" width="1.125" style="284" customWidth="1"/>
    <col min="5" max="5" width="3.75" style="284" customWidth="1"/>
    <col min="6" max="6" width="0.75" style="284" customWidth="1"/>
    <col min="7" max="7" width="4.5" style="284" customWidth="1"/>
    <col min="8" max="8" width="5" style="284" customWidth="1"/>
    <col min="9" max="9" width="3.75" style="284" customWidth="1"/>
    <col min="10" max="10" width="1.375" style="284" customWidth="1"/>
    <col min="11" max="11" width="1.75" style="284" customWidth="1"/>
    <col min="12" max="12" width="3.125" style="284" customWidth="1"/>
    <col min="13" max="13" width="4.125" style="284" customWidth="1"/>
    <col min="14" max="14" width="0.875" style="284" customWidth="1"/>
    <col min="15" max="15" width="5" style="284" customWidth="1"/>
    <col min="16" max="16" width="7" style="284" customWidth="1"/>
    <col min="17" max="17" width="1.875" style="284" customWidth="1"/>
    <col min="18" max="18" width="3.25" style="284" customWidth="1"/>
    <col min="19" max="19" width="1.125" style="284" customWidth="1"/>
    <col min="20" max="20" width="3.75" style="284" customWidth="1"/>
    <col min="21" max="21" width="5.125" style="284" customWidth="1"/>
    <col min="22" max="22" width="5" style="284" customWidth="1"/>
    <col min="23" max="23" width="0.875" style="284" customWidth="1"/>
    <col min="24" max="24" width="1.5" style="284" customWidth="1"/>
    <col min="25" max="25" width="2.75" style="284" customWidth="1"/>
    <col min="26" max="26" width="1.75" style="284" customWidth="1"/>
    <col min="27" max="27" width="3.125" style="284" customWidth="1"/>
    <col min="28" max="28" width="1.125" style="284" customWidth="1"/>
    <col min="29" max="29" width="3.875" style="284" customWidth="1"/>
    <col min="30" max="30" width="5" style="284" customWidth="1"/>
    <col min="31" max="16384" width="9" style="284"/>
  </cols>
  <sheetData>
    <row r="1" customHeight="1" spans="1:30">
      <c r="A1" s="285" t="s">
        <v>555</v>
      </c>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row>
    <row r="2" customHeight="1" spans="1:30">
      <c r="A2" s="285"/>
      <c r="B2" s="285"/>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row>
    <row r="3" ht="24" customHeight="1" spans="1:30">
      <c r="B3" s="286" t="s">
        <v>556</v>
      </c>
      <c r="C3" s="286"/>
      <c r="D3" s="287"/>
      <c r="E3" s="287"/>
      <c r="F3" s="287"/>
      <c r="G3" s="287"/>
      <c r="H3" s="287"/>
      <c r="I3" s="287"/>
      <c r="J3" s="287"/>
      <c r="K3" s="287"/>
      <c r="L3" s="287"/>
      <c r="M3" s="287"/>
      <c r="N3" s="287"/>
      <c r="O3" s="287"/>
      <c r="P3" s="287"/>
      <c r="Q3" s="287"/>
      <c r="R3" s="287"/>
      <c r="S3" s="287"/>
      <c r="T3" s="286" t="s">
        <v>557</v>
      </c>
      <c r="U3" s="286"/>
      <c r="V3" s="286"/>
      <c r="W3" s="286"/>
      <c r="X3" s="288" t="str">
        <f>'Gen Inb'!S6</f>
        <v>南沙新港</v>
      </c>
      <c r="Y3" s="288"/>
      <c r="Z3" s="288"/>
      <c r="AA3" s="288"/>
      <c r="AB3" s="288"/>
      <c r="AC3" s="288"/>
      <c r="AD3" s="288"/>
    </row>
    <row r="4" ht="24" customHeight="1" spans="1:30">
      <c r="B4" s="289" t="s">
        <v>493</v>
      </c>
      <c r="C4" s="289"/>
      <c r="D4" s="289"/>
      <c r="E4" s="290" t="str">
        <f>'Gen Inb'!I6</f>
        <v>马士基奋进</v>
      </c>
      <c r="F4" s="290"/>
      <c r="G4" s="290"/>
      <c r="H4" s="290"/>
      <c r="I4" s="290"/>
      <c r="J4" s="289" t="s">
        <v>494</v>
      </c>
      <c r="K4" s="289"/>
      <c r="L4" s="289"/>
      <c r="M4" s="289"/>
      <c r="N4" s="289"/>
      <c r="O4" s="289"/>
      <c r="P4" s="291" t="str">
        <f>'Gen Inb'!F8</f>
        <v>巴拿马</v>
      </c>
      <c r="Q4" s="291"/>
      <c r="R4" s="291"/>
      <c r="S4" s="291"/>
      <c r="T4" s="289" t="s">
        <v>558</v>
      </c>
      <c r="U4" s="289"/>
      <c r="V4" s="292" t="s">
        <v>559</v>
      </c>
      <c r="W4" s="293"/>
      <c r="X4" s="293"/>
      <c r="Y4" s="293" t="s">
        <v>560</v>
      </c>
      <c r="Z4" s="293"/>
      <c r="AA4" s="293"/>
      <c r="AB4" s="293"/>
      <c r="AC4" s="293" t="s">
        <v>561</v>
      </c>
      <c r="AD4" s="294"/>
    </row>
    <row r="5" ht="24" customHeight="1" spans="1:30">
      <c r="B5" s="289" t="s">
        <v>15</v>
      </c>
      <c r="C5" s="289"/>
      <c r="D5" s="289"/>
      <c r="E5" s="295">
        <v>17</v>
      </c>
      <c r="F5" s="295"/>
      <c r="G5" s="295"/>
      <c r="H5" s="295"/>
      <c r="I5" s="295"/>
      <c r="J5" s="289" t="s">
        <v>562</v>
      </c>
      <c r="K5" s="289"/>
      <c r="L5" s="289"/>
      <c r="M5" s="289"/>
      <c r="N5" s="289"/>
      <c r="O5" s="289"/>
      <c r="P5" s="290" t="str">
        <f>'Gen Inb'!N24</f>
        <v>nil</v>
      </c>
      <c r="Q5" s="290"/>
      <c r="R5" s="290"/>
      <c r="S5" s="290"/>
      <c r="T5" s="289" t="s">
        <v>563</v>
      </c>
      <c r="U5" s="289"/>
      <c r="V5" s="296">
        <f>'Gen Inb'!E12</f>
        <v>9562</v>
      </c>
      <c r="W5" s="296"/>
      <c r="X5" s="296"/>
      <c r="Y5" s="289" t="s">
        <v>564</v>
      </c>
      <c r="Z5" s="289"/>
      <c r="AA5" s="289"/>
      <c r="AB5" s="289"/>
      <c r="AC5" s="296">
        <f>'Gen Inb'!L12</f>
        <v>4523</v>
      </c>
      <c r="AD5" s="296"/>
    </row>
    <row r="6" ht="24" customHeight="1" spans="1:30">
      <c r="B6" s="289" t="s">
        <v>565</v>
      </c>
      <c r="C6" s="289"/>
      <c r="D6" s="289"/>
      <c r="E6" s="297" t="str">
        <f>'Gen Outb'!M18&amp;"/"&amp;'Gen Outb'!T18</f>
        <v>南沙新港/胡志明市</v>
      </c>
      <c r="F6" s="298"/>
      <c r="G6" s="298"/>
      <c r="H6" s="298"/>
      <c r="I6" s="298"/>
      <c r="J6" s="298"/>
      <c r="K6" s="298"/>
      <c r="L6" s="298"/>
      <c r="M6" s="298"/>
      <c r="N6" s="298"/>
      <c r="O6" s="299"/>
      <c r="P6" s="289" t="s">
        <v>566</v>
      </c>
      <c r="Q6" s="289"/>
      <c r="R6" s="289"/>
      <c r="S6" s="289"/>
      <c r="T6" s="289"/>
      <c r="U6" s="289"/>
      <c r="V6" s="300">
        <f>'Gen Inb'!X6</f>
        <v>46238</v>
      </c>
      <c r="W6" s="300"/>
      <c r="X6" s="300"/>
      <c r="Y6" s="300"/>
      <c r="Z6" s="300"/>
      <c r="AA6" s="300"/>
      <c r="AB6" s="300"/>
      <c r="AC6" s="300"/>
      <c r="AD6" s="300"/>
    </row>
    <row r="7" ht="24" customHeight="1" spans="1:30">
      <c r="B7" s="289" t="s">
        <v>567</v>
      </c>
      <c r="C7" s="289"/>
      <c r="D7" s="289"/>
      <c r="E7" s="290" t="s">
        <v>145</v>
      </c>
      <c r="F7" s="290"/>
      <c r="G7" s="290"/>
      <c r="H7" s="290"/>
      <c r="I7" s="290"/>
      <c r="J7" s="289" t="s">
        <v>568</v>
      </c>
      <c r="K7" s="289"/>
      <c r="L7" s="289"/>
      <c r="M7" s="289"/>
      <c r="N7" s="289"/>
      <c r="O7" s="289"/>
      <c r="P7" s="290" t="s">
        <v>569</v>
      </c>
      <c r="Q7" s="290"/>
      <c r="R7" s="290"/>
      <c r="S7" s="290"/>
      <c r="T7" s="289" t="s">
        <v>570</v>
      </c>
      <c r="U7" s="289"/>
      <c r="V7" s="289"/>
      <c r="W7" s="289"/>
      <c r="X7" s="289"/>
      <c r="Y7" s="290" t="s">
        <v>630</v>
      </c>
      <c r="Z7" s="290"/>
      <c r="AA7" s="290"/>
      <c r="AB7" s="290"/>
      <c r="AC7" s="290"/>
      <c r="AD7" s="290"/>
    </row>
    <row r="8" ht="24" customHeight="1" spans="1:30">
      <c r="B8" s="289" t="s">
        <v>571</v>
      </c>
      <c r="C8" s="301" t="s">
        <v>572</v>
      </c>
      <c r="D8" s="302">
        <f>'Cstm Outb'!E8</f>
        <v>0</v>
      </c>
      <c r="E8" s="303"/>
      <c r="F8" s="304" t="s">
        <v>573</v>
      </c>
      <c r="G8" s="301"/>
      <c r="H8" s="302">
        <f>'Cstm Outb'!D8</f>
        <v>0</v>
      </c>
      <c r="I8" s="304" t="s">
        <v>574</v>
      </c>
      <c r="J8" s="301"/>
      <c r="K8" s="302">
        <v>0</v>
      </c>
      <c r="L8" s="303"/>
      <c r="M8" s="304" t="s">
        <v>575</v>
      </c>
      <c r="N8" s="301"/>
      <c r="O8" s="302">
        <v>0</v>
      </c>
      <c r="P8" s="289" t="s">
        <v>576</v>
      </c>
      <c r="Q8" s="304" t="s">
        <v>572</v>
      </c>
      <c r="R8" s="301"/>
      <c r="S8" s="302">
        <f>'Cstm Inb'!E9+'Cstm Inb'!I9+'Cstm Inb'!E11</f>
        <v>68</v>
      </c>
      <c r="T8" s="303"/>
      <c r="U8" s="301" t="s">
        <v>573</v>
      </c>
      <c r="V8" s="302">
        <f>'Cstm Inb'!D9+'Cstm Inb'!H9+'Cstm Inb'!D11</f>
        <v>67</v>
      </c>
      <c r="W8" s="304" t="s">
        <v>574</v>
      </c>
      <c r="X8" s="304"/>
      <c r="Y8" s="301"/>
      <c r="Z8" s="302">
        <f>'Cstm Inb'!I11</f>
        <v>0</v>
      </c>
      <c r="AA8" s="303"/>
      <c r="AB8" s="304" t="s">
        <v>575</v>
      </c>
      <c r="AC8" s="301"/>
      <c r="AD8" s="302">
        <f>'Cstm Inb'!H11</f>
        <v>0</v>
      </c>
    </row>
    <row r="9" ht="24" customHeight="1" spans="1:30">
      <c r="B9" s="289" t="s">
        <v>577</v>
      </c>
      <c r="C9" s="289"/>
      <c r="D9" s="289"/>
      <c r="E9" s="289"/>
      <c r="F9" s="289"/>
      <c r="G9" s="289"/>
      <c r="H9" s="289" t="s">
        <v>578</v>
      </c>
      <c r="I9" s="289"/>
      <c r="J9" s="289"/>
      <c r="K9" s="305"/>
      <c r="L9" s="294" t="s">
        <v>579</v>
      </c>
      <c r="M9" s="306"/>
      <c r="N9" s="306"/>
      <c r="O9" s="306"/>
      <c r="P9" s="289" t="s">
        <v>580</v>
      </c>
      <c r="Q9" s="289"/>
      <c r="R9" s="289"/>
      <c r="S9" s="289"/>
      <c r="T9" s="289"/>
      <c r="U9" s="289"/>
      <c r="V9" s="305" t="s">
        <v>578</v>
      </c>
      <c r="W9" s="307"/>
      <c r="X9" s="307"/>
      <c r="Y9" s="307"/>
      <c r="Z9" s="307"/>
      <c r="AA9" s="293" t="s">
        <v>579</v>
      </c>
      <c r="AB9" s="293"/>
      <c r="AC9" s="293"/>
      <c r="AD9" s="294"/>
    </row>
    <row r="10" ht="24" customHeight="1" spans="1:30">
      <c r="B10" s="289" t="s">
        <v>11</v>
      </c>
      <c r="C10" s="289"/>
      <c r="D10" s="289"/>
      <c r="E10" s="305" t="s">
        <v>581</v>
      </c>
      <c r="F10" s="307"/>
      <c r="G10" s="308" t="str">
        <f>'Gen Inb'!W8</f>
        <v>胡志明市</v>
      </c>
      <c r="H10" s="298"/>
      <c r="I10" s="298"/>
      <c r="J10" s="307" t="s">
        <v>582</v>
      </c>
      <c r="K10" s="307"/>
      <c r="L10" s="309" t="s">
        <v>12</v>
      </c>
      <c r="M10" s="290"/>
      <c r="N10" s="290"/>
      <c r="O10" s="290"/>
      <c r="P10" s="289" t="s">
        <v>583</v>
      </c>
      <c r="Q10" s="289"/>
      <c r="R10" s="289"/>
      <c r="S10" s="289"/>
      <c r="T10" s="289"/>
      <c r="U10" s="289"/>
      <c r="V10" s="290" t="str">
        <f>P7</f>
        <v>集装箱</v>
      </c>
      <c r="W10" s="290"/>
      <c r="X10" s="290"/>
      <c r="Y10" s="290"/>
      <c r="Z10" s="290"/>
      <c r="AA10" s="290"/>
      <c r="AB10" s="290"/>
      <c r="AC10" s="290"/>
      <c r="AD10" s="290"/>
    </row>
    <row r="11" ht="24" customHeight="1" spans="1:30">
      <c r="B11" s="289" t="s">
        <v>584</v>
      </c>
      <c r="C11" s="289"/>
      <c r="D11" s="289"/>
      <c r="E11" s="289"/>
      <c r="F11" s="289"/>
      <c r="G11" s="289"/>
      <c r="H11" s="310" t="s">
        <v>585</v>
      </c>
      <c r="I11" s="311"/>
      <c r="J11" s="311"/>
      <c r="K11" s="311"/>
      <c r="L11" s="311" t="s">
        <v>586</v>
      </c>
      <c r="M11" s="311"/>
      <c r="N11" s="311"/>
      <c r="O11" s="311"/>
      <c r="P11" s="311" t="s">
        <v>587</v>
      </c>
      <c r="Q11" s="311"/>
      <c r="R11" s="311"/>
      <c r="S11" s="311"/>
      <c r="T11" s="311"/>
      <c r="U11" s="311"/>
      <c r="V11" s="311" t="s">
        <v>588</v>
      </c>
      <c r="W11" s="311"/>
      <c r="X11" s="311"/>
      <c r="Y11" s="311"/>
      <c r="Z11" s="311"/>
      <c r="AA11" s="311"/>
      <c r="AB11" s="311"/>
      <c r="AC11" s="311"/>
      <c r="AD11" s="312"/>
    </row>
    <row r="12" ht="24" customHeight="1" spans="1:30">
      <c r="B12" s="289"/>
      <c r="C12" s="289"/>
      <c r="D12" s="289"/>
      <c r="E12" s="289"/>
      <c r="F12" s="289"/>
      <c r="G12" s="289"/>
      <c r="H12" s="313" t="s">
        <v>589</v>
      </c>
      <c r="I12" s="314"/>
      <c r="J12" s="314"/>
      <c r="K12" s="314"/>
      <c r="L12" s="314" t="s">
        <v>590</v>
      </c>
      <c r="M12" s="314"/>
      <c r="N12" s="314"/>
      <c r="O12" s="314"/>
      <c r="P12" s="315" t="s">
        <v>591</v>
      </c>
      <c r="Q12" s="315"/>
      <c r="R12" s="315"/>
      <c r="S12" s="315"/>
      <c r="T12" s="315"/>
      <c r="U12" s="315"/>
      <c r="V12" s="314" t="s">
        <v>592</v>
      </c>
      <c r="W12" s="314"/>
      <c r="X12" s="314"/>
      <c r="Y12" s="314"/>
      <c r="Z12" s="314"/>
      <c r="AA12" s="314"/>
      <c r="AB12" s="314"/>
      <c r="AC12" s="314"/>
      <c r="AD12" s="316"/>
    </row>
    <row r="13" ht="24" customHeight="1" spans="1:30">
      <c r="B13" s="289" t="s">
        <v>593</v>
      </c>
      <c r="C13" s="289"/>
      <c r="D13" s="289"/>
      <c r="E13" s="289"/>
      <c r="F13" s="289"/>
      <c r="G13" s="289"/>
      <c r="H13" s="289"/>
      <c r="I13" s="289"/>
      <c r="J13" s="289"/>
      <c r="K13" s="289"/>
      <c r="L13" s="289"/>
      <c r="M13" s="289"/>
      <c r="N13" s="289"/>
      <c r="O13" s="289"/>
      <c r="P13" s="317" t="s">
        <v>631</v>
      </c>
      <c r="Q13" s="290"/>
      <c r="R13" s="290"/>
      <c r="S13" s="290"/>
      <c r="T13" s="290"/>
      <c r="U13" s="290"/>
      <c r="V13" s="290"/>
      <c r="W13" s="290"/>
      <c r="X13" s="290"/>
      <c r="Y13" s="290"/>
      <c r="Z13" s="290"/>
      <c r="AA13" s="290"/>
      <c r="AB13" s="290"/>
      <c r="AC13" s="290"/>
      <c r="AD13" s="290"/>
    </row>
    <row r="14" ht="24" customHeight="1" spans="1:30">
      <c r="B14" s="289" t="s">
        <v>594</v>
      </c>
      <c r="C14" s="289"/>
      <c r="D14" s="289"/>
      <c r="E14" s="289"/>
      <c r="F14" s="289"/>
      <c r="G14" s="289"/>
      <c r="H14" s="289"/>
      <c r="I14" s="289"/>
      <c r="J14" s="289"/>
      <c r="K14" s="289"/>
      <c r="L14" s="289"/>
      <c r="M14" s="289"/>
      <c r="N14" s="289"/>
      <c r="O14" s="289"/>
      <c r="P14" s="290" t="s">
        <v>595</v>
      </c>
      <c r="Q14" s="290"/>
      <c r="R14" s="290"/>
      <c r="S14" s="290"/>
      <c r="T14" s="290"/>
      <c r="U14" s="290"/>
      <c r="V14" s="290"/>
      <c r="W14" s="290"/>
      <c r="X14" s="290"/>
      <c r="Y14" s="290"/>
      <c r="Z14" s="290"/>
      <c r="AA14" s="290"/>
      <c r="AB14" s="290"/>
      <c r="AC14" s="290"/>
      <c r="AD14" s="290"/>
    </row>
    <row r="15" ht="24" customHeight="1" spans="1:30">
      <c r="B15" s="289" t="s">
        <v>596</v>
      </c>
      <c r="C15" s="289"/>
      <c r="D15" s="289"/>
      <c r="E15" s="289"/>
      <c r="F15" s="289"/>
      <c r="G15" s="289"/>
      <c r="H15" s="305" t="s">
        <v>597</v>
      </c>
      <c r="I15" s="307"/>
      <c r="J15" s="307"/>
      <c r="K15" s="307"/>
      <c r="L15" s="293" t="s">
        <v>595</v>
      </c>
      <c r="M15" s="293"/>
      <c r="N15" s="293"/>
      <c r="O15" s="294"/>
      <c r="P15" s="289" t="s">
        <v>598</v>
      </c>
      <c r="Q15" s="289"/>
      <c r="R15" s="289"/>
      <c r="S15" s="289"/>
      <c r="T15" s="289"/>
      <c r="U15" s="289"/>
      <c r="V15" s="305" t="s">
        <v>578</v>
      </c>
      <c r="W15" s="307"/>
      <c r="X15" s="307"/>
      <c r="Y15" s="307"/>
      <c r="Z15" s="307"/>
      <c r="AA15" s="293" t="s">
        <v>579</v>
      </c>
      <c r="AB15" s="293"/>
      <c r="AC15" s="293"/>
      <c r="AD15" s="294"/>
    </row>
    <row r="16" ht="24" customHeight="1" spans="1:30">
      <c r="B16" s="289" t="s">
        <v>599</v>
      </c>
      <c r="C16" s="289"/>
      <c r="D16" s="289"/>
      <c r="E16" s="289"/>
      <c r="F16" s="289"/>
      <c r="G16" s="289"/>
      <c r="H16" s="317"/>
      <c r="I16" s="290"/>
      <c r="J16" s="290"/>
      <c r="K16" s="290"/>
      <c r="L16" s="290"/>
      <c r="M16" s="290"/>
      <c r="N16" s="290"/>
      <c r="O16" s="290"/>
      <c r="P16" s="289" t="s">
        <v>600</v>
      </c>
      <c r="Q16" s="289"/>
      <c r="R16" s="289"/>
      <c r="S16" s="289"/>
      <c r="T16" s="289"/>
      <c r="U16" s="289"/>
      <c r="V16" s="290"/>
      <c r="W16" s="290"/>
      <c r="X16" s="290"/>
      <c r="Y16" s="290"/>
      <c r="Z16" s="290"/>
      <c r="AA16" s="290"/>
      <c r="AB16" s="290"/>
      <c r="AC16" s="290"/>
      <c r="AD16" s="290"/>
    </row>
    <row r="17" ht="24" customHeight="1" spans="2:30">
      <c r="B17" s="289" t="s">
        <v>632</v>
      </c>
      <c r="C17" s="289"/>
      <c r="D17" s="289"/>
      <c r="E17" s="289"/>
      <c r="F17" s="289"/>
      <c r="G17" s="289"/>
      <c r="H17" s="292" t="s">
        <v>601</v>
      </c>
      <c r="I17" s="293"/>
      <c r="J17" s="293"/>
      <c r="K17" s="293"/>
      <c r="L17" s="293"/>
      <c r="M17" s="293"/>
      <c r="N17" s="293" t="s">
        <v>602</v>
      </c>
      <c r="O17" s="293"/>
      <c r="P17" s="293"/>
      <c r="Q17" s="293"/>
      <c r="R17" s="293" t="s">
        <v>603</v>
      </c>
      <c r="S17" s="293"/>
      <c r="T17" s="293"/>
      <c r="U17" s="293"/>
      <c r="V17" s="293"/>
      <c r="W17" s="293"/>
      <c r="X17" s="293" t="s">
        <v>604</v>
      </c>
      <c r="Y17" s="293"/>
      <c r="Z17" s="293"/>
      <c r="AA17" s="293"/>
      <c r="AB17" s="293"/>
      <c r="AC17" s="293"/>
      <c r="AD17" s="294"/>
    </row>
    <row r="18" ht="24" customHeight="1" spans="2:30">
      <c r="B18" s="318" t="s">
        <v>605</v>
      </c>
      <c r="C18" s="318"/>
      <c r="D18" s="318"/>
      <c r="E18" s="318"/>
      <c r="F18" s="318"/>
      <c r="G18" s="318"/>
      <c r="H18" s="318"/>
      <c r="I18" s="318"/>
      <c r="J18" s="318"/>
      <c r="K18" s="318"/>
      <c r="L18" s="318"/>
      <c r="M18" s="318"/>
      <c r="N18" s="318"/>
      <c r="O18" s="318"/>
      <c r="P18" s="310" t="s">
        <v>606</v>
      </c>
      <c r="Q18" s="319" t="s">
        <v>607</v>
      </c>
      <c r="R18" s="319"/>
      <c r="S18" s="319"/>
      <c r="T18" s="319"/>
      <c r="U18" s="320"/>
      <c r="V18" s="320"/>
      <c r="W18" s="320"/>
      <c r="X18" s="320"/>
      <c r="Y18" s="320"/>
      <c r="Z18" s="320"/>
      <c r="AA18" s="320"/>
      <c r="AB18" s="311" t="s">
        <v>608</v>
      </c>
      <c r="AC18" s="311"/>
      <c r="AD18" s="312"/>
    </row>
    <row r="19" ht="24" customHeight="1" spans="2:30">
      <c r="B19" s="321" t="s">
        <v>609</v>
      </c>
      <c r="C19" s="321"/>
      <c r="D19" s="321"/>
      <c r="E19" s="321"/>
      <c r="F19" s="321"/>
      <c r="G19" s="321"/>
      <c r="H19" s="321"/>
      <c r="I19" s="321"/>
      <c r="J19" s="321"/>
      <c r="K19" s="321"/>
      <c r="L19" s="321"/>
      <c r="M19" s="321"/>
      <c r="N19" s="321"/>
      <c r="O19" s="321"/>
      <c r="P19" s="322" t="s">
        <v>606</v>
      </c>
      <c r="Q19" s="323" t="s">
        <v>607</v>
      </c>
      <c r="R19" s="323"/>
      <c r="S19" s="323"/>
      <c r="T19" s="323"/>
      <c r="U19" s="324"/>
      <c r="V19" s="324"/>
      <c r="W19" s="324"/>
      <c r="X19" s="324"/>
      <c r="Y19" s="324"/>
      <c r="Z19" s="324"/>
      <c r="AA19" s="324"/>
      <c r="AB19" s="325" t="s">
        <v>608</v>
      </c>
      <c r="AC19" s="325"/>
      <c r="AD19" s="326"/>
    </row>
    <row r="20" ht="24" customHeight="1" spans="2:30">
      <c r="B20" s="321" t="s">
        <v>610</v>
      </c>
      <c r="C20" s="321"/>
      <c r="D20" s="321"/>
      <c r="E20" s="321"/>
      <c r="F20" s="321"/>
      <c r="G20" s="321"/>
      <c r="H20" s="321"/>
      <c r="I20" s="321"/>
      <c r="J20" s="321"/>
      <c r="K20" s="321"/>
      <c r="L20" s="321"/>
      <c r="M20" s="321"/>
      <c r="N20" s="321"/>
      <c r="O20" s="321"/>
      <c r="P20" s="322" t="s">
        <v>606</v>
      </c>
      <c r="Q20" s="323" t="s">
        <v>607</v>
      </c>
      <c r="R20" s="323"/>
      <c r="S20" s="323"/>
      <c r="T20" s="323"/>
      <c r="U20" s="327"/>
      <c r="V20" s="327"/>
      <c r="W20" s="327"/>
      <c r="X20" s="327"/>
      <c r="Y20" s="327"/>
      <c r="Z20" s="327"/>
      <c r="AA20" s="327"/>
      <c r="AB20" s="325" t="s">
        <v>608</v>
      </c>
      <c r="AC20" s="325"/>
      <c r="AD20" s="326"/>
    </row>
    <row r="21" ht="24" customHeight="1" spans="2:30">
      <c r="B21" s="321" t="s">
        <v>611</v>
      </c>
      <c r="C21" s="321"/>
      <c r="D21" s="321"/>
      <c r="E21" s="321"/>
      <c r="F21" s="321"/>
      <c r="G21" s="321"/>
      <c r="H21" s="321"/>
      <c r="I21" s="321"/>
      <c r="J21" s="321"/>
      <c r="K21" s="321"/>
      <c r="L21" s="321"/>
      <c r="M21" s="321"/>
      <c r="N21" s="321"/>
      <c r="O21" s="321"/>
      <c r="P21" s="322" t="s">
        <v>606</v>
      </c>
      <c r="Q21" s="323" t="s">
        <v>607</v>
      </c>
      <c r="R21" s="323"/>
      <c r="S21" s="323"/>
      <c r="T21" s="323"/>
      <c r="U21" s="324"/>
      <c r="V21" s="324"/>
      <c r="W21" s="324"/>
      <c r="X21" s="324"/>
      <c r="Y21" s="324"/>
      <c r="Z21" s="324"/>
      <c r="AA21" s="324"/>
      <c r="AB21" s="325" t="s">
        <v>608</v>
      </c>
      <c r="AC21" s="325"/>
      <c r="AD21" s="326"/>
    </row>
    <row r="22" ht="24" customHeight="1" spans="2:30">
      <c r="B22" s="328" t="s">
        <v>612</v>
      </c>
      <c r="C22" s="328"/>
      <c r="D22" s="328"/>
      <c r="E22" s="328"/>
      <c r="F22" s="328"/>
      <c r="G22" s="328"/>
      <c r="H22" s="328"/>
      <c r="I22" s="328"/>
      <c r="J22" s="328"/>
      <c r="K22" s="328"/>
      <c r="L22" s="328"/>
      <c r="M22" s="328"/>
      <c r="N22" s="328"/>
      <c r="O22" s="328"/>
      <c r="P22" s="313" t="s">
        <v>606</v>
      </c>
      <c r="Q22" s="329" t="s">
        <v>607</v>
      </c>
      <c r="R22" s="329"/>
      <c r="S22" s="329"/>
      <c r="T22" s="329"/>
      <c r="U22" s="330"/>
      <c r="V22" s="330"/>
      <c r="W22" s="330"/>
      <c r="X22" s="330"/>
      <c r="Y22" s="330"/>
      <c r="Z22" s="330"/>
      <c r="AA22" s="330"/>
      <c r="AB22" s="314" t="s">
        <v>608</v>
      </c>
      <c r="AC22" s="314"/>
      <c r="AD22" s="316"/>
    </row>
    <row r="23" ht="24" customHeight="1" spans="2:30">
      <c r="B23" s="306" t="s">
        <v>613</v>
      </c>
      <c r="C23" s="306"/>
      <c r="D23" s="306"/>
      <c r="E23" s="306"/>
      <c r="F23" s="306"/>
      <c r="G23" s="306"/>
      <c r="H23" s="305" t="s">
        <v>614</v>
      </c>
      <c r="I23" s="307"/>
      <c r="J23" s="307"/>
      <c r="K23" s="307"/>
      <c r="L23" s="307" t="s">
        <v>615</v>
      </c>
      <c r="M23" s="307"/>
      <c r="N23" s="307"/>
      <c r="O23" s="307"/>
      <c r="P23" s="307" t="s">
        <v>616</v>
      </c>
      <c r="Q23" s="307"/>
      <c r="R23" s="307"/>
      <c r="S23" s="307"/>
      <c r="T23" s="307"/>
      <c r="U23" s="307"/>
      <c r="V23" s="307"/>
      <c r="W23" s="307"/>
      <c r="X23" s="307"/>
      <c r="Y23" s="307"/>
      <c r="Z23" s="307" t="s">
        <v>617</v>
      </c>
      <c r="AA23" s="307"/>
      <c r="AB23" s="307"/>
      <c r="AC23" s="307"/>
      <c r="AD23" s="331"/>
    </row>
    <row r="24" ht="24" customHeight="1" spans="2:30">
      <c r="B24" s="306" t="s">
        <v>618</v>
      </c>
      <c r="C24" s="306"/>
      <c r="D24" s="306"/>
      <c r="E24" s="306"/>
      <c r="F24" s="306"/>
      <c r="G24" s="306"/>
      <c r="H24" s="305" t="s">
        <v>614</v>
      </c>
      <c r="I24" s="307"/>
      <c r="J24" s="307"/>
      <c r="K24" s="307"/>
      <c r="L24" s="307" t="s">
        <v>615</v>
      </c>
      <c r="M24" s="307"/>
      <c r="N24" s="307"/>
      <c r="O24" s="307"/>
      <c r="P24" s="331"/>
      <c r="Q24" s="289"/>
      <c r="R24" s="289"/>
      <c r="S24" s="289"/>
      <c r="T24" s="289"/>
      <c r="U24" s="289"/>
      <c r="V24" s="289"/>
      <c r="W24" s="289"/>
      <c r="X24" s="289"/>
      <c r="Y24" s="289"/>
      <c r="Z24" s="289"/>
      <c r="AA24" s="289"/>
      <c r="AB24" s="289"/>
      <c r="AC24" s="289"/>
      <c r="AD24" s="289"/>
    </row>
    <row r="25" ht="24" customHeight="1" spans="2:30">
      <c r="B25" s="306" t="s">
        <v>619</v>
      </c>
      <c r="C25" s="306"/>
      <c r="D25" s="306"/>
      <c r="E25" s="306"/>
      <c r="F25" s="306"/>
      <c r="G25" s="306"/>
      <c r="H25" s="305" t="s">
        <v>614</v>
      </c>
      <c r="I25" s="307"/>
      <c r="J25" s="307"/>
      <c r="K25" s="307"/>
      <c r="L25" s="307" t="s">
        <v>615</v>
      </c>
      <c r="M25" s="307"/>
      <c r="N25" s="307"/>
      <c r="O25" s="307"/>
      <c r="P25" s="307" t="s">
        <v>616</v>
      </c>
      <c r="Q25" s="307"/>
      <c r="R25" s="307"/>
      <c r="S25" s="307"/>
      <c r="T25" s="307"/>
      <c r="U25" s="332"/>
      <c r="V25" s="332"/>
      <c r="W25" s="332"/>
      <c r="X25" s="332"/>
      <c r="Y25" s="332"/>
      <c r="Z25" s="333"/>
      <c r="AA25" s="333"/>
      <c r="AB25" s="333"/>
      <c r="AC25" s="333"/>
      <c r="AD25" s="334"/>
    </row>
    <row r="26" ht="24" customHeight="1" spans="2:30">
      <c r="B26" s="310" t="s">
        <v>620</v>
      </c>
      <c r="C26" s="311"/>
      <c r="D26" s="311"/>
      <c r="E26" s="311"/>
      <c r="F26" s="311"/>
      <c r="G26" s="311"/>
      <c r="H26" s="319"/>
      <c r="I26" s="319"/>
      <c r="J26" s="319"/>
      <c r="K26" s="319"/>
      <c r="L26" s="319"/>
      <c r="M26" s="319"/>
      <c r="N26" s="319"/>
      <c r="O26" s="319"/>
      <c r="P26" s="319"/>
      <c r="Q26" s="319"/>
      <c r="R26" s="319"/>
      <c r="S26" s="319"/>
      <c r="T26" s="319"/>
      <c r="U26" s="319"/>
      <c r="V26" s="319"/>
      <c r="W26" s="319"/>
      <c r="X26" s="319"/>
      <c r="Y26" s="319"/>
      <c r="Z26" s="319"/>
      <c r="AA26" s="319"/>
      <c r="AB26" s="319"/>
      <c r="AC26" s="319"/>
      <c r="AD26" s="335"/>
    </row>
    <row r="27" ht="24" customHeight="1" spans="2:30">
      <c r="B27" s="336"/>
      <c r="C27" s="337"/>
      <c r="D27" s="337"/>
      <c r="E27" s="337"/>
      <c r="F27" s="337"/>
      <c r="G27" s="337"/>
      <c r="H27" s="337"/>
      <c r="I27" s="337"/>
      <c r="J27" s="337"/>
      <c r="K27" s="337"/>
      <c r="L27" s="337"/>
      <c r="M27" s="337"/>
      <c r="N27" s="337"/>
      <c r="O27" s="337"/>
      <c r="P27" s="337"/>
      <c r="Q27" s="337"/>
      <c r="R27" s="337"/>
      <c r="S27" s="337"/>
      <c r="T27" s="337"/>
      <c r="U27" s="337"/>
      <c r="V27" s="337"/>
      <c r="W27" s="337"/>
      <c r="X27" s="337"/>
      <c r="Y27" s="337"/>
      <c r="Z27" s="337"/>
      <c r="AA27" s="337"/>
      <c r="AB27" s="337"/>
      <c r="AC27" s="337"/>
      <c r="AD27" s="338"/>
    </row>
    <row r="28" ht="24" customHeight="1" spans="2:30">
      <c r="B28" s="339"/>
      <c r="C28" s="323"/>
      <c r="D28" s="323"/>
      <c r="E28" s="323"/>
      <c r="F28" s="323"/>
      <c r="G28" s="323"/>
      <c r="H28" s="323"/>
      <c r="I28" s="323"/>
      <c r="J28" s="323"/>
      <c r="K28" s="323"/>
      <c r="L28" s="323"/>
      <c r="M28" s="323"/>
      <c r="N28" s="323"/>
      <c r="O28" s="323"/>
      <c r="P28" s="323"/>
      <c r="Q28" s="323"/>
      <c r="R28" s="323"/>
      <c r="S28" s="323"/>
      <c r="T28" s="323"/>
      <c r="U28" s="323"/>
      <c r="V28" s="323"/>
      <c r="W28" s="323"/>
      <c r="X28" s="323"/>
      <c r="Y28" s="323"/>
      <c r="Z28" s="323"/>
      <c r="AA28" s="323"/>
      <c r="AB28" s="323"/>
      <c r="AC28" s="323"/>
      <c r="AD28" s="340"/>
    </row>
    <row r="29" ht="24" customHeight="1" spans="2:30">
      <c r="B29" s="322" t="s">
        <v>621</v>
      </c>
      <c r="C29" s="325"/>
      <c r="D29" s="325"/>
      <c r="E29" s="325"/>
      <c r="F29" s="325"/>
      <c r="G29" s="325"/>
      <c r="H29" s="323"/>
      <c r="I29" s="323"/>
      <c r="J29" s="323"/>
      <c r="K29" s="323"/>
      <c r="L29" s="323"/>
      <c r="M29" s="323"/>
      <c r="N29" s="323"/>
      <c r="O29" s="323"/>
      <c r="P29" s="341" t="s">
        <v>622</v>
      </c>
      <c r="Q29" s="341"/>
      <c r="R29" s="342"/>
      <c r="S29" s="342"/>
      <c r="T29" s="342">
        <v>20</v>
      </c>
      <c r="U29" s="342"/>
      <c r="V29" s="342" t="s">
        <v>623</v>
      </c>
      <c r="W29" s="342"/>
      <c r="X29" s="342" t="s">
        <v>624</v>
      </c>
      <c r="Y29" s="342"/>
      <c r="Z29" s="342"/>
      <c r="AA29" s="343" t="s">
        <v>625</v>
      </c>
      <c r="AB29" s="342"/>
      <c r="AC29" s="341" t="s">
        <v>626</v>
      </c>
      <c r="AD29" s="344" t="s">
        <v>627</v>
      </c>
    </row>
    <row r="30" ht="24" customHeight="1" spans="2:30">
      <c r="B30" s="313" t="s">
        <v>628</v>
      </c>
      <c r="C30" s="314"/>
      <c r="D30" s="314"/>
      <c r="E30" s="314"/>
      <c r="F30" s="314"/>
      <c r="G30" s="314"/>
      <c r="H30" s="329"/>
      <c r="I30" s="329"/>
      <c r="J30" s="329"/>
      <c r="K30" s="329"/>
      <c r="L30" s="329"/>
      <c r="M30" s="329"/>
      <c r="N30" s="329"/>
      <c r="O30" s="329"/>
      <c r="P30" s="345" t="s">
        <v>629</v>
      </c>
      <c r="Q30" s="345"/>
      <c r="R30" s="346"/>
      <c r="S30" s="346"/>
      <c r="T30" s="346">
        <v>20</v>
      </c>
      <c r="U30" s="346"/>
      <c r="V30" s="346" t="s">
        <v>623</v>
      </c>
      <c r="W30" s="346"/>
      <c r="X30" s="346" t="s">
        <v>624</v>
      </c>
      <c r="Y30" s="346"/>
      <c r="Z30" s="346"/>
      <c r="AA30" s="347" t="s">
        <v>625</v>
      </c>
      <c r="AB30" s="346"/>
      <c r="AC30" s="345" t="s">
        <v>626</v>
      </c>
      <c r="AD30" s="348" t="s">
        <v>627</v>
      </c>
    </row>
  </sheetData>
  <mergeCells count="128">
    <mergeCell ref="B3:C3"/>
    <mergeCell ref="D3:S3"/>
    <mergeCell ref="T3:W3"/>
    <mergeCell ref="X3:AD3"/>
    <mergeCell ref="B4:D4"/>
    <mergeCell ref="E4:I4"/>
    <mergeCell ref="J4:O4"/>
    <mergeCell ref="P4:S4"/>
    <mergeCell ref="T4:U4"/>
    <mergeCell ref="V4:X4"/>
    <mergeCell ref="Y4:AB4"/>
    <mergeCell ref="AC4:AD4"/>
    <mergeCell ref="B5:D5"/>
    <mergeCell ref="E5:I5"/>
    <mergeCell ref="J5:O5"/>
    <mergeCell ref="P5:S5"/>
    <mergeCell ref="T5:U5"/>
    <mergeCell ref="V5:X5"/>
    <mergeCell ref="Y5:AB5"/>
    <mergeCell ref="AC5:AD5"/>
    <mergeCell ref="B6:D6"/>
    <mergeCell ref="E6:O6"/>
    <mergeCell ref="P6:U6"/>
    <mergeCell ref="V6:AD6"/>
    <mergeCell ref="B7:D7"/>
    <mergeCell ref="E7:I7"/>
    <mergeCell ref="J7:O7"/>
    <mergeCell ref="P7:S7"/>
    <mergeCell ref="T7:X7"/>
    <mergeCell ref="Y7:AD7"/>
    <mergeCell ref="D8:E8"/>
    <mergeCell ref="F8:G8"/>
    <mergeCell ref="I8:J8"/>
    <mergeCell ref="K8:L8"/>
    <mergeCell ref="M8:N8"/>
    <mergeCell ref="Q8:R8"/>
    <mergeCell ref="S8:T8"/>
    <mergeCell ref="W8:Y8"/>
    <mergeCell ref="Z8:AA8"/>
    <mergeCell ref="AB8:AC8"/>
    <mergeCell ref="B9:G9"/>
    <mergeCell ref="H9:K9"/>
    <mergeCell ref="L9:O9"/>
    <mergeCell ref="P9:U9"/>
    <mergeCell ref="V9:Z9"/>
    <mergeCell ref="AA9:AD9"/>
    <mergeCell ref="B10:D10"/>
    <mergeCell ref="E10:F10"/>
    <mergeCell ref="G10:I10"/>
    <mergeCell ref="J10:K10"/>
    <mergeCell ref="L10:O10"/>
    <mergeCell ref="P10:U10"/>
    <mergeCell ref="V10:AD10"/>
    <mergeCell ref="H11:K11"/>
    <mergeCell ref="L11:O11"/>
    <mergeCell ref="P11:U11"/>
    <mergeCell ref="V11:AD11"/>
    <mergeCell ref="H12:K12"/>
    <mergeCell ref="L12:O12"/>
    <mergeCell ref="P12:U12"/>
    <mergeCell ref="V12:AD12"/>
    <mergeCell ref="B13:O13"/>
    <mergeCell ref="P13:AD13"/>
    <mergeCell ref="B14:O14"/>
    <mergeCell ref="P14:AD14"/>
    <mergeCell ref="B15:G15"/>
    <mergeCell ref="H15:K15"/>
    <mergeCell ref="L15:O15"/>
    <mergeCell ref="P15:U15"/>
    <mergeCell ref="V15:Z15"/>
    <mergeCell ref="AA15:AD15"/>
    <mergeCell ref="B16:G16"/>
    <mergeCell ref="H16:O16"/>
    <mergeCell ref="P16:U16"/>
    <mergeCell ref="V16:AD16"/>
    <mergeCell ref="B17:G17"/>
    <mergeCell ref="H17:M17"/>
    <mergeCell ref="N17:Q17"/>
    <mergeCell ref="R17:W17"/>
    <mergeCell ref="X17:AD17"/>
    <mergeCell ref="B18:O18"/>
    <mergeCell ref="Q18:T18"/>
    <mergeCell ref="U18:AA18"/>
    <mergeCell ref="AB18:AD18"/>
    <mergeCell ref="B19:O19"/>
    <mergeCell ref="Q19:T19"/>
    <mergeCell ref="U19:AA19"/>
    <mergeCell ref="AB19:AD19"/>
    <mergeCell ref="B20:O20"/>
    <mergeCell ref="Q20:T20"/>
    <mergeCell ref="U20:AA20"/>
    <mergeCell ref="AB20:AD20"/>
    <mergeCell ref="B21:O21"/>
    <mergeCell ref="Q21:T21"/>
    <mergeCell ref="U21:AA21"/>
    <mergeCell ref="AB21:AD21"/>
    <mergeCell ref="B22:O22"/>
    <mergeCell ref="Q22:T22"/>
    <mergeCell ref="U22:AA22"/>
    <mergeCell ref="AB22:AD22"/>
    <mergeCell ref="B23:G23"/>
    <mergeCell ref="H23:K23"/>
    <mergeCell ref="L23:O23"/>
    <mergeCell ref="P23:T23"/>
    <mergeCell ref="U23:Y23"/>
    <mergeCell ref="Z23:AD23"/>
    <mergeCell ref="B24:G24"/>
    <mergeCell ref="H24:K24"/>
    <mergeCell ref="L24:O24"/>
    <mergeCell ref="P24:AD24"/>
    <mergeCell ref="B25:G25"/>
    <mergeCell ref="H25:K25"/>
    <mergeCell ref="L25:O25"/>
    <mergeCell ref="P25:T25"/>
    <mergeCell ref="U25:Y25"/>
    <mergeCell ref="Z25:AD25"/>
    <mergeCell ref="B26:G26"/>
    <mergeCell ref="H26:AD26"/>
    <mergeCell ref="B27:AD27"/>
    <mergeCell ref="B28:AD28"/>
    <mergeCell ref="B29:G29"/>
    <mergeCell ref="H29:O29"/>
    <mergeCell ref="P29:Q29"/>
    <mergeCell ref="B30:G30"/>
    <mergeCell ref="H30:O30"/>
    <mergeCell ref="P30:Q30"/>
    <mergeCell ref="B11:G12"/>
    <mergeCell ref="A1:AD2"/>
  </mergeCells>
  <pageMargins left="0" right="0" top="0" bottom="0" header="0.313888888888889" footer="0.313888888888889"/>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7172" name="Check Box 4" r:id="rId3">
              <controlPr defaultSize="0">
                <anchor moveWithCells="1">
                  <from>
                    <xdr:col>9</xdr:col>
                    <xdr:colOff>0</xdr:colOff>
                    <xdr:row>8</xdr:row>
                    <xdr:rowOff>38100</xdr:rowOff>
                  </from>
                  <to>
                    <xdr:col>11</xdr:col>
                    <xdr:colOff>66675</xdr:colOff>
                    <xdr:row>8</xdr:row>
                    <xdr:rowOff>247650</xdr:rowOff>
                  </to>
                </anchor>
              </controlPr>
            </control>
          </mc:Choice>
        </mc:AlternateContent>
        <mc:AlternateContent xmlns:mc="http://schemas.openxmlformats.org/markup-compatibility/2006">
          <mc:Choice Requires="x14">
            <control shapeId="7173" name="Check Box 5" r:id="rId4">
              <controlPr defaultSize="0">
                <anchor moveWithCells="1">
                  <from>
                    <xdr:col>12</xdr:col>
                    <xdr:colOff>95250</xdr:colOff>
                    <xdr:row>8</xdr:row>
                    <xdr:rowOff>38100</xdr:rowOff>
                  </from>
                  <to>
                    <xdr:col>14</xdr:col>
                    <xdr:colOff>19050</xdr:colOff>
                    <xdr:row>8</xdr:row>
                    <xdr:rowOff>247650</xdr:rowOff>
                  </to>
                </anchor>
              </controlPr>
            </control>
          </mc:Choice>
        </mc:AlternateContent>
        <mc:AlternateContent xmlns:mc="http://schemas.openxmlformats.org/markup-compatibility/2006">
          <mc:Choice Requires="x14">
            <control shapeId="7174" name="Check Box 6" r:id="rId5">
              <controlPr defaultSize="0">
                <anchor moveWithCells="1">
                  <from>
                    <xdr:col>24</xdr:col>
                    <xdr:colOff>0</xdr:colOff>
                    <xdr:row>8</xdr:row>
                    <xdr:rowOff>47625</xdr:rowOff>
                  </from>
                  <to>
                    <xdr:col>25</xdr:col>
                    <xdr:colOff>95250</xdr:colOff>
                    <xdr:row>8</xdr:row>
                    <xdr:rowOff>257175</xdr:rowOff>
                  </to>
                </anchor>
              </controlPr>
            </control>
          </mc:Choice>
        </mc:AlternateContent>
        <mc:AlternateContent xmlns:mc="http://schemas.openxmlformats.org/markup-compatibility/2006">
          <mc:Choice Requires="x14">
            <control shapeId="7175" name="Check Box 7" r:id="rId6">
              <controlPr defaultSize="0">
                <anchor moveWithCells="1">
                  <from>
                    <xdr:col>28</xdr:col>
                    <xdr:colOff>28575</xdr:colOff>
                    <xdr:row>8</xdr:row>
                    <xdr:rowOff>47625</xdr:rowOff>
                  </from>
                  <to>
                    <xdr:col>29</xdr:col>
                    <xdr:colOff>38100</xdr:colOff>
                    <xdr:row>8</xdr:row>
                    <xdr:rowOff>257175</xdr:rowOff>
                  </to>
                </anchor>
              </controlPr>
            </control>
          </mc:Choice>
        </mc:AlternateContent>
        <mc:AlternateContent xmlns:mc="http://schemas.openxmlformats.org/markup-compatibility/2006">
          <mc:Choice Requires="x14">
            <control shapeId="7176" name="Check Box 8" r:id="rId7">
              <controlPr defaultSize="0">
                <anchor moveWithCells="1">
                  <from>
                    <xdr:col>9</xdr:col>
                    <xdr:colOff>19050</xdr:colOff>
                    <xdr:row>10</xdr:row>
                    <xdr:rowOff>57150</xdr:rowOff>
                  </from>
                  <to>
                    <xdr:col>11</xdr:col>
                    <xdr:colOff>85725</xdr:colOff>
                    <xdr:row>10</xdr:row>
                    <xdr:rowOff>266700</xdr:rowOff>
                  </to>
                </anchor>
              </controlPr>
            </control>
          </mc:Choice>
        </mc:AlternateContent>
        <mc:AlternateContent xmlns:mc="http://schemas.openxmlformats.org/markup-compatibility/2006">
          <mc:Choice Requires="x14">
            <control shapeId="7178" name="Check Box 10" r:id="rId8">
              <controlPr defaultSize="0">
                <anchor moveWithCells="1">
                  <from>
                    <xdr:col>14</xdr:col>
                    <xdr:colOff>47625</xdr:colOff>
                    <xdr:row>10</xdr:row>
                    <xdr:rowOff>57150</xdr:rowOff>
                  </from>
                  <to>
                    <xdr:col>14</xdr:col>
                    <xdr:colOff>352425</xdr:colOff>
                    <xdr:row>10</xdr:row>
                    <xdr:rowOff>266700</xdr:rowOff>
                  </to>
                </anchor>
              </controlPr>
            </control>
          </mc:Choice>
        </mc:AlternateContent>
        <mc:AlternateContent xmlns:mc="http://schemas.openxmlformats.org/markup-compatibility/2006">
          <mc:Choice Requires="x14">
            <control shapeId="7179" name="Check Box 11" r:id="rId9">
              <controlPr defaultSize="0">
                <anchor moveWithCells="1">
                  <from>
                    <xdr:col>20</xdr:col>
                    <xdr:colOff>47625</xdr:colOff>
                    <xdr:row>10</xdr:row>
                    <xdr:rowOff>57150</xdr:rowOff>
                  </from>
                  <to>
                    <xdr:col>20</xdr:col>
                    <xdr:colOff>352425</xdr:colOff>
                    <xdr:row>10</xdr:row>
                    <xdr:rowOff>266700</xdr:rowOff>
                  </to>
                </anchor>
              </controlPr>
            </control>
          </mc:Choice>
        </mc:AlternateContent>
        <mc:AlternateContent xmlns:mc="http://schemas.openxmlformats.org/markup-compatibility/2006">
          <mc:Choice Requires="x14">
            <control shapeId="7180" name="Check Box 12" r:id="rId10">
              <controlPr defaultSize="0">
                <anchor moveWithCells="1">
                  <from>
                    <xdr:col>28</xdr:col>
                    <xdr:colOff>152400</xdr:colOff>
                    <xdr:row>10</xdr:row>
                    <xdr:rowOff>57150</xdr:rowOff>
                  </from>
                  <to>
                    <xdr:col>29</xdr:col>
                    <xdr:colOff>161925</xdr:colOff>
                    <xdr:row>10</xdr:row>
                    <xdr:rowOff>266700</xdr:rowOff>
                  </to>
                </anchor>
              </controlPr>
            </control>
          </mc:Choice>
        </mc:AlternateContent>
        <mc:AlternateContent xmlns:mc="http://schemas.openxmlformats.org/markup-compatibility/2006">
          <mc:Choice Requires="x14">
            <control shapeId="7181" name="Check Box 13" r:id="rId11">
              <controlPr defaultSize="0">
                <anchor moveWithCells="1">
                  <from>
                    <xdr:col>28</xdr:col>
                    <xdr:colOff>152400</xdr:colOff>
                    <xdr:row>11</xdr:row>
                    <xdr:rowOff>57150</xdr:rowOff>
                  </from>
                  <to>
                    <xdr:col>29</xdr:col>
                    <xdr:colOff>161925</xdr:colOff>
                    <xdr:row>11</xdr:row>
                    <xdr:rowOff>266700</xdr:rowOff>
                  </to>
                </anchor>
              </controlPr>
            </control>
          </mc:Choice>
        </mc:AlternateContent>
        <mc:AlternateContent xmlns:mc="http://schemas.openxmlformats.org/markup-compatibility/2006">
          <mc:Choice Requires="x14">
            <control shapeId="7182" name="Check Box 14" r:id="rId12">
              <controlPr defaultSize="0">
                <anchor moveWithCells="1">
                  <from>
                    <xdr:col>20</xdr:col>
                    <xdr:colOff>57150</xdr:colOff>
                    <xdr:row>11</xdr:row>
                    <xdr:rowOff>57150</xdr:rowOff>
                  </from>
                  <to>
                    <xdr:col>20</xdr:col>
                    <xdr:colOff>361950</xdr:colOff>
                    <xdr:row>11</xdr:row>
                    <xdr:rowOff>266700</xdr:rowOff>
                  </to>
                </anchor>
              </controlPr>
            </control>
          </mc:Choice>
        </mc:AlternateContent>
        <mc:AlternateContent xmlns:mc="http://schemas.openxmlformats.org/markup-compatibility/2006">
          <mc:Choice Requires="x14">
            <control shapeId="7183" name="Check Box 15" r:id="rId13">
              <controlPr defaultSize="0">
                <anchor moveWithCells="1">
                  <from>
                    <xdr:col>14</xdr:col>
                    <xdr:colOff>47625</xdr:colOff>
                    <xdr:row>11</xdr:row>
                    <xdr:rowOff>57150</xdr:rowOff>
                  </from>
                  <to>
                    <xdr:col>14</xdr:col>
                    <xdr:colOff>352425</xdr:colOff>
                    <xdr:row>11</xdr:row>
                    <xdr:rowOff>266700</xdr:rowOff>
                  </to>
                </anchor>
              </controlPr>
            </control>
          </mc:Choice>
        </mc:AlternateContent>
        <mc:AlternateContent xmlns:mc="http://schemas.openxmlformats.org/markup-compatibility/2006">
          <mc:Choice Requires="x14">
            <control shapeId="7184" name="Check Box 16" r:id="rId14">
              <controlPr defaultSize="0">
                <anchor moveWithCells="1">
                  <from>
                    <xdr:col>9</xdr:col>
                    <xdr:colOff>19050</xdr:colOff>
                    <xdr:row>11</xdr:row>
                    <xdr:rowOff>57150</xdr:rowOff>
                  </from>
                  <to>
                    <xdr:col>11</xdr:col>
                    <xdr:colOff>85725</xdr:colOff>
                    <xdr:row>11</xdr:row>
                    <xdr:rowOff>266700</xdr:rowOff>
                  </to>
                </anchor>
              </controlPr>
            </control>
          </mc:Choice>
        </mc:AlternateContent>
        <mc:AlternateContent xmlns:mc="http://schemas.openxmlformats.org/markup-compatibility/2006">
          <mc:Choice Requires="x14">
            <control shapeId="7185" name="Check Box 17" r:id="rId15">
              <controlPr defaultSize="0">
                <anchor moveWithCells="1">
                  <from>
                    <xdr:col>11</xdr:col>
                    <xdr:colOff>38100</xdr:colOff>
                    <xdr:row>16</xdr:row>
                    <xdr:rowOff>57150</xdr:rowOff>
                  </from>
                  <to>
                    <xdr:col>12</xdr:col>
                    <xdr:colOff>104775</xdr:colOff>
                    <xdr:row>16</xdr:row>
                    <xdr:rowOff>266700</xdr:rowOff>
                  </to>
                </anchor>
              </controlPr>
            </control>
          </mc:Choice>
        </mc:AlternateContent>
        <mc:AlternateContent xmlns:mc="http://schemas.openxmlformats.org/markup-compatibility/2006">
          <mc:Choice Requires="x14">
            <control shapeId="7198" name="Check Box 30" r:id="rId16">
              <controlPr defaultSize="0">
                <anchor moveWithCells="1">
                  <from>
                    <xdr:col>29</xdr:col>
                    <xdr:colOff>0</xdr:colOff>
                    <xdr:row>17</xdr:row>
                    <xdr:rowOff>76200</xdr:rowOff>
                  </from>
                  <to>
                    <xdr:col>29</xdr:col>
                    <xdr:colOff>304800</xdr:colOff>
                    <xdr:row>17</xdr:row>
                    <xdr:rowOff>285750</xdr:rowOff>
                  </to>
                </anchor>
              </controlPr>
            </control>
          </mc:Choice>
        </mc:AlternateContent>
        <mc:AlternateContent xmlns:mc="http://schemas.openxmlformats.org/markup-compatibility/2006">
          <mc:Choice Requires="x14">
            <control shapeId="7203" name="Check Box 35" r:id="rId17">
              <controlPr defaultSize="0">
                <anchor moveWithCells="1">
                  <from>
                    <xdr:col>29</xdr:col>
                    <xdr:colOff>0</xdr:colOff>
                    <xdr:row>18</xdr:row>
                    <xdr:rowOff>76200</xdr:rowOff>
                  </from>
                  <to>
                    <xdr:col>29</xdr:col>
                    <xdr:colOff>304800</xdr:colOff>
                    <xdr:row>18</xdr:row>
                    <xdr:rowOff>285750</xdr:rowOff>
                  </to>
                </anchor>
              </controlPr>
            </control>
          </mc:Choice>
        </mc:AlternateContent>
        <mc:AlternateContent xmlns:mc="http://schemas.openxmlformats.org/markup-compatibility/2006">
          <mc:Choice Requires="x14">
            <control shapeId="7204" name="Check Box 36" r:id="rId18">
              <controlPr defaultSize="0">
                <anchor moveWithCells="1">
                  <from>
                    <xdr:col>29</xdr:col>
                    <xdr:colOff>0</xdr:colOff>
                    <xdr:row>19</xdr:row>
                    <xdr:rowOff>76200</xdr:rowOff>
                  </from>
                  <to>
                    <xdr:col>29</xdr:col>
                    <xdr:colOff>304800</xdr:colOff>
                    <xdr:row>19</xdr:row>
                    <xdr:rowOff>285750</xdr:rowOff>
                  </to>
                </anchor>
              </controlPr>
            </control>
          </mc:Choice>
        </mc:AlternateContent>
        <mc:AlternateContent xmlns:mc="http://schemas.openxmlformats.org/markup-compatibility/2006">
          <mc:Choice Requires="x14">
            <control shapeId="7205" name="Check Box 37" r:id="rId19">
              <controlPr defaultSize="0">
                <anchor moveWithCells="1">
                  <from>
                    <xdr:col>29</xdr:col>
                    <xdr:colOff>0</xdr:colOff>
                    <xdr:row>20</xdr:row>
                    <xdr:rowOff>76200</xdr:rowOff>
                  </from>
                  <to>
                    <xdr:col>29</xdr:col>
                    <xdr:colOff>304800</xdr:colOff>
                    <xdr:row>20</xdr:row>
                    <xdr:rowOff>285750</xdr:rowOff>
                  </to>
                </anchor>
              </controlPr>
            </control>
          </mc:Choice>
        </mc:AlternateContent>
        <mc:AlternateContent xmlns:mc="http://schemas.openxmlformats.org/markup-compatibility/2006">
          <mc:Choice Requires="x14">
            <control shapeId="7206" name="Check Box 38" r:id="rId20">
              <controlPr defaultSize="0">
                <anchor moveWithCells="1">
                  <from>
                    <xdr:col>29</xdr:col>
                    <xdr:colOff>0</xdr:colOff>
                    <xdr:row>21</xdr:row>
                    <xdr:rowOff>76200</xdr:rowOff>
                  </from>
                  <to>
                    <xdr:col>29</xdr:col>
                    <xdr:colOff>304800</xdr:colOff>
                    <xdr:row>21</xdr:row>
                    <xdr:rowOff>285750</xdr:rowOff>
                  </to>
                </anchor>
              </controlPr>
            </control>
          </mc:Choice>
        </mc:AlternateContent>
        <mc:AlternateContent xmlns:mc="http://schemas.openxmlformats.org/markup-compatibility/2006">
          <mc:Choice Requires="x14">
            <control shapeId="7207" name="Check Box 39" r:id="rId21">
              <controlPr defaultSize="0">
                <anchor moveWithCells="1">
                  <from>
                    <xdr:col>15</xdr:col>
                    <xdr:colOff>371475</xdr:colOff>
                    <xdr:row>17</xdr:row>
                    <xdr:rowOff>57150</xdr:rowOff>
                  </from>
                  <to>
                    <xdr:col>17</xdr:col>
                    <xdr:colOff>0</xdr:colOff>
                    <xdr:row>17</xdr:row>
                    <xdr:rowOff>266700</xdr:rowOff>
                  </to>
                </anchor>
              </controlPr>
            </control>
          </mc:Choice>
        </mc:AlternateContent>
        <mc:AlternateContent xmlns:mc="http://schemas.openxmlformats.org/markup-compatibility/2006">
          <mc:Choice Requires="x14">
            <control shapeId="7214" name="Check Box 46" r:id="rId22">
              <controlPr defaultSize="0">
                <anchor moveWithCells="1">
                  <from>
                    <xdr:col>15</xdr:col>
                    <xdr:colOff>371475</xdr:colOff>
                    <xdr:row>16</xdr:row>
                    <xdr:rowOff>57150</xdr:rowOff>
                  </from>
                  <to>
                    <xdr:col>17</xdr:col>
                    <xdr:colOff>0</xdr:colOff>
                    <xdr:row>16</xdr:row>
                    <xdr:rowOff>266700</xdr:rowOff>
                  </to>
                </anchor>
              </controlPr>
            </control>
          </mc:Choice>
        </mc:AlternateContent>
        <mc:AlternateContent xmlns:mc="http://schemas.openxmlformats.org/markup-compatibility/2006">
          <mc:Choice Requires="x14">
            <control shapeId="7215" name="Check Box 47" r:id="rId23">
              <controlPr defaultSize="0">
                <anchor moveWithCells="1">
                  <from>
                    <xdr:col>21</xdr:col>
                    <xdr:colOff>28575</xdr:colOff>
                    <xdr:row>16</xdr:row>
                    <xdr:rowOff>57150</xdr:rowOff>
                  </from>
                  <to>
                    <xdr:col>21</xdr:col>
                    <xdr:colOff>333375</xdr:colOff>
                    <xdr:row>16</xdr:row>
                    <xdr:rowOff>266700</xdr:rowOff>
                  </to>
                </anchor>
              </controlPr>
            </control>
          </mc:Choice>
        </mc:AlternateContent>
        <mc:AlternateContent xmlns:mc="http://schemas.openxmlformats.org/markup-compatibility/2006">
          <mc:Choice Requires="x14">
            <control shapeId="7216" name="Check Box 48" r:id="rId24">
              <controlPr defaultSize="0">
                <anchor moveWithCells="1">
                  <from>
                    <xdr:col>28</xdr:col>
                    <xdr:colOff>152400</xdr:colOff>
                    <xdr:row>16</xdr:row>
                    <xdr:rowOff>57150</xdr:rowOff>
                  </from>
                  <to>
                    <xdr:col>29</xdr:col>
                    <xdr:colOff>161925</xdr:colOff>
                    <xdr:row>16</xdr:row>
                    <xdr:rowOff>266700</xdr:rowOff>
                  </to>
                </anchor>
              </controlPr>
            </control>
          </mc:Choice>
        </mc:AlternateContent>
        <mc:AlternateContent xmlns:mc="http://schemas.openxmlformats.org/markup-compatibility/2006">
          <mc:Choice Requires="x14">
            <control shapeId="7217" name="Check Box 49" r:id="rId25">
              <controlPr defaultSize="0">
                <anchor moveWithCells="1">
                  <from>
                    <xdr:col>9</xdr:col>
                    <xdr:colOff>19050</xdr:colOff>
                    <xdr:row>14</xdr:row>
                    <xdr:rowOff>47625</xdr:rowOff>
                  </from>
                  <to>
                    <xdr:col>11</xdr:col>
                    <xdr:colOff>85725</xdr:colOff>
                    <xdr:row>14</xdr:row>
                    <xdr:rowOff>257175</xdr:rowOff>
                  </to>
                </anchor>
              </controlPr>
            </control>
          </mc:Choice>
        </mc:AlternateContent>
        <mc:AlternateContent xmlns:mc="http://schemas.openxmlformats.org/markup-compatibility/2006">
          <mc:Choice Requires="x14">
            <control shapeId="7218" name="Check Box 50" r:id="rId26">
              <controlPr defaultSize="0">
                <anchor moveWithCells="1">
                  <from>
                    <xdr:col>12</xdr:col>
                    <xdr:colOff>66675</xdr:colOff>
                    <xdr:row>14</xdr:row>
                    <xdr:rowOff>47625</xdr:rowOff>
                  </from>
                  <to>
                    <xdr:col>13</xdr:col>
                    <xdr:colOff>57150</xdr:colOff>
                    <xdr:row>14</xdr:row>
                    <xdr:rowOff>257175</xdr:rowOff>
                  </to>
                </anchor>
              </controlPr>
            </control>
          </mc:Choice>
        </mc:AlternateContent>
        <mc:AlternateContent xmlns:mc="http://schemas.openxmlformats.org/markup-compatibility/2006">
          <mc:Choice Requires="x14">
            <control shapeId="7219" name="Check Box 51" r:id="rId27">
              <controlPr defaultSize="0">
                <anchor moveWithCells="1">
                  <from>
                    <xdr:col>15</xdr:col>
                    <xdr:colOff>371475</xdr:colOff>
                    <xdr:row>18</xdr:row>
                    <xdr:rowOff>57150</xdr:rowOff>
                  </from>
                  <to>
                    <xdr:col>17</xdr:col>
                    <xdr:colOff>0</xdr:colOff>
                    <xdr:row>18</xdr:row>
                    <xdr:rowOff>266700</xdr:rowOff>
                  </to>
                </anchor>
              </controlPr>
            </control>
          </mc:Choice>
        </mc:AlternateContent>
        <mc:AlternateContent xmlns:mc="http://schemas.openxmlformats.org/markup-compatibility/2006">
          <mc:Choice Requires="x14">
            <control shapeId="7220" name="Check Box 52" r:id="rId28">
              <controlPr defaultSize="0">
                <anchor moveWithCells="1">
                  <from>
                    <xdr:col>15</xdr:col>
                    <xdr:colOff>371475</xdr:colOff>
                    <xdr:row>19</xdr:row>
                    <xdr:rowOff>57150</xdr:rowOff>
                  </from>
                  <to>
                    <xdr:col>17</xdr:col>
                    <xdr:colOff>0</xdr:colOff>
                    <xdr:row>19</xdr:row>
                    <xdr:rowOff>266700</xdr:rowOff>
                  </to>
                </anchor>
              </controlPr>
            </control>
          </mc:Choice>
        </mc:AlternateContent>
        <mc:AlternateContent xmlns:mc="http://schemas.openxmlformats.org/markup-compatibility/2006">
          <mc:Choice Requires="x14">
            <control shapeId="7221" name="Check Box 53" r:id="rId29">
              <controlPr defaultSize="0">
                <anchor moveWithCells="1">
                  <from>
                    <xdr:col>15</xdr:col>
                    <xdr:colOff>371475</xdr:colOff>
                    <xdr:row>20</xdr:row>
                    <xdr:rowOff>57150</xdr:rowOff>
                  </from>
                  <to>
                    <xdr:col>17</xdr:col>
                    <xdr:colOff>0</xdr:colOff>
                    <xdr:row>20</xdr:row>
                    <xdr:rowOff>266700</xdr:rowOff>
                  </to>
                </anchor>
              </controlPr>
            </control>
          </mc:Choice>
        </mc:AlternateContent>
        <mc:AlternateContent xmlns:mc="http://schemas.openxmlformats.org/markup-compatibility/2006">
          <mc:Choice Requires="x14">
            <control shapeId="7222" name="Check Box 54" r:id="rId30">
              <controlPr defaultSize="0">
                <anchor moveWithCells="1">
                  <from>
                    <xdr:col>15</xdr:col>
                    <xdr:colOff>371475</xdr:colOff>
                    <xdr:row>21</xdr:row>
                    <xdr:rowOff>57150</xdr:rowOff>
                  </from>
                  <to>
                    <xdr:col>17</xdr:col>
                    <xdr:colOff>0</xdr:colOff>
                    <xdr:row>21</xdr:row>
                    <xdr:rowOff>266700</xdr:rowOff>
                  </to>
                </anchor>
              </controlPr>
            </control>
          </mc:Choice>
        </mc:AlternateContent>
        <mc:AlternateContent xmlns:mc="http://schemas.openxmlformats.org/markup-compatibility/2006">
          <mc:Choice Requires="x14">
            <control shapeId="7223" name="Check Box 55" r:id="rId31">
              <controlPr defaultSize="0">
                <anchor moveWithCells="1">
                  <from>
                    <xdr:col>24</xdr:col>
                    <xdr:colOff>0</xdr:colOff>
                    <xdr:row>14</xdr:row>
                    <xdr:rowOff>47625</xdr:rowOff>
                  </from>
                  <to>
                    <xdr:col>25</xdr:col>
                    <xdr:colOff>95250</xdr:colOff>
                    <xdr:row>14</xdr:row>
                    <xdr:rowOff>257175</xdr:rowOff>
                  </to>
                </anchor>
              </controlPr>
            </control>
          </mc:Choice>
        </mc:AlternateContent>
        <mc:AlternateContent xmlns:mc="http://schemas.openxmlformats.org/markup-compatibility/2006">
          <mc:Choice Requires="x14">
            <control shapeId="7224" name="Check Box 56" r:id="rId32">
              <controlPr defaultSize="0">
                <anchor moveWithCells="1">
                  <from>
                    <xdr:col>28</xdr:col>
                    <xdr:colOff>19050</xdr:colOff>
                    <xdr:row>14</xdr:row>
                    <xdr:rowOff>47625</xdr:rowOff>
                  </from>
                  <to>
                    <xdr:col>29</xdr:col>
                    <xdr:colOff>28575</xdr:colOff>
                    <xdr:row>14</xdr:row>
                    <xdr:rowOff>257175</xdr:rowOff>
                  </to>
                </anchor>
              </controlPr>
            </control>
          </mc:Choice>
        </mc:AlternateContent>
        <mc:AlternateContent xmlns:mc="http://schemas.openxmlformats.org/markup-compatibility/2006">
          <mc:Choice Requires="x14">
            <control shapeId="7225" name="Check Box 57" r:id="rId33">
              <controlPr defaultSize="0">
                <anchor moveWithCells="1">
                  <from>
                    <xdr:col>9</xdr:col>
                    <xdr:colOff>38100</xdr:colOff>
                    <xdr:row>22</xdr:row>
                    <xdr:rowOff>47625</xdr:rowOff>
                  </from>
                  <to>
                    <xdr:col>11</xdr:col>
                    <xdr:colOff>104775</xdr:colOff>
                    <xdr:row>22</xdr:row>
                    <xdr:rowOff>257175</xdr:rowOff>
                  </to>
                </anchor>
              </controlPr>
            </control>
          </mc:Choice>
        </mc:AlternateContent>
        <mc:AlternateContent xmlns:mc="http://schemas.openxmlformats.org/markup-compatibility/2006">
          <mc:Choice Requires="x14">
            <control shapeId="7226" name="Check Box 58" r:id="rId34">
              <controlPr defaultSize="0">
                <anchor moveWithCells="1">
                  <from>
                    <xdr:col>14</xdr:col>
                    <xdr:colOff>76200</xdr:colOff>
                    <xdr:row>22</xdr:row>
                    <xdr:rowOff>47625</xdr:rowOff>
                  </from>
                  <to>
                    <xdr:col>15</xdr:col>
                    <xdr:colOff>0</xdr:colOff>
                    <xdr:row>22</xdr:row>
                    <xdr:rowOff>257175</xdr:rowOff>
                  </to>
                </anchor>
              </controlPr>
            </control>
          </mc:Choice>
        </mc:AlternateContent>
        <mc:AlternateContent xmlns:mc="http://schemas.openxmlformats.org/markup-compatibility/2006">
          <mc:Choice Requires="x14">
            <control shapeId="7227" name="Check Box 59" r:id="rId35">
              <controlPr defaultSize="0">
                <anchor moveWithCells="1">
                  <from>
                    <xdr:col>9</xdr:col>
                    <xdr:colOff>38100</xdr:colOff>
                    <xdr:row>23</xdr:row>
                    <xdr:rowOff>47625</xdr:rowOff>
                  </from>
                  <to>
                    <xdr:col>11</xdr:col>
                    <xdr:colOff>104775</xdr:colOff>
                    <xdr:row>23</xdr:row>
                    <xdr:rowOff>257175</xdr:rowOff>
                  </to>
                </anchor>
              </controlPr>
            </control>
          </mc:Choice>
        </mc:AlternateContent>
        <mc:AlternateContent xmlns:mc="http://schemas.openxmlformats.org/markup-compatibility/2006">
          <mc:Choice Requires="x14">
            <control shapeId="7228" name="Check Box 60" r:id="rId36">
              <controlPr defaultSize="0">
                <anchor moveWithCells="1">
                  <from>
                    <xdr:col>14</xdr:col>
                    <xdr:colOff>76200</xdr:colOff>
                    <xdr:row>23</xdr:row>
                    <xdr:rowOff>47625</xdr:rowOff>
                  </from>
                  <to>
                    <xdr:col>15</xdr:col>
                    <xdr:colOff>0</xdr:colOff>
                    <xdr:row>23</xdr:row>
                    <xdr:rowOff>257175</xdr:rowOff>
                  </to>
                </anchor>
              </controlPr>
            </control>
          </mc:Choice>
        </mc:AlternateContent>
        <mc:AlternateContent xmlns:mc="http://schemas.openxmlformats.org/markup-compatibility/2006">
          <mc:Choice Requires="x14">
            <control shapeId="7229" name="Check Box 61" r:id="rId37">
              <controlPr defaultSize="0">
                <anchor moveWithCells="1">
                  <from>
                    <xdr:col>9</xdr:col>
                    <xdr:colOff>38100</xdr:colOff>
                    <xdr:row>24</xdr:row>
                    <xdr:rowOff>47625</xdr:rowOff>
                  </from>
                  <to>
                    <xdr:col>11</xdr:col>
                    <xdr:colOff>104775</xdr:colOff>
                    <xdr:row>24</xdr:row>
                    <xdr:rowOff>257175</xdr:rowOff>
                  </to>
                </anchor>
              </controlPr>
            </control>
          </mc:Choice>
        </mc:AlternateContent>
        <mc:AlternateContent xmlns:mc="http://schemas.openxmlformats.org/markup-compatibility/2006">
          <mc:Choice Requires="x14">
            <control shapeId="7230" name="Check Box 62" r:id="rId38">
              <controlPr defaultSize="0">
                <anchor moveWithCells="1">
                  <from>
                    <xdr:col>14</xdr:col>
                    <xdr:colOff>76200</xdr:colOff>
                    <xdr:row>24</xdr:row>
                    <xdr:rowOff>47625</xdr:rowOff>
                  </from>
                  <to>
                    <xdr:col>15</xdr:col>
                    <xdr:colOff>0</xdr:colOff>
                    <xdr:row>24</xdr:row>
                    <xdr:rowOff>257175</xdr:rowOff>
                  </to>
                </anchor>
              </controlPr>
            </control>
          </mc:Choice>
        </mc:AlternateContent>
        <mc:AlternateContent xmlns:mc="http://schemas.openxmlformats.org/markup-compatibility/2006">
          <mc:Choice Requires="x14">
            <control shapeId="7231" name="Check Box 63" r:id="rId39">
              <controlPr defaultSize="0">
                <anchor moveWithCells="1">
                  <from>
                    <xdr:col>21</xdr:col>
                    <xdr:colOff>352425</xdr:colOff>
                    <xdr:row>3</xdr:row>
                    <xdr:rowOff>47625</xdr:rowOff>
                  </from>
                  <to>
                    <xdr:col>24</xdr:col>
                    <xdr:colOff>95250</xdr:colOff>
                    <xdr:row>3</xdr:row>
                    <xdr:rowOff>257175</xdr:rowOff>
                  </to>
                </anchor>
              </controlPr>
            </control>
          </mc:Choice>
        </mc:AlternateContent>
        <mc:AlternateContent xmlns:mc="http://schemas.openxmlformats.org/markup-compatibility/2006">
          <mc:Choice Requires="x14">
            <control shapeId="7232" name="Check Box 64" r:id="rId40">
              <controlPr defaultSize="0">
                <anchor moveWithCells="1">
                  <from>
                    <xdr:col>26</xdr:col>
                    <xdr:colOff>57150</xdr:colOff>
                    <xdr:row>3</xdr:row>
                    <xdr:rowOff>47625</xdr:rowOff>
                  </from>
                  <to>
                    <xdr:col>28</xdr:col>
                    <xdr:colOff>38100</xdr:colOff>
                    <xdr:row>3</xdr:row>
                    <xdr:rowOff>257175</xdr:rowOff>
                  </to>
                </anchor>
              </controlPr>
            </control>
          </mc:Choice>
        </mc:AlternateContent>
        <mc:AlternateContent xmlns:mc="http://schemas.openxmlformats.org/markup-compatibility/2006">
          <mc:Choice Requires="x14">
            <control shapeId="7233" name="Check Box 65" r:id="rId41">
              <controlPr defaultSize="0">
                <anchor moveWithCells="1">
                  <from>
                    <xdr:col>29</xdr:col>
                    <xdr:colOff>114300</xdr:colOff>
                    <xdr:row>3</xdr:row>
                    <xdr:rowOff>47625</xdr:rowOff>
                  </from>
                  <to>
                    <xdr:col>30</xdr:col>
                    <xdr:colOff>38100</xdr:colOff>
                    <xdr:row>3</xdr:row>
                    <xdr:rowOff>257175</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B1:G35"/>
  <sheetViews>
    <sheetView topLeftCell="A16" workbookViewId="0">
      <selection activeCell="J16" sqref="J16"/>
    </sheetView>
  </sheetViews>
  <sheetFormatPr defaultColWidth="9" defaultRowHeight="13.5" outlineLevelCol="6"/>
  <cols>
    <col min="1" max="1" width="9" style="248"/>
    <col min="2" max="2" width="4" style="248" customWidth="1"/>
    <col min="3" max="3" width="15.75" style="248" customWidth="1"/>
    <col min="4" max="4" width="18.75" style="248" customWidth="1"/>
    <col min="5" max="5" width="14.125" style="248" customWidth="1"/>
    <col min="6" max="6" width="6.625" style="248" customWidth="1"/>
    <col min="7" max="7" width="14" style="248" customWidth="1"/>
    <col min="8" max="8" width="5.625" style="248" customWidth="1"/>
    <col min="9" max="16384" width="9" style="248"/>
  </cols>
  <sheetData>
    <row r="1" ht="27.75" customHeight="1" spans="2:7">
      <c r="D1" s="249" t="s">
        <v>633</v>
      </c>
    </row>
    <row r="2" ht="7.5" customHeight="1"/>
    <row r="3" ht="26.25" customHeight="1" spans="2:7">
      <c r="C3" s="250" t="s">
        <v>634</v>
      </c>
    </row>
    <row r="4" ht="26.25" customHeight="1" spans="2:7">
      <c r="D4" s="251" t="s">
        <v>635</v>
      </c>
    </row>
    <row r="5" ht="6" customHeight="1"/>
    <row r="6" ht="18.75" customHeight="1" spans="2:7">
      <c r="F6" s="252" t="s">
        <v>636</v>
      </c>
      <c r="G6" s="253"/>
    </row>
    <row r="8" ht="21" customHeight="1" spans="2:7">
      <c r="B8" s="254" t="s">
        <v>637</v>
      </c>
    </row>
    <row r="9" ht="15.75" customHeight="1" spans="2:7">
      <c r="B9" s="255" t="s">
        <v>638</v>
      </c>
    </row>
    <row r="10" ht="9" customHeight="1"/>
    <row r="11" ht="18" customHeight="1" spans="2:7">
      <c r="C11" s="256" t="s">
        <v>639</v>
      </c>
    </row>
    <row r="12" ht="15" spans="2:7">
      <c r="C12" s="257" t="s">
        <v>640</v>
      </c>
    </row>
    <row r="13" ht="15" spans="2:7">
      <c r="B13" s="257" t="s">
        <v>641</v>
      </c>
    </row>
    <row r="14" ht="17.25" customHeight="1"/>
    <row r="15" ht="23.25" customHeight="1" spans="2:7">
      <c r="B15" s="258" t="s">
        <v>642</v>
      </c>
      <c r="D15" s="259" t="str">
        <f>'Gen Inb'!I6</f>
        <v>马士基奋进</v>
      </c>
      <c r="E15" s="258" t="s">
        <v>494</v>
      </c>
      <c r="F15" s="259" t="str">
        <f>'Gen Inb'!F8</f>
        <v>巴拿马</v>
      </c>
      <c r="G15" s="259"/>
    </row>
    <row r="16" ht="23.25" customHeight="1" spans="2:7">
      <c r="B16" s="260" t="s">
        <v>643</v>
      </c>
      <c r="D16" s="262" t="str">
        <f>'Gen Inb'!I7</f>
        <v>ERASMUS EFFORT</v>
      </c>
      <c r="E16" s="255" t="s">
        <v>344</v>
      </c>
      <c r="F16" s="262" t="str">
        <f>'Gen Inb'!F9</f>
        <v>PANAMA</v>
      </c>
      <c r="G16" s="262"/>
    </row>
    <row r="17" ht="23.25" customHeight="1" spans="2:7">
      <c r="B17" s="258" t="s">
        <v>644</v>
      </c>
      <c r="D17" s="263" t="str">
        <f>'Gen Inb'!I10</f>
        <v>IMO:1032452</v>
      </c>
      <c r="E17" s="258" t="s">
        <v>645</v>
      </c>
      <c r="F17" s="259" t="s">
        <v>646</v>
      </c>
      <c r="G17" s="259"/>
    </row>
    <row r="18" ht="23.25" customHeight="1" spans="2:7">
      <c r="B18" s="255" t="s">
        <v>647</v>
      </c>
      <c r="D18" s="264"/>
      <c r="E18" s="265" t="s">
        <v>648</v>
      </c>
      <c r="F18" s="262" t="s">
        <v>649</v>
      </c>
      <c r="G18" s="262"/>
    </row>
    <row r="19" ht="23.25" customHeight="1" spans="2:7">
      <c r="B19" s="258" t="s">
        <v>650</v>
      </c>
      <c r="D19" s="259" t="str">
        <f>'Gen Inb'!W8</f>
        <v>胡志明市</v>
      </c>
      <c r="E19" s="258" t="s">
        <v>651</v>
      </c>
      <c r="F19" s="266"/>
      <c r="G19" s="266"/>
    </row>
    <row r="20" ht="23.25" customHeight="1" spans="2:7">
      <c r="B20" s="260" t="s">
        <v>652</v>
      </c>
      <c r="D20" s="262" t="str">
        <f>'Gen Inb'!W9</f>
        <v>HO CHI MINH CITY</v>
      </c>
      <c r="E20" s="267" t="s">
        <v>653</v>
      </c>
      <c r="F20" s="264" t="s">
        <v>423</v>
      </c>
      <c r="G20" s="264"/>
    </row>
    <row r="21" ht="23.25" customHeight="1" spans="2:7">
      <c r="B21" s="258" t="s">
        <v>654</v>
      </c>
      <c r="D21" s="259" t="str">
        <f>'Gen Inb'!S6</f>
        <v>南沙新港</v>
      </c>
      <c r="E21" s="258" t="s">
        <v>655</v>
      </c>
      <c r="G21" s="268">
        <f>'Gen Inb'!X6</f>
        <v>46238</v>
      </c>
    </row>
    <row r="22" ht="23.25" customHeight="1" spans="2:7">
      <c r="B22" s="269" t="s">
        <v>656</v>
      </c>
      <c r="D22" s="262" t="str">
        <f>'Gen Inb'!S7</f>
        <v>NANSHA NEW PORT</v>
      </c>
      <c r="E22" s="269" t="s">
        <v>657</v>
      </c>
      <c r="G22" s="264"/>
    </row>
    <row r="23" ht="23.25" customHeight="1" spans="2:7">
      <c r="B23" s="258" t="s">
        <v>563</v>
      </c>
      <c r="D23" s="263">
        <f>'Gen Inb'!E12</f>
        <v>9562</v>
      </c>
      <c r="E23" s="258" t="s">
        <v>658</v>
      </c>
      <c r="G23" s="263" t="s">
        <v>423</v>
      </c>
    </row>
    <row r="24" ht="23.25" customHeight="1" spans="2:7">
      <c r="B24" s="255" t="s">
        <v>659</v>
      </c>
      <c r="D24" s="264"/>
      <c r="E24" s="267" t="s">
        <v>660</v>
      </c>
      <c r="G24" s="264"/>
    </row>
    <row r="25" ht="23.25" customHeight="1" spans="2:7">
      <c r="B25" s="258" t="s">
        <v>15</v>
      </c>
      <c r="D25" s="259" t="s">
        <v>661</v>
      </c>
      <c r="E25" s="258" t="s">
        <v>662</v>
      </c>
      <c r="G25" s="270">
        <f>'Gen Inb'!P12</f>
        <v>0</v>
      </c>
    </row>
    <row r="26" ht="23.25" customHeight="1" spans="2:7">
      <c r="B26" s="255" t="s">
        <v>663</v>
      </c>
      <c r="D26" s="261" t="s">
        <v>664</v>
      </c>
      <c r="E26" s="269" t="s">
        <v>665</v>
      </c>
      <c r="G26" s="262" t="str">
        <f>IF(G25="广州联合国际船舶代理有限公司","UNISCOGZ","")</f>
        <v/>
      </c>
    </row>
    <row r="27" ht="23.25" customHeight="1" spans="2:7">
      <c r="B27" s="258" t="s">
        <v>666</v>
      </c>
      <c r="D27" s="266">
        <f>'Gen Inb'!V12</f>
        <v>0</v>
      </c>
      <c r="E27" s="258" t="s">
        <v>667</v>
      </c>
      <c r="F27" s="271">
        <f>'Gen Inb'!V14</f>
        <v>0</v>
      </c>
      <c r="G27" s="271"/>
    </row>
    <row r="28" ht="23.25" customHeight="1" spans="2:7">
      <c r="B28" s="255" t="s">
        <v>665</v>
      </c>
      <c r="D28" s="272"/>
      <c r="E28" s="255" t="s">
        <v>668</v>
      </c>
      <c r="F28" s="264"/>
      <c r="G28" s="264"/>
    </row>
    <row r="29" ht="23.25" customHeight="1" spans="2:7">
      <c r="B29" s="255" t="s">
        <v>669</v>
      </c>
      <c r="D29" s="263"/>
      <c r="E29" s="273" t="s">
        <v>670</v>
      </c>
      <c r="G29" s="268">
        <f ca="1">TODAY()</f>
        <v>46236</v>
      </c>
    </row>
    <row r="30" ht="23.25" customHeight="1" spans="2:7">
      <c r="B30" s="255" t="s">
        <v>671</v>
      </c>
      <c r="D30" s="264"/>
      <c r="E30" s="267" t="s">
        <v>672</v>
      </c>
      <c r="G30" s="264"/>
    </row>
    <row r="31" ht="23.25" customHeight="1"/>
    <row r="32" ht="23.25" customHeight="1" spans="2:7">
      <c r="C32" s="274" t="s">
        <v>673</v>
      </c>
      <c r="D32" s="275" t="s">
        <v>674</v>
      </c>
      <c r="E32" s="276" t="s">
        <v>675</v>
      </c>
      <c r="F32" s="277" t="s">
        <v>676</v>
      </c>
      <c r="G32" s="278"/>
    </row>
    <row r="33" ht="23.25" customHeight="1" spans="2:7">
      <c r="C33" s="279" t="s">
        <v>677</v>
      </c>
      <c r="D33" s="280" t="s">
        <v>678</v>
      </c>
      <c r="E33" s="281" t="s">
        <v>679</v>
      </c>
      <c r="F33" s="282" t="s">
        <v>680</v>
      </c>
      <c r="G33" s="283"/>
    </row>
    <row r="34" ht="23.25" customHeight="1" spans="2:7">
      <c r="B34" s="248" t="s">
        <v>681</v>
      </c>
      <c r="F34" s="248" t="s">
        <v>682</v>
      </c>
    </row>
    <row r="35" ht="23.25" customHeight="1"/>
  </sheetData>
  <mergeCells count="16">
    <mergeCell ref="F15:G15"/>
    <mergeCell ref="F16:G16"/>
    <mergeCell ref="F17:G17"/>
    <mergeCell ref="F18:G18"/>
    <mergeCell ref="F19:G19"/>
    <mergeCell ref="F20:G20"/>
    <mergeCell ref="F32:G32"/>
    <mergeCell ref="F33:G33"/>
    <mergeCell ref="D17:D18"/>
    <mergeCell ref="D23:D24"/>
    <mergeCell ref="D27:D28"/>
    <mergeCell ref="D29:D30"/>
    <mergeCell ref="G21:G22"/>
    <mergeCell ref="G23:G24"/>
    <mergeCell ref="G29:G30"/>
    <mergeCell ref="F27:G28"/>
  </mergeCells>
  <pageMargins left="0.235416666666667" right="0.235416666666667" top="0.747916666666667" bottom="0.747916666666667" header="0.313888888888889" footer="0.313888888888889"/>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B1:G35"/>
  <sheetViews>
    <sheetView topLeftCell="A22" workbookViewId="0">
      <selection activeCell="J9" sqref="J9"/>
    </sheetView>
  </sheetViews>
  <sheetFormatPr defaultColWidth="9" defaultRowHeight="13.5" outlineLevelCol="6"/>
  <cols>
    <col min="1" max="1" width="9" style="248"/>
    <col min="2" max="2" width="4" style="248" customWidth="1"/>
    <col min="3" max="3" width="15.75" style="248" customWidth="1"/>
    <col min="4" max="4" width="22.625" style="248" customWidth="1"/>
    <col min="5" max="5" width="14.125" style="248" customWidth="1"/>
    <col min="6" max="6" width="6.625" style="248" customWidth="1"/>
    <col min="7" max="7" width="14" style="248" customWidth="1"/>
    <col min="8" max="8" width="5.625" style="248" customWidth="1"/>
    <col min="9" max="16384" width="9" style="248"/>
  </cols>
  <sheetData>
    <row r="1" ht="27.75" customHeight="1" spans="2:7">
      <c r="D1" s="249" t="s">
        <v>683</v>
      </c>
    </row>
    <row r="2" ht="7.5" customHeight="1"/>
    <row r="3" ht="26.25" customHeight="1" spans="2:7">
      <c r="C3" s="250" t="s">
        <v>634</v>
      </c>
    </row>
    <row r="4" ht="26.25" customHeight="1" spans="2:7">
      <c r="D4" s="251" t="s">
        <v>684</v>
      </c>
    </row>
    <row r="5" ht="6" customHeight="1"/>
    <row r="6" ht="18.75" customHeight="1" spans="2:7">
      <c r="F6" s="252" t="s">
        <v>636</v>
      </c>
      <c r="G6" s="253"/>
    </row>
    <row r="8" ht="21" customHeight="1" spans="2:7">
      <c r="B8" s="254" t="s">
        <v>637</v>
      </c>
    </row>
    <row r="9" ht="15.75" customHeight="1" spans="2:7">
      <c r="B9" s="255" t="s">
        <v>638</v>
      </c>
    </row>
    <row r="10" ht="9" customHeight="1"/>
    <row r="11" ht="18" customHeight="1" spans="2:7">
      <c r="C11" s="256" t="s">
        <v>685</v>
      </c>
    </row>
    <row r="12" ht="15" spans="2:7">
      <c r="C12" s="257" t="s">
        <v>686</v>
      </c>
    </row>
    <row r="13" ht="15" spans="2:7">
      <c r="B13" s="257" t="s">
        <v>687</v>
      </c>
    </row>
    <row r="14" ht="17.25" customHeight="1"/>
    <row r="15" ht="23.25" customHeight="1" spans="2:7">
      <c r="B15" s="258" t="s">
        <v>642</v>
      </c>
      <c r="D15" s="259" t="str">
        <f>'Gen Inb'!I6</f>
        <v>马士基奋进</v>
      </c>
      <c r="E15" s="258" t="s">
        <v>494</v>
      </c>
      <c r="F15" s="259" t="str">
        <f>'Gen Inb'!F8</f>
        <v>巴拿马</v>
      </c>
      <c r="G15" s="259"/>
    </row>
    <row r="16" ht="23.25" customHeight="1" spans="2:7">
      <c r="B16" s="260" t="s">
        <v>643</v>
      </c>
      <c r="D16" s="261" t="str">
        <f>'Gen Inb'!I7</f>
        <v>ERASMUS EFFORT</v>
      </c>
      <c r="E16" s="255" t="s">
        <v>344</v>
      </c>
      <c r="F16" s="262" t="str">
        <f>'Gen Inb'!F9</f>
        <v>PANAMA</v>
      </c>
      <c r="G16" s="262"/>
    </row>
    <row r="17" ht="23.25" customHeight="1" spans="2:7">
      <c r="B17" s="258" t="s">
        <v>644</v>
      </c>
      <c r="D17" s="263" t="str">
        <f>'Gen Inb'!I10</f>
        <v>IMO:1032452</v>
      </c>
      <c r="E17" s="258" t="s">
        <v>645</v>
      </c>
      <c r="F17" s="259" t="s">
        <v>646</v>
      </c>
      <c r="G17" s="259"/>
    </row>
    <row r="18" ht="23.25" customHeight="1" spans="2:7">
      <c r="B18" s="255" t="s">
        <v>647</v>
      </c>
      <c r="D18" s="264"/>
      <c r="E18" s="265" t="s">
        <v>648</v>
      </c>
      <c r="F18" s="262" t="s">
        <v>649</v>
      </c>
      <c r="G18" s="262"/>
    </row>
    <row r="19" ht="23.25" customHeight="1" spans="2:7">
      <c r="B19" s="258" t="s">
        <v>650</v>
      </c>
      <c r="D19" s="259" t="str">
        <f>'Gen Outb'!S6</f>
        <v>南沙新港</v>
      </c>
      <c r="E19" s="258" t="s">
        <v>651</v>
      </c>
      <c r="F19" s="266"/>
      <c r="G19" s="266"/>
    </row>
    <row r="20" ht="23.25" customHeight="1" spans="2:7">
      <c r="B20" s="260" t="s">
        <v>652</v>
      </c>
      <c r="D20" s="262" t="str">
        <f>'Gen Outb'!S7</f>
        <v>NANSHA NEW PORT</v>
      </c>
      <c r="E20" s="267" t="s">
        <v>653</v>
      </c>
      <c r="F20" s="264" t="s">
        <v>423</v>
      </c>
      <c r="G20" s="264"/>
    </row>
    <row r="21" ht="23.25" customHeight="1" spans="2:7">
      <c r="B21" s="258" t="s">
        <v>654</v>
      </c>
      <c r="D21" s="259" t="str">
        <f>'Gen Outb'!W8</f>
        <v>胡志明市</v>
      </c>
      <c r="E21" s="258" t="s">
        <v>688</v>
      </c>
      <c r="G21" s="268">
        <f>'Gen Outb'!X6</f>
        <v>44160</v>
      </c>
    </row>
    <row r="22" ht="23.25" customHeight="1" spans="2:7">
      <c r="B22" s="269" t="s">
        <v>656</v>
      </c>
      <c r="D22" s="262" t="str">
        <f>'Gen Outb'!W9</f>
        <v>HO CHI MINH CITY</v>
      </c>
      <c r="E22" s="260" t="s">
        <v>689</v>
      </c>
      <c r="G22" s="264"/>
    </row>
    <row r="23" ht="23.25" customHeight="1" spans="2:7">
      <c r="B23" s="258" t="s">
        <v>563</v>
      </c>
      <c r="D23" s="263">
        <f>'Gen Inb'!E12</f>
        <v>9562</v>
      </c>
      <c r="E23" s="258" t="s">
        <v>658</v>
      </c>
      <c r="G23" s="263" t="s">
        <v>423</v>
      </c>
    </row>
    <row r="24" ht="23.25" customHeight="1" spans="2:7">
      <c r="B24" s="255" t="s">
        <v>659</v>
      </c>
      <c r="D24" s="264"/>
      <c r="E24" s="267" t="s">
        <v>660</v>
      </c>
      <c r="G24" s="264"/>
    </row>
    <row r="25" ht="23.25" customHeight="1" spans="2:7">
      <c r="B25" s="258" t="s">
        <v>15</v>
      </c>
      <c r="D25" s="259" t="s">
        <v>661</v>
      </c>
      <c r="E25" s="258" t="s">
        <v>662</v>
      </c>
      <c r="G25" s="270">
        <f>'Gen Inb'!P12</f>
        <v>0</v>
      </c>
    </row>
    <row r="26" ht="23.25" customHeight="1" spans="2:7">
      <c r="B26" s="255" t="s">
        <v>663</v>
      </c>
      <c r="D26" s="261" t="s">
        <v>664</v>
      </c>
      <c r="E26" s="269" t="s">
        <v>665</v>
      </c>
      <c r="G26" s="262" t="str">
        <f>IF(G25="广州联合国际船舶代理有限公司","UNISCOGZ","")</f>
        <v/>
      </c>
    </row>
    <row r="27" ht="23.25" customHeight="1" spans="2:7">
      <c r="B27" s="258" t="s">
        <v>666</v>
      </c>
      <c r="D27" s="266">
        <f>'Gen Inb'!V12</f>
        <v>0</v>
      </c>
      <c r="E27" s="258" t="s">
        <v>667</v>
      </c>
      <c r="F27" s="271">
        <f>'Gen Inb'!V14</f>
        <v>0</v>
      </c>
      <c r="G27" s="271"/>
    </row>
    <row r="28" ht="23.25" customHeight="1" spans="2:7">
      <c r="B28" s="269" t="s">
        <v>665</v>
      </c>
      <c r="D28" s="272"/>
      <c r="E28" s="255" t="s">
        <v>668</v>
      </c>
      <c r="F28" s="264"/>
      <c r="G28" s="264"/>
    </row>
    <row r="29" ht="23.25" customHeight="1" spans="2:7">
      <c r="B29" s="255" t="s">
        <v>669</v>
      </c>
      <c r="D29" s="263"/>
      <c r="E29" s="273" t="s">
        <v>670</v>
      </c>
      <c r="G29" s="268">
        <f ca="1">TODAY()</f>
        <v>46236</v>
      </c>
    </row>
    <row r="30" ht="23.25" customHeight="1" spans="2:7">
      <c r="B30" s="255" t="s">
        <v>671</v>
      </c>
      <c r="D30" s="264"/>
      <c r="E30" s="260" t="s">
        <v>672</v>
      </c>
      <c r="G30" s="264"/>
    </row>
    <row r="31" ht="23.25" customHeight="1"/>
    <row r="32" ht="23.25" customHeight="1" spans="2:7">
      <c r="C32" s="274" t="s">
        <v>673</v>
      </c>
      <c r="D32" s="275" t="s">
        <v>674</v>
      </c>
      <c r="E32" s="276" t="s">
        <v>675</v>
      </c>
      <c r="F32" s="277" t="s">
        <v>676</v>
      </c>
      <c r="G32" s="278"/>
    </row>
    <row r="33" ht="23.25" customHeight="1" spans="2:7">
      <c r="C33" s="279" t="s">
        <v>677</v>
      </c>
      <c r="D33" s="280" t="s">
        <v>678</v>
      </c>
      <c r="E33" s="281" t="s">
        <v>679</v>
      </c>
      <c r="F33" s="282" t="s">
        <v>680</v>
      </c>
      <c r="G33" s="283"/>
    </row>
    <row r="34" ht="23.25" customHeight="1" spans="2:7">
      <c r="B34" s="248" t="s">
        <v>681</v>
      </c>
      <c r="F34" s="248" t="s">
        <v>682</v>
      </c>
    </row>
    <row r="35" ht="23.25" customHeight="1"/>
  </sheetData>
  <mergeCells count="16">
    <mergeCell ref="F15:G15"/>
    <mergeCell ref="F16:G16"/>
    <mergeCell ref="F17:G17"/>
    <mergeCell ref="F18:G18"/>
    <mergeCell ref="F19:G19"/>
    <mergeCell ref="F20:G20"/>
    <mergeCell ref="F32:G32"/>
    <mergeCell ref="F33:G33"/>
    <mergeCell ref="D17:D18"/>
    <mergeCell ref="D23:D24"/>
    <mergeCell ref="D27:D28"/>
    <mergeCell ref="D29:D30"/>
    <mergeCell ref="G21:G22"/>
    <mergeCell ref="G23:G24"/>
    <mergeCell ref="G29:G30"/>
    <mergeCell ref="F27:G28"/>
  </mergeCells>
  <pageMargins left="0.25" right="0.25" top="0.75" bottom="0.75" header="0.3" footer="0.3"/>
  <pageSetup paperSize="9"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B1:O25"/>
  <sheetViews>
    <sheetView topLeftCell="A25" workbookViewId="0">
      <selection activeCell="H37" sqref="H37"/>
    </sheetView>
  </sheetViews>
  <sheetFormatPr defaultColWidth="9" defaultRowHeight="28.5" customHeight="1"/>
  <cols>
    <col min="1" max="1" width="3" style="204" customWidth="1"/>
    <col min="2" max="2" width="9" style="204"/>
    <col min="3" max="3" width="18.25" style="204" customWidth="1"/>
    <col min="4" max="4" width="6.375" style="204" customWidth="1"/>
    <col min="5" max="6" width="12.375" style="204" customWidth="1"/>
    <col min="7" max="7" width="6.125" style="204" customWidth="1"/>
    <col min="8" max="8" width="19.625" style="204" customWidth="1"/>
    <col min="9" max="16384" width="9" style="204"/>
  </cols>
  <sheetData>
    <row r="1" customHeight="1" spans="2:15">
      <c r="E1" s="205" t="s">
        <v>690</v>
      </c>
    </row>
    <row r="2" customHeight="1" spans="2:15">
      <c r="E2" s="206" t="s">
        <v>691</v>
      </c>
    </row>
    <row r="4" customHeight="1" spans="2:15">
      <c r="G4" s="207" t="s">
        <v>556</v>
      </c>
      <c r="H4" s="208"/>
    </row>
    <row r="5" ht="13.5" customHeight="1"/>
    <row r="6" customHeight="1" spans="2:15">
      <c r="B6" s="209" t="s">
        <v>692</v>
      </c>
      <c r="C6" s="210" t="s">
        <v>693</v>
      </c>
      <c r="D6" s="211"/>
      <c r="E6" s="211"/>
      <c r="F6" s="211" t="s">
        <v>694</v>
      </c>
      <c r="G6" s="211"/>
      <c r="H6" s="212"/>
    </row>
    <row r="7" customHeight="1" spans="2:15">
      <c r="B7" s="213"/>
      <c r="C7" s="214" t="s">
        <v>695</v>
      </c>
      <c r="D7" s="214"/>
      <c r="E7" s="214" t="s">
        <v>696</v>
      </c>
      <c r="F7" s="214"/>
      <c r="G7" s="214" t="s">
        <v>697</v>
      </c>
      <c r="H7" s="215"/>
      <c r="O7" s="204" t="s">
        <v>698</v>
      </c>
    </row>
    <row r="8" customHeight="1" spans="2:15">
      <c r="B8" s="213"/>
      <c r="C8" s="216" t="s">
        <v>699</v>
      </c>
      <c r="D8" s="217"/>
      <c r="E8" s="217"/>
      <c r="F8" s="217"/>
      <c r="G8" s="217"/>
      <c r="H8" s="218"/>
    </row>
    <row r="9" customHeight="1" spans="2:15">
      <c r="B9" s="219"/>
      <c r="C9" s="220" t="s">
        <v>700</v>
      </c>
      <c r="D9" s="220"/>
      <c r="E9" s="220"/>
      <c r="F9" s="220" t="s">
        <v>694</v>
      </c>
      <c r="G9" s="220"/>
      <c r="H9" s="221"/>
    </row>
    <row r="10" customHeight="1" spans="2:15">
      <c r="B10" s="222" t="s">
        <v>701</v>
      </c>
      <c r="C10" s="223"/>
      <c r="D10" s="223"/>
      <c r="E10" s="223"/>
      <c r="F10" s="223"/>
      <c r="G10" s="223"/>
      <c r="H10" s="224" t="s">
        <v>702</v>
      </c>
    </row>
    <row r="11" customHeight="1" spans="2:15">
      <c r="B11" s="225" t="s">
        <v>703</v>
      </c>
      <c r="C11" s="226"/>
      <c r="D11" s="226"/>
      <c r="E11" s="226"/>
      <c r="F11" s="226"/>
      <c r="G11" s="226"/>
      <c r="H11" s="227"/>
    </row>
    <row r="12" customHeight="1" spans="2:15">
      <c r="B12" s="228" t="s">
        <v>704</v>
      </c>
      <c r="C12" s="229"/>
      <c r="D12" s="229"/>
      <c r="E12" s="229"/>
      <c r="F12" s="229"/>
      <c r="G12" s="229"/>
      <c r="H12" s="230" t="s">
        <v>702</v>
      </c>
    </row>
    <row r="13" customHeight="1" spans="2:15">
      <c r="B13" s="231" t="s">
        <v>705</v>
      </c>
      <c r="C13" s="232"/>
      <c r="D13" s="233"/>
      <c r="E13" s="233"/>
      <c r="F13" s="233"/>
      <c r="G13" s="233"/>
      <c r="H13" s="234"/>
    </row>
    <row r="14" customHeight="1" spans="2:15">
      <c r="B14" s="213"/>
      <c r="C14" s="235"/>
      <c r="D14" s="236"/>
      <c r="E14" s="236"/>
      <c r="F14" s="236"/>
      <c r="G14" s="236"/>
      <c r="H14" s="237"/>
    </row>
    <row r="15" customHeight="1" spans="2:15">
      <c r="B15" s="213"/>
      <c r="C15" s="235"/>
      <c r="D15" s="236"/>
      <c r="E15" s="236"/>
      <c r="F15" s="236"/>
      <c r="G15" s="236"/>
      <c r="H15" s="237"/>
    </row>
    <row r="16" customHeight="1" spans="2:15">
      <c r="B16" s="213"/>
      <c r="C16" s="235"/>
      <c r="D16" s="236"/>
      <c r="E16" s="236"/>
      <c r="F16" s="236"/>
      <c r="G16" s="236"/>
      <c r="H16" s="237"/>
    </row>
    <row r="17" customHeight="1" spans="2:8">
      <c r="B17" s="213"/>
      <c r="C17" s="235"/>
      <c r="D17" s="236"/>
      <c r="E17" s="236"/>
      <c r="F17" s="236"/>
      <c r="G17" s="236"/>
      <c r="H17" s="237"/>
    </row>
    <row r="18" customHeight="1" spans="2:8">
      <c r="B18" s="213"/>
      <c r="C18" s="235"/>
      <c r="D18" s="236"/>
      <c r="E18" s="236"/>
      <c r="F18" s="236"/>
      <c r="G18" s="236"/>
      <c r="H18" s="237"/>
    </row>
    <row r="19" customHeight="1" spans="2:8">
      <c r="B19" s="213"/>
      <c r="C19" s="235"/>
      <c r="D19" s="236"/>
      <c r="E19" s="236"/>
      <c r="F19" s="236"/>
      <c r="G19" s="236"/>
      <c r="H19" s="237"/>
    </row>
    <row r="20" customHeight="1" spans="2:8">
      <c r="B20" s="213"/>
      <c r="C20" s="235"/>
      <c r="D20" s="236"/>
      <c r="E20" s="236"/>
      <c r="F20" s="236"/>
      <c r="G20" s="236"/>
      <c r="H20" s="237"/>
    </row>
    <row r="21" customHeight="1" spans="2:8">
      <c r="B21" s="213"/>
      <c r="C21" s="235"/>
      <c r="D21" s="236"/>
      <c r="E21" s="236"/>
      <c r="F21" s="236"/>
      <c r="G21" s="236"/>
      <c r="H21" s="237"/>
    </row>
    <row r="22" customHeight="1" spans="2:8">
      <c r="B22" s="238"/>
      <c r="C22" s="239"/>
      <c r="D22" s="240"/>
      <c r="E22" s="240"/>
      <c r="F22" s="240"/>
      <c r="G22" s="240"/>
      <c r="H22" s="241"/>
    </row>
    <row r="23" customHeight="1" spans="2:8">
      <c r="B23" s="242" t="s">
        <v>706</v>
      </c>
      <c r="C23" s="243"/>
      <c r="D23" s="243" t="s">
        <v>702</v>
      </c>
      <c r="E23" s="243"/>
      <c r="F23" s="244" t="s">
        <v>707</v>
      </c>
      <c r="G23" s="245"/>
      <c r="H23" s="246"/>
    </row>
    <row r="24" customHeight="1" spans="2:8">
      <c r="B24" s="222" t="s">
        <v>708</v>
      </c>
      <c r="C24" s="223"/>
      <c r="D24" s="223" t="s">
        <v>702</v>
      </c>
      <c r="E24" s="223"/>
      <c r="F24" s="222"/>
      <c r="G24" s="223"/>
      <c r="H24" s="224"/>
    </row>
    <row r="25" customHeight="1" spans="2:8">
      <c r="B25" s="207" t="s">
        <v>709</v>
      </c>
      <c r="C25" s="247" t="s">
        <v>710</v>
      </c>
    </row>
  </sheetData>
  <mergeCells count="18">
    <mergeCell ref="D6:E6"/>
    <mergeCell ref="F6:G6"/>
    <mergeCell ref="C7:D7"/>
    <mergeCell ref="E7:F7"/>
    <mergeCell ref="G7:H7"/>
    <mergeCell ref="C8:H8"/>
    <mergeCell ref="D9:E9"/>
    <mergeCell ref="F9:G9"/>
    <mergeCell ref="C10:G10"/>
    <mergeCell ref="B11:H11"/>
    <mergeCell ref="C12:G12"/>
    <mergeCell ref="D23:E23"/>
    <mergeCell ref="F23:H23"/>
    <mergeCell ref="D24:E24"/>
    <mergeCell ref="F24:H24"/>
    <mergeCell ref="B6:B9"/>
    <mergeCell ref="B13:B22"/>
    <mergeCell ref="C13:H22"/>
  </mergeCells>
  <pageMargins left="0.699305555555556" right="0.699305555555556"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pageSetUpPr fitToPage="1"/>
  </sheetPr>
  <dimension ref="C1:K6"/>
  <sheetViews>
    <sheetView workbookViewId="0">
      <selection activeCell="M10" sqref="M10"/>
    </sheetView>
  </sheetViews>
  <sheetFormatPr defaultColWidth="9" defaultRowHeight="30" customHeight="1" outlineLevelRow="5"/>
  <cols>
    <col min="1" max="1" width="9" style="196"/>
    <col min="2" max="2" width="3.75" style="196" customWidth="1"/>
    <col min="3" max="16384" width="9" style="196"/>
  </cols>
  <sheetData>
    <row r="1" ht="52.5" customHeight="1"/>
    <row r="2" ht="37.5" customHeight="1" spans="3:11">
      <c r="C2" s="197" t="s">
        <v>711</v>
      </c>
      <c r="H2" s="62"/>
    </row>
    <row r="3" customHeight="1" spans="3:11">
      <c r="C3" s="198"/>
      <c r="D3" s="199" t="str">
        <f>'Gen Inb'!I6</f>
        <v>马士基奋进</v>
      </c>
      <c r="E3" s="199"/>
      <c r="F3" s="199"/>
      <c r="G3" s="199"/>
      <c r="H3" s="199" t="str">
        <f>'Gen Inb'!F8</f>
        <v>巴拿马</v>
      </c>
      <c r="I3" s="199"/>
      <c r="J3" s="199"/>
      <c r="K3" s="199"/>
    </row>
    <row r="4" customHeight="1" spans="3:11">
      <c r="C4" s="198"/>
      <c r="D4" s="199"/>
      <c r="E4" s="199"/>
      <c r="F4" s="199"/>
      <c r="G4" s="199"/>
      <c r="H4" s="199"/>
      <c r="I4" s="199"/>
      <c r="J4" s="199"/>
      <c r="K4" s="199"/>
    </row>
    <row r="5" customHeight="1" spans="3:11">
      <c r="C5" s="200"/>
      <c r="D5" s="201" t="str">
        <f>'Gen Inb'!I7</f>
        <v>ERASMUS EFFORT</v>
      </c>
      <c r="E5" s="201"/>
      <c r="F5" s="201"/>
      <c r="G5" s="202"/>
      <c r="H5" s="203" t="str">
        <f>'Gen Inb'!K14</f>
        <v>二期W</v>
      </c>
      <c r="I5" s="203"/>
      <c r="J5" s="203"/>
      <c r="K5" s="203"/>
    </row>
    <row r="6" customHeight="1" spans="3:11">
      <c r="C6" s="200"/>
      <c r="D6" s="201"/>
      <c r="E6" s="201"/>
      <c r="F6" s="201"/>
      <c r="G6" s="202"/>
      <c r="H6" s="203"/>
      <c r="I6" s="203"/>
      <c r="J6" s="203"/>
      <c r="K6" s="203"/>
    </row>
  </sheetData>
  <mergeCells count="4">
    <mergeCell ref="D3:F4"/>
    <mergeCell ref="H3:K4"/>
    <mergeCell ref="D5:F6"/>
    <mergeCell ref="H5:K6"/>
  </mergeCells>
  <pageMargins left="0.707638888888889" right="0.707638888888889" top="0.747916666666667" bottom="0.747916666666667" header="0.313888888888889" footer="0.313888888888889"/>
  <pageSetup paperSize="9" scale="95"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B1:L27"/>
  <sheetViews>
    <sheetView topLeftCell="A7" workbookViewId="0">
      <selection activeCell="N10" sqref="N10"/>
    </sheetView>
  </sheetViews>
  <sheetFormatPr defaultColWidth="9" defaultRowHeight="15.75"/>
  <cols>
    <col min="1" max="1" width="9" style="180"/>
    <col min="2" max="2" width="8.5" style="180" customWidth="1"/>
    <col min="3" max="3" width="8.625" style="180" customWidth="1"/>
    <col min="4" max="4" width="9" style="180"/>
    <col min="5" max="5" width="5.125" style="180" customWidth="1"/>
    <col min="6" max="6" width="6.625" style="180" customWidth="1"/>
    <col min="7" max="7" width="2.75" style="180" customWidth="1"/>
    <col min="8" max="8" width="7.875" style="180" customWidth="1"/>
    <col min="9" max="9" width="6.625" style="180" customWidth="1"/>
    <col min="10" max="10" width="7.125" style="180" customWidth="1"/>
    <col min="11" max="11" width="7.5" style="180" customWidth="1"/>
    <col min="12" max="12" width="6.75" style="180" customWidth="1"/>
    <col min="13" max="16384" width="9" style="180"/>
  </cols>
  <sheetData>
    <row r="1" ht="28.5" customHeight="1"/>
    <row r="2" ht="21" customHeight="1" spans="2:12">
      <c r="K2" s="192" t="s">
        <v>712</v>
      </c>
      <c r="L2" s="193"/>
    </row>
    <row r="3" ht="6" customHeight="1" spans="2:12">
      <c r="L3" s="162"/>
    </row>
    <row r="4" ht="28.5" customHeight="1" spans="2:12">
      <c r="C4" s="165" t="str">
        <f>'Gen Inb'!I6&amp;""&amp;'Gen Inb'!I7</f>
        <v>马士基奋进ERASMUS EFFORT</v>
      </c>
      <c r="D4" s="165"/>
      <c r="E4" s="165"/>
      <c r="F4" s="165"/>
      <c r="J4" s="181" t="str">
        <f>'Parts A'!B5</f>
        <v>IMO:1032452</v>
      </c>
      <c r="K4" s="181"/>
      <c r="L4" s="181"/>
    </row>
    <row r="5" ht="28.5" customHeight="1" spans="2:12">
      <c r="C5" s="181" t="str">
        <f>'Parts A'!B6</f>
        <v>3E8968</v>
      </c>
      <c r="D5" s="181"/>
      <c r="E5" s="181"/>
      <c r="F5" s="181"/>
      <c r="J5" s="165" t="str">
        <f>'Gen Inb'!S6&amp;""&amp;'Gen Inb'!S7</f>
        <v>南沙新港NANSHA NEW PORT</v>
      </c>
      <c r="K5" s="165"/>
      <c r="L5" s="165"/>
    </row>
    <row r="6" ht="28.5" customHeight="1" spans="2:12">
      <c r="C6" s="187">
        <f>'Gen Inb'!X6</f>
        <v>46238</v>
      </c>
      <c r="D6" s="187"/>
      <c r="E6" s="194">
        <f>'Gen Inb'!X7</f>
        <v>0</v>
      </c>
      <c r="F6" s="189" t="s">
        <v>626</v>
      </c>
      <c r="J6" s="165" t="str">
        <f>'Parts A'!E3&amp;""&amp;'Parts A'!E4</f>
        <v>巴拿马PANAMA</v>
      </c>
      <c r="K6" s="165"/>
      <c r="L6" s="165"/>
    </row>
    <row r="7" ht="28.5" customHeight="1" spans="2:12">
      <c r="C7" s="167" t="str">
        <f>'Gen Inb'!M8</f>
        <v>李继祥</v>
      </c>
      <c r="D7" s="167"/>
      <c r="E7" s="167"/>
      <c r="F7" s="167"/>
      <c r="J7" s="165" t="str">
        <f>'Gen Inb'!W8&amp;""&amp;'Gen Inb'!W9</f>
        <v>胡志明市HO CHI MINH CITY</v>
      </c>
      <c r="K7" s="165"/>
      <c r="L7" s="165"/>
    </row>
    <row r="8" ht="28.5" customHeight="1"/>
    <row r="9" ht="28.5" customHeight="1" spans="2:12">
      <c r="B9" s="181"/>
      <c r="C9" s="181"/>
      <c r="D9" s="181"/>
      <c r="E9" s="181"/>
      <c r="F9" s="181"/>
      <c r="G9" s="167" t="str">
        <f>'Gen Inb'!P12&amp;"："&amp;'Gen Inb'!V12</f>
        <v>：</v>
      </c>
      <c r="H9" s="167"/>
      <c r="I9" s="167"/>
      <c r="J9" s="167"/>
      <c r="K9" s="167"/>
      <c r="L9" s="167"/>
    </row>
    <row r="10" ht="28.5" customHeight="1" spans="2:12">
      <c r="B10" s="181">
        <f>'Parts A'!E5</f>
        <v>9562</v>
      </c>
      <c r="C10" s="181"/>
      <c r="E10" s="179">
        <f>'Parts A'!G5</f>
        <v>4523</v>
      </c>
      <c r="F10" s="179"/>
      <c r="G10" s="181" t="str">
        <f>'Gen Inb'!O14&amp;"  "&amp;'Gen Inb'!V14</f>
        <v>91440101MA5AQA0F7M  </v>
      </c>
      <c r="H10" s="181"/>
      <c r="I10" s="181"/>
      <c r="J10" s="181"/>
      <c r="K10" s="181"/>
      <c r="L10" s="181"/>
    </row>
    <row r="11" ht="28.5" customHeight="1" spans="2:12">
      <c r="D11" s="181" t="str">
        <f>'Gen Inb'!K14</f>
        <v>二期W</v>
      </c>
      <c r="E11" s="181"/>
      <c r="F11" s="181"/>
      <c r="G11" s="181"/>
      <c r="H11" s="181"/>
      <c r="I11" s="181"/>
      <c r="J11" s="181"/>
      <c r="K11" s="181"/>
      <c r="L11" s="181"/>
    </row>
    <row r="12" ht="27" customHeight="1"/>
    <row r="13" ht="47.25" customHeight="1" spans="2:12">
      <c r="B13" s="167" t="str">
        <f>'Gen Inb'!G18&amp;"  "&amp;"("&amp;'Gen Inb'!G19&amp;")"&amp;"——"&amp;'Gen Inb'!M18&amp;"  "&amp;"("&amp;'Gen Inb'!M19&amp;")"</f>
        <v>胡志明市  (HO CHI MINH CITY)——南沙新港  (NANSHA NEW PORT)</v>
      </c>
      <c r="C13" s="167"/>
      <c r="D13" s="167"/>
      <c r="E13" s="167"/>
      <c r="F13" s="167"/>
      <c r="G13" s="167"/>
      <c r="H13" s="167"/>
      <c r="I13" s="167"/>
      <c r="J13" s="167"/>
      <c r="K13" s="167"/>
      <c r="L13" s="190"/>
    </row>
    <row r="14" ht="12.75" customHeight="1"/>
    <row r="15" ht="24.75" customHeight="1" spans="2:12">
      <c r="D15" s="180" t="str">
        <f>'Gen Inb'!J21&amp;'Gen Inb'!M21&amp;" "&amp;'Gen Inb'!O21</f>
        <v>总重量：12059 吨</v>
      </c>
    </row>
    <row r="16" ht="24.75" customHeight="1" spans="2:12">
      <c r="C16" s="160" t="str">
        <f>'Gen Inb'!E22&amp;'Gen Inb'!F22&amp;"  "&amp;'Gen Inb'!P22&amp;'Gen Inb'!R22&amp;" "&amp;'Gen Inb'!T22&amp;'Gen Inb'!V22&amp;'Gen Inb'!W22&amp;" "&amp;'Gen Inb'!X22</f>
        <v>进口柜：20F×67, 40F×68, 20E×0, 40E×0  总共：203 TEU，2919 吨；</v>
      </c>
    </row>
    <row r="17" ht="24.75" customHeight="1" spans="3:12">
      <c r="C17" s="166" t="str">
        <f>'Gen Inb'!E23&amp;'Gen Inb'!F23&amp;"  "&amp;'Gen Inb'!P23&amp;'Gen Inb'!R23&amp;" "&amp;'Gen Inb'!T23&amp;'Gen Inb'!V23&amp;'Gen Inb'!W23&amp;" "&amp;'Gen Inb'!X23</f>
        <v>过境柜：20F×133, 40F×324  总共：781 TEU，9140 吨；</v>
      </c>
    </row>
    <row r="18" ht="6.75" customHeight="1"/>
    <row r="19" ht="26.25" customHeight="1" spans="3:12">
      <c r="C19" s="181">
        <f>COUNTA('Crew Outb'!C11:C30)</f>
        <v>20</v>
      </c>
      <c r="F19" s="181" t="str">
        <f>'Gen Inb'!N24</f>
        <v>nil</v>
      </c>
      <c r="G19" s="181"/>
    </row>
    <row r="20" ht="23.25" customHeight="1" spans="3:12">
      <c r="I20" s="181" t="str">
        <f>'Gen Inb'!R24</f>
        <v>无武器</v>
      </c>
      <c r="J20" s="181"/>
      <c r="K20" s="181"/>
      <c r="L20" s="181"/>
    </row>
    <row r="21" ht="9.75" customHeight="1" spans="3:12">
      <c r="I21" s="140" t="str">
        <f>"船公司："&amp;'Gen Inb'!R28</f>
        <v>船公司：马士基（中国）航运有限公司青岛分公司</v>
      </c>
      <c r="J21" s="140"/>
      <c r="K21" s="140"/>
      <c r="L21" s="140"/>
    </row>
    <row r="22" ht="12.75" customHeight="1" spans="3:12">
      <c r="C22" s="181">
        <v>1</v>
      </c>
      <c r="F22" s="181"/>
      <c r="G22" s="181"/>
      <c r="I22" s="140"/>
      <c r="J22" s="140"/>
      <c r="K22" s="140"/>
      <c r="L22" s="140"/>
    </row>
    <row r="23" ht="21" customHeight="1" spans="3:12">
      <c r="C23" s="181"/>
      <c r="F23" s="181"/>
      <c r="G23" s="181"/>
      <c r="I23" s="195"/>
      <c r="J23" s="191"/>
      <c r="K23" s="191"/>
      <c r="L23" s="191"/>
    </row>
    <row r="24" ht="33.75" customHeight="1" spans="3:12">
      <c r="C24" s="181">
        <v>1</v>
      </c>
      <c r="F24" s="181" t="s">
        <v>145</v>
      </c>
      <c r="G24" s="181"/>
    </row>
    <row r="25" ht="37.5" customHeight="1" spans="3:12">
      <c r="F25" s="181"/>
      <c r="G25" s="181"/>
    </row>
    <row r="26" ht="32.25" customHeight="1" spans="3:12">
      <c r="I26" s="181">
        <f>YEAR('Gen Inb'!X6)</f>
        <v>2026</v>
      </c>
      <c r="J26" s="181"/>
      <c r="K26" s="181">
        <f>MONTH('Gen Inb'!X6)</f>
        <v>8</v>
      </c>
      <c r="L26" s="162">
        <f>DAY('Gen Inb'!X6)</f>
        <v>4</v>
      </c>
    </row>
    <row r="27" customHeight="1"/>
  </sheetData>
  <mergeCells count="25">
    <mergeCell ref="C4:F4"/>
    <mergeCell ref="J4:L4"/>
    <mergeCell ref="C5:F5"/>
    <mergeCell ref="J5:L5"/>
    <mergeCell ref="C6:D6"/>
    <mergeCell ref="J6:L6"/>
    <mergeCell ref="C7:F7"/>
    <mergeCell ref="J7:L7"/>
    <mergeCell ref="B9:F9"/>
    <mergeCell ref="G9:L9"/>
    <mergeCell ref="B10:C10"/>
    <mergeCell ref="E10:F10"/>
    <mergeCell ref="G10:L10"/>
    <mergeCell ref="D11:F11"/>
    <mergeCell ref="G11:L11"/>
    <mergeCell ref="B13:K13"/>
    <mergeCell ref="F19:G19"/>
    <mergeCell ref="I20:L20"/>
    <mergeCell ref="I23:L23"/>
    <mergeCell ref="F24:G24"/>
    <mergeCell ref="F25:G25"/>
    <mergeCell ref="I26:J26"/>
    <mergeCell ref="C22:C23"/>
    <mergeCell ref="F22:G23"/>
    <mergeCell ref="I21:L22"/>
  </mergeCells>
  <pageMargins left="0.707638888888889" right="0.707638888888889" top="0.747916666666667" bottom="0.747916666666667" header="0.313888888888889" footer="0.313888888888889"/>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B1:L27"/>
  <sheetViews>
    <sheetView topLeftCell="A13" workbookViewId="0">
      <selection activeCell="B13" sqref="B13:K13"/>
    </sheetView>
  </sheetViews>
  <sheetFormatPr defaultColWidth="9" defaultRowHeight="15.75"/>
  <cols>
    <col min="1" max="1" width="9" style="180"/>
    <col min="2" max="2" width="8.5" style="180" customWidth="1"/>
    <col min="3" max="3" width="8.625" style="180" customWidth="1"/>
    <col min="4" max="4" width="9" style="180"/>
    <col min="5" max="5" width="5.125" style="180" customWidth="1"/>
    <col min="6" max="6" width="6.625" style="180" customWidth="1"/>
    <col min="7" max="7" width="2.75" style="180" customWidth="1"/>
    <col min="8" max="8" width="7.875" style="180" customWidth="1"/>
    <col min="9" max="9" width="6.625" style="180" customWidth="1"/>
    <col min="10" max="10" width="7.125" style="180" customWidth="1"/>
    <col min="11" max="11" width="7.5" style="180" customWidth="1"/>
    <col min="12" max="12" width="6.75" style="180" customWidth="1"/>
    <col min="13" max="16384" width="9" style="180"/>
  </cols>
  <sheetData>
    <row r="1" ht="37.5" customHeight="1"/>
    <row r="2" ht="21" customHeight="1" spans="2:12">
      <c r="K2" s="185"/>
      <c r="L2" s="186" t="s">
        <v>713</v>
      </c>
    </row>
    <row r="3" ht="6" customHeight="1" spans="2:12">
      <c r="L3" s="162"/>
    </row>
    <row r="4" ht="28.5" customHeight="1" spans="2:12">
      <c r="C4" s="165" t="str">
        <f>'IMO Gen Inb'!C4</f>
        <v>马士基奋进ERASMUS EFFORT</v>
      </c>
      <c r="D4" s="165"/>
      <c r="E4" s="165"/>
      <c r="F4" s="165"/>
      <c r="J4" s="181" t="str">
        <f>'IMO Gen Inb'!J4</f>
        <v>IMO:1032452</v>
      </c>
      <c r="K4" s="181"/>
      <c r="L4" s="181"/>
    </row>
    <row r="5" ht="28.5" customHeight="1" spans="2:12">
      <c r="C5" s="181" t="str">
        <f>'Parts A'!B6</f>
        <v>3E8968</v>
      </c>
      <c r="D5" s="181"/>
      <c r="E5" s="181"/>
      <c r="F5" s="181"/>
      <c r="J5" s="165" t="str">
        <f>'IMO Gen Inb'!J5</f>
        <v>南沙新港NANSHA NEW PORT</v>
      </c>
      <c r="K5" s="165"/>
      <c r="L5" s="165"/>
    </row>
    <row r="6" ht="28.5" customHeight="1" spans="2:12">
      <c r="C6" s="187">
        <f>'Gen Outb'!X6</f>
        <v>44160</v>
      </c>
      <c r="D6" s="187"/>
      <c r="E6" s="188">
        <f>'Gen Outb'!X7</f>
        <v>0</v>
      </c>
      <c r="F6" s="189" t="s">
        <v>626</v>
      </c>
      <c r="J6" s="165" t="str">
        <f>'IMO Gen Inb'!J6</f>
        <v>巴拿马PANAMA</v>
      </c>
      <c r="K6" s="165"/>
      <c r="L6" s="165"/>
    </row>
    <row r="7" ht="28.5" customHeight="1" spans="2:12">
      <c r="C7" s="167" t="str">
        <f>'IMO Gen Inb'!C7</f>
        <v>李继祥</v>
      </c>
      <c r="D7" s="167"/>
      <c r="E7" s="167"/>
      <c r="F7" s="167"/>
      <c r="J7" s="165" t="str">
        <f>'Gen Outb'!W8&amp;""&amp;'Gen Outb'!W9</f>
        <v>胡志明市HO CHI MINH CITY</v>
      </c>
      <c r="K7" s="165"/>
      <c r="L7" s="165"/>
    </row>
    <row r="8" ht="28.5" customHeight="1"/>
    <row r="9" ht="28.5" customHeight="1" spans="2:12">
      <c r="B9" s="181"/>
      <c r="C9" s="181"/>
      <c r="D9" s="181"/>
      <c r="E9" s="181"/>
      <c r="F9" s="181"/>
      <c r="G9" s="167" t="str">
        <f>'Gen Inb'!P12&amp;"："&amp;'Gen Inb'!V12</f>
        <v>：</v>
      </c>
      <c r="H9" s="167"/>
      <c r="I9" s="167"/>
      <c r="J9" s="167"/>
      <c r="K9" s="167"/>
      <c r="L9" s="167"/>
    </row>
    <row r="10" ht="28.5" customHeight="1" spans="2:12">
      <c r="B10" s="181">
        <f>'IMO Gen Inb'!B10</f>
        <v>9562</v>
      </c>
      <c r="C10" s="181"/>
      <c r="E10" s="179">
        <f>'IMO Gen Inb'!E10</f>
        <v>4523</v>
      </c>
      <c r="F10" s="179"/>
      <c r="G10" s="181" t="str">
        <f>'Gen Inb'!O14&amp;"  "&amp;'Gen Inb'!V14</f>
        <v>91440101MA5AQA0F7M  </v>
      </c>
      <c r="H10" s="181"/>
      <c r="I10" s="181"/>
      <c r="J10" s="181"/>
      <c r="K10" s="181"/>
      <c r="L10" s="181"/>
    </row>
    <row r="11" ht="28.5" customHeight="1" spans="2:12">
      <c r="D11" s="181" t="str">
        <f>'IMO Gen Inb'!D11</f>
        <v>二期W</v>
      </c>
      <c r="E11" s="181"/>
      <c r="F11" s="181"/>
      <c r="G11" s="181"/>
      <c r="H11" s="181"/>
      <c r="I11" s="181"/>
      <c r="J11" s="181"/>
      <c r="K11" s="181"/>
      <c r="L11" s="181"/>
    </row>
    <row r="12" ht="27" customHeight="1"/>
    <row r="13" ht="47.25" customHeight="1" spans="2:12">
      <c r="B13" s="167" t="str">
        <f>'Gen Outb'!M18&amp;"  "&amp;"("&amp;'Gen Outb'!M19&amp;")"&amp;"——"&amp;'Gen Outb'!T18&amp;"  "&amp;"("&amp;'Gen Outb'!T19&amp;")"</f>
        <v>南沙新港  (NANSHA NEW PORT)——胡志明市  (HO CHI MINH CITY)</v>
      </c>
      <c r="C13" s="167"/>
      <c r="D13" s="167"/>
      <c r="E13" s="167"/>
      <c r="F13" s="167"/>
      <c r="G13" s="167"/>
      <c r="H13" s="167"/>
      <c r="I13" s="167"/>
      <c r="J13" s="167"/>
      <c r="K13" s="167"/>
      <c r="L13" s="190"/>
    </row>
    <row r="14" ht="12.75" customHeight="1"/>
    <row r="15" ht="24.75" customHeight="1" spans="2:12">
      <c r="D15" s="180" t="str">
        <f>'Gen Outb'!J21&amp;'Gen Outb'!M21&amp;" "&amp;'Gen Outb'!O21</f>
        <v>总重量：17396.5 吨</v>
      </c>
    </row>
    <row r="16" ht="24.75" customHeight="1" spans="2:12">
      <c r="C16" s="160" t="str">
        <f>'Gen Outb'!E22&amp;'Gen Outb'!F22&amp;"  "&amp;'Gen Outb'!P22&amp;'Gen Outb'!R22&amp;" "&amp;'Gen Outb'!T22&amp;'Gen Outb'!V22&amp;'Gen Outb'!W22&amp;" "&amp;'Gen Outb'!X22</f>
        <v>出口柜：NIL  总共：0 TEU，8256.5 吨；</v>
      </c>
    </row>
    <row r="17" ht="24.75" customHeight="1" spans="3:12">
      <c r="C17" s="166" t="str">
        <f>'Gen Inb'!E23&amp;'Gen Inb'!F23&amp;"  "&amp;'Gen Inb'!P23&amp;'Gen Inb'!R23&amp;" "&amp;'Gen Inb'!T23&amp;'Gen Inb'!V23&amp;'Gen Inb'!W23&amp;" "&amp;'Gen Inb'!X23</f>
        <v>过境柜：20F×133, 40F×324  总共：781 TEU，9140 吨；</v>
      </c>
    </row>
    <row r="18" ht="6.75" customHeight="1"/>
    <row r="19" ht="26.25" customHeight="1" spans="3:12">
      <c r="C19" s="181">
        <v>20</v>
      </c>
      <c r="F19" s="181" t="str">
        <f>'Gen Inb'!N24</f>
        <v>nil</v>
      </c>
      <c r="G19" s="181"/>
    </row>
    <row r="20" ht="23.25" customHeight="1" spans="3:12">
      <c r="I20" s="181" t="str">
        <f>'IMO Gen Inb'!I20</f>
        <v>无武器</v>
      </c>
      <c r="J20" s="181"/>
      <c r="K20" s="181"/>
      <c r="L20" s="181"/>
    </row>
    <row r="21" ht="9.75" customHeight="1" spans="3:12">
      <c r="I21" s="140" t="str">
        <f>'IMO Gen Inb'!I21</f>
        <v>船公司：马士基（中国）航运有限公司青岛分公司</v>
      </c>
      <c r="J21" s="140"/>
      <c r="K21" s="140"/>
      <c r="L21" s="140"/>
    </row>
    <row r="22" ht="12.75" customHeight="1" spans="3:12">
      <c r="C22" s="181">
        <v>1</v>
      </c>
      <c r="F22" s="181"/>
      <c r="G22" s="181"/>
      <c r="I22" s="140"/>
      <c r="J22" s="140"/>
      <c r="K22" s="140"/>
      <c r="L22" s="140"/>
    </row>
    <row r="23" ht="21" customHeight="1" spans="3:12">
      <c r="C23" s="181"/>
      <c r="F23" s="181"/>
      <c r="G23" s="181"/>
      <c r="I23" s="191"/>
      <c r="J23" s="191"/>
      <c r="K23" s="191"/>
      <c r="L23" s="191"/>
    </row>
    <row r="24" ht="33.75" customHeight="1" spans="3:12">
      <c r="C24" s="181">
        <v>1</v>
      </c>
      <c r="F24" s="181">
        <v>0</v>
      </c>
      <c r="G24" s="181"/>
    </row>
    <row r="25" ht="37.5" customHeight="1" spans="3:12">
      <c r="F25" s="181"/>
      <c r="G25" s="181"/>
    </row>
    <row r="26" ht="32.25" customHeight="1" spans="3:12">
      <c r="I26" s="181">
        <f>YEAR('Gen Outb'!X6)</f>
        <v>2020</v>
      </c>
      <c r="J26" s="181"/>
      <c r="K26" s="181">
        <f>MONTH('Gen Outb'!X6)</f>
        <v>11</v>
      </c>
      <c r="L26" s="162">
        <f>DAY('Gen Outb'!X6)</f>
        <v>25</v>
      </c>
    </row>
    <row r="27" customHeight="1"/>
  </sheetData>
  <mergeCells count="25">
    <mergeCell ref="C4:F4"/>
    <mergeCell ref="J4:L4"/>
    <mergeCell ref="C5:F5"/>
    <mergeCell ref="J5:L5"/>
    <mergeCell ref="C6:D6"/>
    <mergeCell ref="J6:L6"/>
    <mergeCell ref="C7:F7"/>
    <mergeCell ref="J7:L7"/>
    <mergeCell ref="B9:F9"/>
    <mergeCell ref="G9:L9"/>
    <mergeCell ref="B10:C10"/>
    <mergeCell ref="E10:F10"/>
    <mergeCell ref="G10:L10"/>
    <mergeCell ref="D11:F11"/>
    <mergeCell ref="G11:L11"/>
    <mergeCell ref="B13:K13"/>
    <mergeCell ref="F19:G19"/>
    <mergeCell ref="I20:L20"/>
    <mergeCell ref="I23:L23"/>
    <mergeCell ref="F24:G24"/>
    <mergeCell ref="F25:G25"/>
    <mergeCell ref="I26:J26"/>
    <mergeCell ref="C22:C23"/>
    <mergeCell ref="I21:L22"/>
    <mergeCell ref="F22:G23"/>
  </mergeCells>
  <pageMargins left="0.707638888888889" right="0.707638888888889" top="0.747916666666667" bottom="0.747916666666667" header="0.313888888888889" footer="0.313888888888889"/>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C1:J28"/>
  <sheetViews>
    <sheetView topLeftCell="A7" workbookViewId="0">
      <selection activeCell="F10" sqref="F10"/>
    </sheetView>
  </sheetViews>
  <sheetFormatPr defaultColWidth="9" defaultRowHeight="23.25" customHeight="1"/>
  <cols>
    <col min="1" max="1" width="9" style="180"/>
    <col min="2" max="2" width="7.75" style="180" customWidth="1"/>
    <col min="3" max="6" width="9" style="180"/>
    <col min="7" max="7" width="9.75" style="180" customWidth="1"/>
    <col min="8" max="8" width="9" style="180"/>
    <col min="9" max="9" width="9.625" style="180" customWidth="1"/>
    <col min="10" max="16384" width="9" style="180"/>
  </cols>
  <sheetData>
    <row r="1" ht="34.5" customHeight="1"/>
    <row r="2" ht="38.25" customHeight="1" spans="3:10">
      <c r="G2" s="179" t="s">
        <v>712</v>
      </c>
    </row>
    <row r="3" ht="33.75" customHeight="1" spans="3:10">
      <c r="C3" s="182" t="str">
        <f>'IMO Gen Inb'!C4</f>
        <v>马士基奋进ERASMUS EFFORT</v>
      </c>
      <c r="D3" s="182"/>
      <c r="G3" s="180" t="str">
        <f>'IMO Gen Inb'!J4</f>
        <v>IMO:1032452</v>
      </c>
      <c r="J3" s="180" t="str">
        <f>'IMO Gen Inb'!C5</f>
        <v>3E8968</v>
      </c>
    </row>
    <row r="4" ht="33.75" customHeight="1" spans="3:10">
      <c r="C4" s="183" t="str">
        <f>'IMO Gen Inb'!J5</f>
        <v>南沙新港NANSHA NEW PORT</v>
      </c>
      <c r="D4" s="183"/>
      <c r="E4" s="183"/>
      <c r="H4" s="165" t="str">
        <f>'IMO Gen Inb'!J6</f>
        <v>巴拿马PANAMA</v>
      </c>
      <c r="I4" s="165"/>
      <c r="J4" s="165"/>
    </row>
    <row r="5" ht="33.75" customHeight="1" spans="3:10">
      <c r="C5" s="166" t="str">
        <f>'IMO Gen Inb'!C7</f>
        <v>李继祥</v>
      </c>
      <c r="H5" s="165" t="str">
        <f>'IMO Gen Inb'!J7</f>
        <v>胡志明市HO CHI MINH CITY</v>
      </c>
      <c r="I5" s="165"/>
      <c r="J5" s="165"/>
    </row>
    <row r="10" customHeight="1" spans="3:10">
      <c r="E10" s="180" t="str">
        <f>'Gen Inb'!J21&amp;'Gen Inb'!M21&amp;" "&amp;'Gen Inb'!O21</f>
        <v>总重量：12059 吨</v>
      </c>
    </row>
    <row r="12" customHeight="1" spans="3:10">
      <c r="D12" s="180" t="str">
        <f>'Gen Inb'!E22&amp;'Gen Inb'!F22</f>
        <v>进口柜：20F×67, 40F×68, 20E×0, 40E×0</v>
      </c>
    </row>
    <row r="13" customHeight="1" spans="3:10">
      <c r="E13" s="180" t="str">
        <f>'Gen Inb'!P22&amp;'Gen Inb'!R22&amp;" "&amp;'Gen Inb'!T22&amp;'Gen Inb'!V22&amp;'Gen Inb'!W22&amp;" "&amp;'Gen Inb'!X22</f>
        <v>总共：203 TEU，2919 吨；</v>
      </c>
    </row>
    <row r="14" customHeight="1" spans="3:10">
      <c r="D14" s="180" t="str">
        <f>'Gen Inb'!E23&amp;'Gen Inb'!F23</f>
        <v>过境柜：20F×133, 40F×324</v>
      </c>
    </row>
    <row r="15" customHeight="1" spans="3:10">
      <c r="E15" s="180" t="str">
        <f>'Gen Inb'!P23&amp;'Gen Inb'!R23&amp;" "&amp;'Gen Inb'!T23&amp;'Gen Inb'!V23&amp;'Gen Inb'!W23&amp;" "&amp;'Gen Inb'!X23</f>
        <v>总共：781 TEU，9140 吨；</v>
      </c>
    </row>
    <row r="23" customHeight="1" spans="4:10">
      <c r="D23" s="180" t="str">
        <f>'Gen Inb'!P12&amp;"："&amp;'Gen Inb'!V12</f>
        <v>：</v>
      </c>
    </row>
    <row r="24" customHeight="1" spans="4:10">
      <c r="D24" s="180" t="str">
        <f>'Gen Inb'!O14&amp;"，"&amp;'Gen Inb'!V14</f>
        <v>91440101MA5AQA0F7M，</v>
      </c>
    </row>
    <row r="28" customHeight="1" spans="4:10">
      <c r="H28" s="178">
        <f>YEAR('Gen Inb'!X6)</f>
        <v>2026</v>
      </c>
      <c r="I28" s="184">
        <f>MONTH('Gen Inb'!X6)</f>
        <v>8</v>
      </c>
      <c r="J28" s="184">
        <f>DAY('Gen Inb'!X6)</f>
        <v>4</v>
      </c>
    </row>
  </sheetData>
  <mergeCells count="4">
    <mergeCell ref="C3:D3"/>
    <mergeCell ref="C4:E4"/>
    <mergeCell ref="H4:J4"/>
    <mergeCell ref="H5:J5"/>
  </mergeCells>
  <pageMargins left="0.707638888888889" right="0.707638888888889" top="0.747916666666667" bottom="0.747916666666667" header="0.313888888888889" footer="0.313888888888889"/>
  <pageSetup paperSize="9" scale="98"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pageSetUpPr fitToPage="1"/>
  </sheetPr>
  <dimension ref="C1:M28"/>
  <sheetViews>
    <sheetView workbookViewId="0">
      <selection activeCell="J3" sqref="J3"/>
    </sheetView>
  </sheetViews>
  <sheetFormatPr defaultColWidth="9" defaultRowHeight="23.25" customHeight="1"/>
  <cols>
    <col min="1" max="1" width="9" style="180"/>
    <col min="2" max="2" width="7.75" style="180" customWidth="1"/>
    <col min="3" max="6" width="9" style="180"/>
    <col min="7" max="7" width="9.75" style="180" customWidth="1"/>
    <col min="8" max="8" width="9" style="180"/>
    <col min="9" max="9" width="9.625" style="180" customWidth="1"/>
    <col min="10" max="16384" width="9" style="180"/>
  </cols>
  <sheetData>
    <row r="1" ht="36.75" customHeight="1"/>
    <row r="2" ht="27" customHeight="1" spans="3:10">
      <c r="G2" s="181"/>
      <c r="H2" s="181" t="s">
        <v>713</v>
      </c>
    </row>
    <row r="3" ht="33.75" customHeight="1" spans="3:10">
      <c r="C3" s="182" t="str">
        <f>'IMO Gen Outb'!C4</f>
        <v>马士基奋进ERASMUS EFFORT</v>
      </c>
      <c r="D3" s="182"/>
      <c r="G3" s="181" t="str">
        <f>'IMO Gen Outb'!J4</f>
        <v>IMO:1032452</v>
      </c>
      <c r="J3" s="180" t="str">
        <f>'IMO Gen Outb'!C5</f>
        <v>3E8968</v>
      </c>
    </row>
    <row r="4" ht="33.75" customHeight="1" spans="3:10">
      <c r="C4" s="183" t="str">
        <f>'IMO Gen Outb'!J5</f>
        <v>南沙新港NANSHA NEW PORT</v>
      </c>
      <c r="D4" s="183"/>
      <c r="E4" s="183"/>
      <c r="H4" s="165" t="str">
        <f>'IMO Gen Outb'!J6</f>
        <v>巴拿马PANAMA</v>
      </c>
      <c r="I4" s="165"/>
      <c r="J4" s="165"/>
    </row>
    <row r="5" ht="33.75" customHeight="1" spans="3:10">
      <c r="C5" s="166" t="str">
        <f>'IMO Gen Outb'!C7</f>
        <v>李继祥</v>
      </c>
      <c r="H5" s="165" t="str">
        <f>'IMO Gen Outb'!J7</f>
        <v>胡志明市HO CHI MINH CITY</v>
      </c>
      <c r="I5" s="165"/>
      <c r="J5" s="165"/>
    </row>
    <row r="11" customHeight="1" spans="3:10">
      <c r="E11" s="180" t="str">
        <f>'Gen Outb'!J21&amp;'Gen Outb'!M21&amp;" "&amp;'Gen Outb'!O21</f>
        <v>总重量：17396.5 吨</v>
      </c>
    </row>
    <row r="12" customHeight="1" spans="3:10">
      <c r="D12" s="180" t="str">
        <f>'Gen Outb'!E22&amp;'Gen Outb'!F22</f>
        <v>出口柜：NIL</v>
      </c>
    </row>
    <row r="13" customHeight="1" spans="3:10">
      <c r="E13" s="180" t="str">
        <f>'Gen Outb'!P22&amp;'Gen Outb'!R22&amp;" "&amp;'Gen Outb'!T22&amp;'Gen Outb'!V22&amp;'Gen Outb'!W22&amp;" "&amp;'Gen Outb'!X22</f>
        <v>总共：0 TEU，8256.5 吨；</v>
      </c>
    </row>
    <row r="14" customHeight="1" spans="3:10">
      <c r="D14" s="180" t="str">
        <f>'Gen Inb'!E23&amp;'Gen Inb'!F23</f>
        <v>过境柜：20F×133, 40F×324</v>
      </c>
    </row>
    <row r="15" customHeight="1" spans="3:10">
      <c r="E15" s="180" t="str">
        <f>'Gen Inb'!P23&amp;'Gen Inb'!R23&amp;" "&amp;'Gen Inb'!T23&amp;'Gen Inb'!V23&amp;'Gen Inb'!W23&amp;" "&amp;'Gen Inb'!X23</f>
        <v>总共：781 TEU，9140 吨；</v>
      </c>
    </row>
    <row r="23" customHeight="1" spans="4:13">
      <c r="D23" s="180" t="str">
        <f>'Gen Inb'!P12&amp;"："&amp;'Gen Inb'!V12</f>
        <v>：</v>
      </c>
    </row>
    <row r="24" customHeight="1" spans="4:13">
      <c r="D24" s="180" t="str">
        <f>'Gen Inb'!O14&amp;"，"&amp;'Gen Inb'!V14</f>
        <v>91440101MA5AQA0F7M，</v>
      </c>
      <c r="M24" s="180" t="s">
        <v>714</v>
      </c>
    </row>
    <row r="28" customHeight="1" spans="4:13">
      <c r="H28" s="178">
        <f>YEAR('Gen Outb'!X6)</f>
        <v>2020</v>
      </c>
      <c r="I28" s="184">
        <f>MONTH('Gen Outb'!X6)</f>
        <v>11</v>
      </c>
      <c r="J28" s="184">
        <f>DAY('Gen Outb'!X6)</f>
        <v>25</v>
      </c>
    </row>
  </sheetData>
  <mergeCells count="4">
    <mergeCell ref="C3:D3"/>
    <mergeCell ref="C4:E4"/>
    <mergeCell ref="H4:J4"/>
    <mergeCell ref="H5:J5"/>
  </mergeCells>
  <pageMargins left="0.707638888888889" right="0.707638888888889" top="0.747916666666667" bottom="0.747916666666667" header="0.313888888888889" footer="0.313888888888889"/>
  <pageSetup paperSize="9" scale="76"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B2:L52"/>
  <sheetViews>
    <sheetView workbookViewId="0">
      <selection activeCell="C26" sqref="C26"/>
    </sheetView>
  </sheetViews>
  <sheetFormatPr defaultColWidth="9" defaultRowHeight="25.5" customHeight="1"/>
  <cols>
    <col min="1" max="1" width="7.5" customWidth="1"/>
    <col min="2" max="2" width="5.25" style="1" customWidth="1"/>
    <col min="3" max="3" width="14.625" customWidth="1"/>
    <col min="4" max="4" width="4.25" customWidth="1"/>
    <col min="5" max="6" width="7.875" customWidth="1"/>
    <col min="7" max="7" width="9.875" style="59" customWidth="1"/>
    <col min="8" max="8" width="12.5" customWidth="1"/>
    <col min="9" max="10" width="5.25" customWidth="1"/>
    <col min="11" max="11" width="5.875" customWidth="1"/>
    <col min="12" max="12" width="9.125" customWidth="1"/>
    <col min="13" max="13" width="2.5" customWidth="1"/>
  </cols>
  <sheetData>
    <row r="2" customHeight="1" spans="2:12">
      <c r="G2" s="178"/>
      <c r="H2" s="178"/>
    </row>
    <row r="3" ht="22.5" customHeight="1" spans="2:12">
      <c r="H3" s="178" t="s">
        <v>712</v>
      </c>
      <c r="I3" s="68"/>
      <c r="J3" s="68"/>
    </row>
    <row r="4" s="160" customFormat="1" ht="30" customHeight="1" spans="2:12">
      <c r="B4" s="164"/>
      <c r="C4" s="165" t="str">
        <f>'IMO Gen Inb'!C4</f>
        <v>马士基奋进ERASMUS EFFORT</v>
      </c>
      <c r="D4" s="165"/>
      <c r="E4" s="165"/>
      <c r="G4" s="166"/>
      <c r="H4" s="167" t="str">
        <f>'IMO Gen Inb'!J4</f>
        <v>IMO:1032452</v>
      </c>
      <c r="L4" s="167" t="str">
        <f>'IMO Gen Inb'!C5</f>
        <v>3E8968</v>
      </c>
    </row>
    <row r="5" s="160" customFormat="1" ht="30" customHeight="1" spans="2:12">
      <c r="B5" s="164"/>
      <c r="C5" s="165" t="str">
        <f>'IMO Gen Inb'!J5</f>
        <v>南沙新港NANSHA NEW PORT</v>
      </c>
      <c r="D5" s="165"/>
      <c r="E5" s="165"/>
      <c r="F5" s="165"/>
      <c r="G5" s="166"/>
      <c r="I5" s="168">
        <f>'IMO Gen Inb'!C6</f>
        <v>46238</v>
      </c>
      <c r="J5" s="168"/>
      <c r="K5" s="168"/>
      <c r="L5" s="168"/>
    </row>
    <row r="6" s="160" customFormat="1" ht="30" customHeight="1" spans="2:12">
      <c r="B6" s="164"/>
      <c r="C6" s="165" t="str">
        <f>'IMO Gen Inb'!J6</f>
        <v>巴拿马PANAMA</v>
      </c>
      <c r="D6" s="165"/>
      <c r="E6" s="165"/>
      <c r="F6" s="165"/>
      <c r="G6" s="166"/>
      <c r="I6" s="165" t="str">
        <f>'IMO Gen Inb'!J7</f>
        <v>胡志明市HO CHI MINH CITY</v>
      </c>
      <c r="J6" s="165"/>
      <c r="K6" s="165"/>
      <c r="L6" s="165"/>
    </row>
    <row r="7" ht="42.75" customHeight="1"/>
    <row r="8" s="161" customFormat="1" customHeight="1" spans="2:12">
      <c r="B8" s="169">
        <f>IF(C8&lt;&gt;"",COUNTA(C$8:C8),"")</f>
        <v>1</v>
      </c>
      <c r="C8" s="170" t="str">
        <f>IF('Crew Inb'!C11&lt;&gt;"",'Crew Inb'!C11&amp;" "&amp;'Crew Inb'!D11,"")</f>
        <v>李继祥 </v>
      </c>
      <c r="D8" s="169" t="str">
        <f>IF('Crew Inb'!E11&lt;&gt;"",'Crew Inb'!E11,"")</f>
        <v>M</v>
      </c>
      <c r="E8" s="171" t="str">
        <f>IF('Crew Inb'!F11&lt;&gt;"",'Crew Inb'!F11,"")</f>
        <v>Master</v>
      </c>
      <c r="F8" s="172" t="str">
        <f>IF('Crew Inb'!G11&lt;&gt;"",'Crew Inb'!G11,"")</f>
        <v>Montenegro</v>
      </c>
      <c r="G8" s="173">
        <f>IF('Crew Inb'!H11&lt;&gt;"",'Crew Inb'!H11,"")</f>
        <v>29228</v>
      </c>
      <c r="H8" s="174" t="str">
        <f>IF('Crew Inb'!I11&lt;&gt;"",'Crew Inb'!I11,"")</f>
        <v>Montenegro</v>
      </c>
      <c r="I8" s="174"/>
      <c r="J8" s="175" t="s">
        <v>715</v>
      </c>
      <c r="K8" s="1246" t="str">
        <f>IF('Crew Inb'!K11&lt;&gt;"",'Crew Inb'!K11,"")</f>
        <v>B42BR8005</v>
      </c>
      <c r="L8" s="169"/>
    </row>
    <row r="9" s="161" customFormat="1" customHeight="1" spans="2:12">
      <c r="B9" s="169">
        <f>IF(C9&lt;&gt;"",COUNTA(C$8:C9),"")</f>
        <v>2</v>
      </c>
      <c r="C9" s="170" t="str">
        <f>IF('Crew Inb'!C12&lt;&gt;"",'Crew Inb'!C12&amp;" "&amp;'Crew Inb'!D12,"")</f>
        <v>FERNANDEZ REYNALDO JR </v>
      </c>
      <c r="D9" s="169" t="str">
        <f>IF('Crew Inb'!E12&lt;&gt;"",'Crew Inb'!E12,"")</f>
        <v>M</v>
      </c>
      <c r="E9" s="171" t="str">
        <f>IF('Crew Inb'!F12&lt;&gt;"",'Crew Inb'!F12,"")</f>
        <v>Chief Officer</v>
      </c>
      <c r="F9" s="172" t="str">
        <f>IF('Crew Inb'!G12&lt;&gt;"",'Crew Inb'!G12,"")</f>
        <v>Ukraine</v>
      </c>
      <c r="G9" s="173">
        <f>IF('Crew Inb'!H12&lt;&gt;"",'Crew Inb'!H12,"")</f>
        <v>24515</v>
      </c>
      <c r="H9" s="174" t="str">
        <f>IF('Crew Inb'!I12&lt;&gt;"",'Crew Inb'!I12,"")</f>
        <v>Ukraine</v>
      </c>
      <c r="I9" s="174"/>
      <c r="J9" s="175" t="s">
        <v>715</v>
      </c>
      <c r="K9" s="169" t="str">
        <f>IF('Crew Inb'!K12&lt;&gt;"",'Crew Inb'!K12,"")</f>
        <v>AB498691</v>
      </c>
      <c r="L9" s="169"/>
    </row>
    <row r="10" s="161" customFormat="1" customHeight="1" spans="2:12">
      <c r="B10" s="169">
        <f>IF(C10&lt;&gt;"",COUNTA(C$8:C10),"")</f>
        <v>3</v>
      </c>
      <c r="C10" s="170" t="str">
        <f>IF('Crew Inb'!C13&lt;&gt;"",'Crew Inb'!C13&amp;" "&amp;'Crew Inb'!D13,"")</f>
        <v>FERNANDEZ REYNALDO JR </v>
      </c>
      <c r="D10" s="169" t="str">
        <f>IF('Crew Inb'!E13&lt;&gt;"",'Crew Inb'!E13,"")</f>
        <v>M</v>
      </c>
      <c r="E10" s="171" t="str">
        <f>IF('Crew Inb'!F13&lt;&gt;"",'Crew Inb'!F13,"")</f>
        <v>Second Officer</v>
      </c>
      <c r="F10" s="172" t="str">
        <f>IF('Crew Inb'!G13&lt;&gt;"",'Crew Inb'!G13,"")</f>
        <v>Filipino</v>
      </c>
      <c r="G10" s="173">
        <f>IF('Crew Inb'!H13&lt;&gt;"",'Crew Inb'!H13,"")</f>
        <v>29167</v>
      </c>
      <c r="H10" s="174" t="str">
        <f>IF('Crew Inb'!I13&lt;&gt;"",'Crew Inb'!I13,"")</f>
        <v>Filipino</v>
      </c>
      <c r="I10" s="174"/>
      <c r="J10" s="175" t="s">
        <v>715</v>
      </c>
      <c r="K10" s="169" t="str">
        <f>IF('Crew Inb'!K13&lt;&gt;"",'Crew Inb'!K13,"")</f>
        <v>P0392496A</v>
      </c>
      <c r="L10" s="169"/>
    </row>
    <row r="11" s="161" customFormat="1" customHeight="1" spans="2:12">
      <c r="B11" s="169">
        <f>IF(C11&lt;&gt;"",COUNTA(C$8:C11),"")</f>
        <v>4</v>
      </c>
      <c r="C11" s="170" t="str">
        <f>IF('Crew Inb'!C14&lt;&gt;"",'Crew Inb'!C14&amp;" "&amp;'Crew Inb'!D14,"")</f>
        <v>GONZAGA JOHN BRIAN CANALITA </v>
      </c>
      <c r="D11" s="169" t="str">
        <f>IF('Crew Inb'!E14&lt;&gt;"",'Crew Inb'!E14,"")</f>
        <v>M</v>
      </c>
      <c r="E11" s="171" t="str">
        <f>IF('Crew Inb'!F14&lt;&gt;"",'Crew Inb'!F14,"")</f>
        <v>Third Officer</v>
      </c>
      <c r="F11" s="172" t="str">
        <f>IF('Crew Inb'!G14&lt;&gt;"",'Crew Inb'!G14,"")</f>
        <v>Filipino</v>
      </c>
      <c r="G11" s="173">
        <f>IF('Crew Inb'!H14&lt;&gt;"",'Crew Inb'!H14,"")</f>
        <v>34095</v>
      </c>
      <c r="H11" s="174" t="str">
        <f>IF('Crew Inb'!I14&lt;&gt;"",'Crew Inb'!I14,"")</f>
        <v>Filipino</v>
      </c>
      <c r="I11" s="174"/>
      <c r="J11" s="175" t="s">
        <v>715</v>
      </c>
      <c r="K11" s="169" t="str">
        <f>IF('Crew Inb'!K14&lt;&gt;"",'Crew Inb'!K14,"")</f>
        <v>EC3697674</v>
      </c>
      <c r="L11" s="169"/>
    </row>
    <row r="12" s="161" customFormat="1" customHeight="1" spans="2:12">
      <c r="B12" s="169">
        <f>IF(C12&lt;&gt;"",COUNTA(C$8:C12),"")</f>
        <v>5</v>
      </c>
      <c r="C12" s="170" t="str">
        <f>IF('Crew Inb'!C15&lt;&gt;"",'Crew Inb'!C15&amp;" "&amp;'Crew Inb'!D15,"")</f>
        <v>DYACHENKO VASYL </v>
      </c>
      <c r="D12" s="169" t="str">
        <f>IF('Crew Inb'!E15&lt;&gt;"",'Crew Inb'!E15,"")</f>
        <v>M</v>
      </c>
      <c r="E12" s="171" t="str">
        <f>IF('Crew Inb'!F15&lt;&gt;"",'Crew Inb'!F15,"")</f>
        <v>Chief Engineer</v>
      </c>
      <c r="F12" s="172" t="str">
        <f>IF('Crew Inb'!G15&lt;&gt;"",'Crew Inb'!G15,"")</f>
        <v>Ukraine</v>
      </c>
      <c r="G12" s="173">
        <f>IF('Crew Inb'!H15&lt;&gt;"",'Crew Inb'!H15,"")</f>
        <v>27961</v>
      </c>
      <c r="H12" s="174" t="str">
        <f>IF('Crew Inb'!I15&lt;&gt;"",'Crew Inb'!I15,"")</f>
        <v>Ukraine</v>
      </c>
      <c r="I12" s="174"/>
      <c r="J12" s="175" t="s">
        <v>715</v>
      </c>
      <c r="K12" s="169" t="str">
        <f>IF('Crew Inb'!K15&lt;&gt;"",'Crew Inb'!K15,"")</f>
        <v>AB406216</v>
      </c>
      <c r="L12" s="169"/>
    </row>
    <row r="13" s="161" customFormat="1" customHeight="1" spans="2:12">
      <c r="B13" s="169">
        <f>IF(C13&lt;&gt;"",COUNTA(C$8:C13),"")</f>
        <v>6</v>
      </c>
      <c r="C13" s="170" t="str">
        <f>IF('Crew Inb'!C16&lt;&gt;"",'Crew Inb'!C16&amp;" "&amp;'Crew Inb'!D16,"")</f>
        <v>BALAKIN OLEG </v>
      </c>
      <c r="D13" s="169" t="str">
        <f>IF('Crew Inb'!E16&lt;&gt;"",'Crew Inb'!E16,"")</f>
        <v>M</v>
      </c>
      <c r="E13" s="171" t="str">
        <f>IF('Crew Inb'!F16&lt;&gt;"",'Crew Inb'!F16,"")</f>
        <v>Second Engineer</v>
      </c>
      <c r="F13" s="172" t="str">
        <f>IF('Crew Inb'!G16&lt;&gt;"",'Crew Inb'!G16,"")</f>
        <v>Ukraine</v>
      </c>
      <c r="G13" s="173">
        <f>IF('Crew Inb'!H16&lt;&gt;"",'Crew Inb'!H16,"")</f>
        <v>24595</v>
      </c>
      <c r="H13" s="174" t="str">
        <f>IF('Crew Inb'!I16&lt;&gt;"",'Crew Inb'!I16,"")</f>
        <v>Ukraine</v>
      </c>
      <c r="I13" s="174"/>
      <c r="J13" s="175" t="s">
        <v>715</v>
      </c>
      <c r="K13" s="169" t="str">
        <f>IF('Crew Inb'!K16&lt;&gt;"",'Crew Inb'!K16,"")</f>
        <v>AB565162</v>
      </c>
      <c r="L13" s="169"/>
    </row>
    <row r="14" s="161" customFormat="1" customHeight="1" spans="2:12">
      <c r="B14" s="169">
        <f>IF(C14&lt;&gt;"",COUNTA(C$8:C14),"")</f>
        <v>7</v>
      </c>
      <c r="C14" s="170" t="str">
        <f>IF('Crew Inb'!C17&lt;&gt;"",'Crew Inb'!C17&amp;" "&amp;'Crew Inb'!D17,"")</f>
        <v>BACERDO OMAR DAMES </v>
      </c>
      <c r="D14" s="169" t="str">
        <f>IF('Crew Inb'!E17&lt;&gt;"",'Crew Inb'!E17,"")</f>
        <v>M</v>
      </c>
      <c r="E14" s="171" t="str">
        <f>IF('Crew Inb'!F17&lt;&gt;"",'Crew Inb'!F17,"")</f>
        <v>Junior Engineer</v>
      </c>
      <c r="F14" s="172" t="str">
        <f>IF('Crew Inb'!G17&lt;&gt;"",'Crew Inb'!G17,"")</f>
        <v>Filipino</v>
      </c>
      <c r="G14" s="173">
        <f>IF('Crew Inb'!H17&lt;&gt;"",'Crew Inb'!H17,"")</f>
        <v>34157</v>
      </c>
      <c r="H14" s="174" t="str">
        <f>IF('Crew Inb'!I17&lt;&gt;"",'Crew Inb'!I17,"")</f>
        <v>Filipino</v>
      </c>
      <c r="I14" s="174"/>
      <c r="J14" s="175" t="s">
        <v>715</v>
      </c>
      <c r="K14" s="169" t="str">
        <f>IF('Crew Inb'!K17&lt;&gt;"",'Crew Inb'!K17,"")</f>
        <v>P1649209A</v>
      </c>
      <c r="L14" s="169"/>
    </row>
    <row r="15" s="161" customFormat="1" customHeight="1" spans="2:12">
      <c r="B15" s="169">
        <f>IF(C15&lt;&gt;"",COUNTA(C$8:C15),"")</f>
        <v>8</v>
      </c>
      <c r="C15" s="170" t="str">
        <f>IF('Crew Inb'!C18&lt;&gt;"",'Crew Inb'!C18&amp;" "&amp;'Crew Inb'!D18,"")</f>
        <v>SANTACERA ROTSEN MAR DAYADAY </v>
      </c>
      <c r="D15" s="169" t="str">
        <f>IF('Crew Inb'!E18&lt;&gt;"",'Crew Inb'!E18,"")</f>
        <v>M</v>
      </c>
      <c r="E15" s="171" t="str">
        <f>IF('Crew Inb'!F18&lt;&gt;"",'Crew Inb'!F18,"")</f>
        <v> Junior Electrician</v>
      </c>
      <c r="F15" s="172" t="str">
        <f>IF('Crew Inb'!G18&lt;&gt;"",'Crew Inb'!G18,"")</f>
        <v>Filipino</v>
      </c>
      <c r="G15" s="173">
        <f>IF('Crew Inb'!H18&lt;&gt;"",'Crew Inb'!H18,"")</f>
        <v>32956</v>
      </c>
      <c r="H15" s="174" t="str">
        <f>IF('Crew Inb'!I18&lt;&gt;"",'Crew Inb'!I18,"")</f>
        <v>Filipino</v>
      </c>
      <c r="I15" s="174"/>
      <c r="J15" s="175" t="s">
        <v>715</v>
      </c>
      <c r="K15" s="169" t="str">
        <f>IF('Crew Inb'!K18&lt;&gt;"",'Crew Inb'!K18,"")</f>
        <v>P1399821A</v>
      </c>
      <c r="L15" s="169"/>
    </row>
    <row r="16" s="161" customFormat="1" customHeight="1" spans="2:12">
      <c r="B16" s="169">
        <f>IF(C16&lt;&gt;"",COUNTA(C$8:C16),"")</f>
        <v>9</v>
      </c>
      <c r="C16" s="170" t="str">
        <f>IF('Crew Inb'!C19&lt;&gt;"",'Crew Inb'!C19&amp;" "&amp;'Crew Inb'!D19,"")</f>
        <v>JAVIER EDGAR AMMEN </v>
      </c>
      <c r="D16" s="169" t="str">
        <f>IF('Crew Inb'!E19&lt;&gt;"",'Crew Inb'!E19,"")</f>
        <v>M</v>
      </c>
      <c r="E16" s="171" t="str">
        <f>IF('Crew Inb'!F19&lt;&gt;"",'Crew Inb'!F19,"")</f>
        <v>Bosun</v>
      </c>
      <c r="F16" s="172" t="str">
        <f>IF('Crew Inb'!G19&lt;&gt;"",'Crew Inb'!G19,"")</f>
        <v>Filipino</v>
      </c>
      <c r="G16" s="173">
        <f>IF('Crew Inb'!H19&lt;&gt;"",'Crew Inb'!H19,"")</f>
        <v>25430</v>
      </c>
      <c r="H16" s="174" t="str">
        <f>IF('Crew Inb'!I19&lt;&gt;"",'Crew Inb'!I19,"")</f>
        <v>Filipino</v>
      </c>
      <c r="I16" s="174"/>
      <c r="J16" s="175" t="s">
        <v>715</v>
      </c>
      <c r="K16" s="169" t="str">
        <f>IF('Crew Inb'!K19&lt;&gt;"",'Crew Inb'!K19,"")</f>
        <v>EC4641553</v>
      </c>
      <c r="L16" s="169"/>
    </row>
    <row r="17" s="161" customFormat="1" customHeight="1" spans="2:12">
      <c r="B17" s="169">
        <f>IF(C17&lt;&gt;"",COUNTA(C$8:C17),"")</f>
        <v>10</v>
      </c>
      <c r="C17" s="170" t="str">
        <f>IF('Crew Inb'!C20&lt;&gt;"",'Crew Inb'!C20&amp;" "&amp;'Crew Inb'!D20,"")</f>
        <v>ELPA KENNETH BLANCO </v>
      </c>
      <c r="D17" s="169" t="str">
        <f>IF('Crew Inb'!E20&lt;&gt;"",'Crew Inb'!E20,"")</f>
        <v>M</v>
      </c>
      <c r="E17" s="171" t="str">
        <f>IF('Crew Inb'!F20&lt;&gt;"",'Crew Inb'!F20,"")</f>
        <v>Able Seaman</v>
      </c>
      <c r="F17" s="172" t="str">
        <f>IF('Crew Inb'!G20&lt;&gt;"",'Crew Inb'!G20,"")</f>
        <v>Filipino</v>
      </c>
      <c r="G17" s="173">
        <f>IF('Crew Inb'!H20&lt;&gt;"",'Crew Inb'!H20,"")</f>
        <v>29746</v>
      </c>
      <c r="H17" s="174" t="str">
        <f>IF('Crew Inb'!I20&lt;&gt;"",'Crew Inb'!I20,"")</f>
        <v>Filipino</v>
      </c>
      <c r="I17" s="174"/>
      <c r="J17" s="175" t="s">
        <v>715</v>
      </c>
      <c r="K17" s="169" t="str">
        <f>IF('Crew Inb'!K20&lt;&gt;"",'Crew Inb'!K20,"")</f>
        <v>P2512380A</v>
      </c>
      <c r="L17" s="169"/>
    </row>
    <row r="18" s="161" customFormat="1" customHeight="1" spans="2:12">
      <c r="B18" s="169">
        <f>IF(C18&lt;&gt;"",COUNTA(C$8:C18),"")</f>
        <v>11</v>
      </c>
      <c r="C18" s="170" t="str">
        <f>IF('Crew Inb'!C21&lt;&gt;"",'Crew Inb'!C21&amp;" "&amp;'Crew Inb'!D21,"")</f>
        <v>FLORENTINO JOEMARIE LACHICA </v>
      </c>
      <c r="D18" s="169" t="str">
        <f>IF('Crew Inb'!E21&lt;&gt;"",'Crew Inb'!E21,"")</f>
        <v>M</v>
      </c>
      <c r="E18" s="171" t="str">
        <f>IF('Crew Inb'!F21&lt;&gt;"",'Crew Inb'!F21,"")</f>
        <v>Able Seaman</v>
      </c>
      <c r="F18" s="172" t="str">
        <f>IF('Crew Inb'!G21&lt;&gt;"",'Crew Inb'!G21,"")</f>
        <v>Filipino</v>
      </c>
      <c r="G18" s="173">
        <f>IF('Crew Inb'!H21&lt;&gt;"",'Crew Inb'!H21,"")</f>
        <v>28234</v>
      </c>
      <c r="H18" s="174" t="str">
        <f>IF('Crew Inb'!I21&lt;&gt;"",'Crew Inb'!I21,"")</f>
        <v>Filipino</v>
      </c>
      <c r="I18" s="174"/>
      <c r="J18" s="175" t="s">
        <v>715</v>
      </c>
      <c r="K18" s="169" t="str">
        <f>IF('Crew Inb'!K21&lt;&gt;"",'Crew Inb'!K21,"")</f>
        <v>EC6525043</v>
      </c>
      <c r="L18" s="169"/>
    </row>
    <row r="19" s="161" customFormat="1" customHeight="1" spans="2:12">
      <c r="B19" s="169">
        <f>IF(C19&lt;&gt;"",COUNTA(C$8:C19),"")</f>
        <v>12</v>
      </c>
      <c r="C19" s="170" t="str">
        <f>IF('Crew Inb'!C22&lt;&gt;"",'Crew Inb'!C22&amp;" "&amp;'Crew Inb'!D22,"")</f>
        <v>SUAREZ JETTE ANTHONY CAPANAS </v>
      </c>
      <c r="D19" s="169" t="str">
        <f>IF('Crew Inb'!E22&lt;&gt;"",'Crew Inb'!E22,"")</f>
        <v>M</v>
      </c>
      <c r="E19" s="171" t="str">
        <f>IF('Crew Inb'!F22&lt;&gt;"",'Crew Inb'!F22,"")</f>
        <v>Able Seaman</v>
      </c>
      <c r="F19" s="172" t="str">
        <f>IF('Crew Inb'!G22&lt;&gt;"",'Crew Inb'!G22,"")</f>
        <v>Filipino</v>
      </c>
      <c r="G19" s="173">
        <f>IF('Crew Inb'!H22&lt;&gt;"",'Crew Inb'!H22,"")</f>
        <v>30471</v>
      </c>
      <c r="H19" s="174" t="str">
        <f>IF('Crew Inb'!I22&lt;&gt;"",'Crew Inb'!I22,"")</f>
        <v>Filipino</v>
      </c>
      <c r="I19" s="174"/>
      <c r="J19" s="175" t="s">
        <v>715</v>
      </c>
      <c r="K19" s="169" t="str">
        <f>IF('Crew Inb'!K22&lt;&gt;"",'Crew Inb'!K22,"")</f>
        <v>P0863919A</v>
      </c>
      <c r="L19" s="169"/>
    </row>
    <row r="20" s="161" customFormat="1" customHeight="1" spans="2:12">
      <c r="B20" s="169">
        <f>IF(C20&lt;&gt;"",COUNTA(C$8:C20),"")</f>
        <v>13</v>
      </c>
      <c r="C20" s="170" t="str">
        <f>IF('Crew Inb'!C23&lt;&gt;"",'Crew Inb'!C23&amp;" "&amp;'Crew Inb'!D23,"")</f>
        <v>JAMERO IANJAY HAMOAY </v>
      </c>
      <c r="D20" s="169" t="str">
        <f>IF('Crew Inb'!E23&lt;&gt;"",'Crew Inb'!E23,"")</f>
        <v>M</v>
      </c>
      <c r="E20" s="171" t="str">
        <f>IF('Crew Inb'!F23&lt;&gt;"",'Crew Inb'!F23,"")</f>
        <v>Ordinary Seaman</v>
      </c>
      <c r="F20" s="172" t="str">
        <f>IF('Crew Inb'!G23&lt;&gt;"",'Crew Inb'!G23,"")</f>
        <v>Filipino</v>
      </c>
      <c r="G20" s="173">
        <f>IF('Crew Inb'!H23&lt;&gt;"",'Crew Inb'!H23,"")</f>
        <v>30822</v>
      </c>
      <c r="H20" s="174" t="str">
        <f>IF('Crew Inb'!I23&lt;&gt;"",'Crew Inb'!I23,"")</f>
        <v>Filipino</v>
      </c>
      <c r="I20" s="174"/>
      <c r="J20" s="175" t="s">
        <v>715</v>
      </c>
      <c r="K20" s="169" t="str">
        <f>IF('Crew Inb'!K23&lt;&gt;"",'Crew Inb'!K23,"")</f>
        <v>EC5956980</v>
      </c>
      <c r="L20" s="169"/>
    </row>
    <row r="21" s="161" customFormat="1" customHeight="1" spans="2:12">
      <c r="B21" s="169">
        <f>IF(C21&lt;&gt;"",COUNTA(C$8:C21),"")</f>
        <v>14</v>
      </c>
      <c r="C21" s="170" t="str">
        <f>IF('Crew Inb'!C24&lt;&gt;"",'Crew Inb'!C24&amp;" "&amp;'Crew Inb'!D24,"")</f>
        <v>PELLETERO ALLEN SEGISMUNDO </v>
      </c>
      <c r="D21" s="169" t="str">
        <f>IF('Crew Inb'!E24&lt;&gt;"",'Crew Inb'!E24,"")</f>
        <v>M</v>
      </c>
      <c r="E21" s="171" t="str">
        <f>IF('Crew Inb'!F24&lt;&gt;"",'Crew Inb'!F24,"")</f>
        <v>Ordinary Seaman</v>
      </c>
      <c r="F21" s="172" t="str">
        <f>IF('Crew Inb'!G24&lt;&gt;"",'Crew Inb'!G24,"")</f>
        <v>Filipino</v>
      </c>
      <c r="G21" s="173">
        <f>IF('Crew Inb'!H24&lt;&gt;"",'Crew Inb'!H24,"")</f>
        <v>33702</v>
      </c>
      <c r="H21" s="174" t="str">
        <f>IF('Crew Inb'!I24&lt;&gt;"",'Crew Inb'!I24,"")</f>
        <v>Filipino</v>
      </c>
      <c r="I21" s="174"/>
      <c r="J21" s="175" t="s">
        <v>715</v>
      </c>
      <c r="K21" s="169" t="str">
        <f>IF('Crew Inb'!K24&lt;&gt;"",'Crew Inb'!K24,"")</f>
        <v>P3925249A</v>
      </c>
      <c r="L21" s="169"/>
    </row>
    <row r="22" s="161" customFormat="1" customHeight="1" spans="2:12">
      <c r="B22" s="169">
        <f>IF(C22&lt;&gt;"",COUNTA(C$8:C22),"")</f>
        <v>15</v>
      </c>
      <c r="C22" s="170" t="str">
        <f>IF('Crew Inb'!C25&lt;&gt;"",'Crew Inb'!C25&amp;" "&amp;'Crew Inb'!D25,"")</f>
        <v>OLOJAN ROSEN JUANICO </v>
      </c>
      <c r="D22" s="169" t="str">
        <f>IF('Crew Inb'!E25&lt;&gt;"",'Crew Inb'!E25,"")</f>
        <v>M</v>
      </c>
      <c r="E22" s="171" t="str">
        <f>IF('Crew Inb'!F25&lt;&gt;"",'Crew Inb'!F25,"")</f>
        <v>Fitter</v>
      </c>
      <c r="F22" s="172" t="str">
        <f>IF('Crew Inb'!G25&lt;&gt;"",'Crew Inb'!G25,"")</f>
        <v>Filipino</v>
      </c>
      <c r="G22" s="173">
        <f>IF('Crew Inb'!H25&lt;&gt;"",'Crew Inb'!H25,"")</f>
        <v>24553</v>
      </c>
      <c r="H22" s="174" t="str">
        <f>IF('Crew Inb'!I25&lt;&gt;"",'Crew Inb'!I25,"")</f>
        <v>Filipino</v>
      </c>
      <c r="I22" s="174"/>
      <c r="J22" s="175" t="s">
        <v>715</v>
      </c>
      <c r="K22" s="169" t="str">
        <f>IF('Crew Inb'!K25&lt;&gt;"",'Crew Inb'!K25,"")</f>
        <v>EC4389049</v>
      </c>
      <c r="L22" s="169"/>
    </row>
    <row r="23" s="161" customFormat="1" customHeight="1" spans="2:12">
      <c r="B23" s="169">
        <f>IF(C23&lt;&gt;"",COUNTA(C$8:C23),"")</f>
        <v>16</v>
      </c>
      <c r="C23" s="170" t="str">
        <f>IF('Crew Inb'!C26&lt;&gt;"",'Crew Inb'!C26&amp;" "&amp;'Crew Inb'!D26,"")</f>
        <v>CAMILOTE GEOFFREY CALETINA </v>
      </c>
      <c r="D23" s="169" t="str">
        <f>IF('Crew Inb'!E26&lt;&gt;"",'Crew Inb'!E26,"")</f>
        <v>M</v>
      </c>
      <c r="E23" s="171" t="str">
        <f>IF('Crew Inb'!F26&lt;&gt;"",'Crew Inb'!F26,"")</f>
        <v>Oiler</v>
      </c>
      <c r="F23" s="172" t="str">
        <f>IF('Crew Inb'!G26&lt;&gt;"",'Crew Inb'!G26,"")</f>
        <v>Filipino</v>
      </c>
      <c r="G23" s="173">
        <f>IF('Crew Inb'!H26&lt;&gt;"",'Crew Inb'!H26,"")</f>
        <v>28098</v>
      </c>
      <c r="H23" s="174" t="str">
        <f>IF('Crew Inb'!I26&lt;&gt;"",'Crew Inb'!I26,"")</f>
        <v>Filipino</v>
      </c>
      <c r="I23" s="174"/>
      <c r="J23" s="175" t="s">
        <v>715</v>
      </c>
      <c r="K23" s="169" t="str">
        <f>IF('Crew Inb'!K26&lt;&gt;"",'Crew Inb'!K26,"")</f>
        <v>P2263420A</v>
      </c>
      <c r="L23" s="169"/>
    </row>
    <row r="24" s="161" customFormat="1" customHeight="1" spans="2:12">
      <c r="B24" s="169">
        <f>IF(C24&lt;&gt;"",COUNTA(C$8:C24),"")</f>
        <v>17</v>
      </c>
      <c r="C24" s="170" t="str">
        <f>IF('Crew Inb'!C27&lt;&gt;"",'Crew Inb'!C27&amp;" "&amp;'Crew Inb'!D27,"")</f>
        <v>ECAT JOSEPH PAUL TENEBRO </v>
      </c>
      <c r="D24" s="169" t="str">
        <f>IF('Crew Inb'!E27&lt;&gt;"",'Crew Inb'!E27,"")</f>
        <v>M</v>
      </c>
      <c r="E24" s="171" t="str">
        <f>IF('Crew Inb'!F27&lt;&gt;"",'Crew Inb'!F27,"")</f>
        <v>Wiper</v>
      </c>
      <c r="F24" s="172" t="str">
        <f>IF('Crew Inb'!G27&lt;&gt;"",'Crew Inb'!G27,"")</f>
        <v>Filipino</v>
      </c>
      <c r="G24" s="173">
        <f>IF('Crew Inb'!H27&lt;&gt;"",'Crew Inb'!H27,"")</f>
        <v>34260</v>
      </c>
      <c r="H24" s="174" t="str">
        <f>IF('Crew Inb'!I27&lt;&gt;"",'Crew Inb'!I27,"")</f>
        <v>Filipino</v>
      </c>
      <c r="I24" s="174"/>
      <c r="J24" s="175" t="s">
        <v>715</v>
      </c>
      <c r="K24" s="169" t="str">
        <f>IF('Crew Inb'!K27&lt;&gt;"",'Crew Inb'!K27,"")</f>
        <v>P3596511A</v>
      </c>
      <c r="L24" s="169"/>
    </row>
    <row r="25" s="161" customFormat="1" customHeight="1" spans="2:12">
      <c r="B25" s="169">
        <f>IF(C25&lt;&gt;"",COUNTA(C$8:C25),"")</f>
        <v>18</v>
      </c>
      <c r="C25" s="170" t="str">
        <f>IF('Crew Inb'!C28&lt;&gt;"",'Crew Inb'!C28&amp;" "&amp;'Crew Inb'!D28,"")</f>
        <v>DELIS  EUGENE SALIGUMBA </v>
      </c>
      <c r="D25" s="169" t="str">
        <f>IF('Crew Inb'!E28&lt;&gt;"",'Crew Inb'!E28,"")</f>
        <v>M</v>
      </c>
      <c r="E25" s="171" t="str">
        <f>IF('Crew Inb'!F28&lt;&gt;"",'Crew Inb'!F28,"")</f>
        <v>Wiper</v>
      </c>
      <c r="F25" s="172" t="str">
        <f>IF('Crew Inb'!G28&lt;&gt;"",'Crew Inb'!G28,"")</f>
        <v>Filipino</v>
      </c>
      <c r="G25" s="173">
        <f>IF('Crew Inb'!H28&lt;&gt;"",'Crew Inb'!H28,"")</f>
        <v>34455</v>
      </c>
      <c r="H25" s="174" t="str">
        <f>IF('Crew Inb'!I28&lt;&gt;"",'Crew Inb'!I28,"")</f>
        <v>Filipino</v>
      </c>
      <c r="I25" s="174"/>
      <c r="J25" s="175" t="s">
        <v>715</v>
      </c>
      <c r="K25" s="169" t="str">
        <f>IF('Crew Inb'!K28&lt;&gt;"",'Crew Inb'!K28,"")</f>
        <v>EC5270716</v>
      </c>
      <c r="L25" s="169"/>
    </row>
    <row r="26" s="161" customFormat="1" customHeight="1" spans="2:12">
      <c r="B26" s="169">
        <f>IF(C26&lt;&gt;"",COUNTA(C$8:C26),"")</f>
        <v>19</v>
      </c>
      <c r="C26" s="170" t="str">
        <f>IF('Crew Inb'!C29&lt;&gt;"",'Crew Inb'!C29&amp;" "&amp;'Crew Inb'!D29,"")</f>
        <v>MOGRO ROMELITO LOSTE </v>
      </c>
      <c r="D26" s="169" t="str">
        <f>IF('Crew Inb'!E29&lt;&gt;"",'Crew Inb'!E29,"")</f>
        <v>M</v>
      </c>
      <c r="E26" s="171" t="str">
        <f>IF('Crew Inb'!F29&lt;&gt;"",'Crew Inb'!F29,"")</f>
        <v>Chief Cook</v>
      </c>
      <c r="F26" s="172" t="str">
        <f>IF('Crew Inb'!G29&lt;&gt;"",'Crew Inb'!G29,"")</f>
        <v>Filipino</v>
      </c>
      <c r="G26" s="173">
        <f>IF('Crew Inb'!H29&lt;&gt;"",'Crew Inb'!H29,"")</f>
        <v>24484</v>
      </c>
      <c r="H26" s="174" t="str">
        <f>IF('Crew Inb'!I29&lt;&gt;"",'Crew Inb'!I29,"")</f>
        <v>Filipino</v>
      </c>
      <c r="I26" s="174"/>
      <c r="J26" s="175" t="s">
        <v>715</v>
      </c>
      <c r="K26" s="169" t="str">
        <f>IF('Crew Inb'!K29&lt;&gt;"",'Crew Inb'!K29,"")</f>
        <v>EC2844651</v>
      </c>
      <c r="L26" s="169"/>
    </row>
    <row r="27" customHeight="1" spans="2:12">
      <c r="B27" s="169"/>
      <c r="C27" s="170"/>
      <c r="D27" s="169"/>
      <c r="E27" s="172"/>
      <c r="F27" s="172"/>
      <c r="G27" s="173"/>
      <c r="I27" s="176">
        <f>YEAR('Gen Inb'!X6)</f>
        <v>2026</v>
      </c>
      <c r="J27" s="176"/>
      <c r="K27" s="177">
        <f>MONTH('Gen Inb'!X6)</f>
        <v>8</v>
      </c>
      <c r="L27" s="177">
        <f>DAY('Gen Inb'!X6)</f>
        <v>4</v>
      </c>
    </row>
    <row r="28" customHeight="1" spans="2:12">
      <c r="B28" s="169" t="str">
        <f>IF(C28&lt;&gt;"",COUNTA(C$8:C28),"")</f>
        <v/>
      </c>
      <c r="C28" s="170" t="str">
        <f>IF('Crew Inb'!C31&lt;&gt;"",'Crew Inb'!C31&amp;" "&amp;'Crew Inb'!D31,"")</f>
        <v/>
      </c>
      <c r="D28" s="169" t="str">
        <f>IF('Crew Inb'!E31&lt;&gt;"",'Crew Inb'!E31,"")</f>
        <v/>
      </c>
      <c r="E28" s="172" t="str">
        <f>IF('Crew Inb'!F31&lt;&gt;"",'Crew Inb'!F31,"")</f>
        <v/>
      </c>
      <c r="F28" s="172" t="str">
        <f>IF('Crew Inb'!G31&lt;&gt;"",'Crew Inb'!G31,"")</f>
        <v/>
      </c>
      <c r="G28" s="173" t="str">
        <f>IF('Crew Inb'!H31&lt;&gt;"",'Crew Inb'!H31,"")</f>
        <v/>
      </c>
    </row>
    <row r="30" ht="22.5" customHeight="1" spans="2:12">
      <c r="H30" s="179" t="s">
        <v>712</v>
      </c>
      <c r="I30" s="68"/>
      <c r="J30" s="68"/>
    </row>
    <row r="31" s="160" customFormat="1" ht="30" customHeight="1" spans="2:12">
      <c r="B31" s="164"/>
      <c r="C31" s="165" t="str">
        <f>'IMO Gen Inb'!C4</f>
        <v>马士基奋进ERASMUS EFFORT</v>
      </c>
      <c r="D31" s="165"/>
      <c r="E31" s="165"/>
      <c r="F31" s="166"/>
      <c r="G31" s="166"/>
      <c r="H31" s="167" t="str">
        <f>'IMO Gen Inb'!J4</f>
        <v>IMO:1032452</v>
      </c>
      <c r="I31" s="166"/>
      <c r="J31" s="166"/>
      <c r="K31" s="166"/>
      <c r="L31" s="167" t="str">
        <f>'IMO Gen Inb'!C5</f>
        <v>3E8968</v>
      </c>
    </row>
    <row r="32" s="160" customFormat="1" ht="30" customHeight="1" spans="2:12">
      <c r="B32" s="164"/>
      <c r="C32" s="165" t="str">
        <f>'IMO Gen Inb'!J5</f>
        <v>南沙新港NANSHA NEW PORT</v>
      </c>
      <c r="D32" s="165"/>
      <c r="E32" s="165"/>
      <c r="F32" s="165"/>
      <c r="G32" s="166"/>
      <c r="H32" s="166"/>
      <c r="I32" s="168">
        <f>'IMO Gen Inb'!C6</f>
        <v>46238</v>
      </c>
      <c r="J32" s="168"/>
      <c r="K32" s="168"/>
      <c r="L32" s="168"/>
    </row>
    <row r="33" s="160" customFormat="1" ht="30" customHeight="1" spans="2:12">
      <c r="B33" s="164"/>
      <c r="C33" s="165" t="str">
        <f>'IMO Gen Inb'!J6</f>
        <v>巴拿马PANAMA</v>
      </c>
      <c r="D33" s="165"/>
      <c r="E33" s="165"/>
      <c r="F33" s="165"/>
      <c r="G33" s="166"/>
      <c r="H33" s="166"/>
      <c r="I33" s="165" t="str">
        <f>'IMO Gen Inb'!J7</f>
        <v>胡志明市HO CHI MINH CITY</v>
      </c>
      <c r="J33" s="165"/>
      <c r="K33" s="165"/>
      <c r="L33" s="165"/>
    </row>
    <row r="34" ht="42.75" customHeight="1"/>
    <row r="35" s="161" customFormat="1" customHeight="1" spans="2:12">
      <c r="B35" s="169">
        <v>20</v>
      </c>
      <c r="C35" s="170" t="str">
        <f>IF('Crew Inb'!C30&lt;&gt;"",'Crew Inb'!C30&amp;" "&amp;'Crew Inb'!D30,"")</f>
        <v>CAMANAY JONATHAN SUAZO </v>
      </c>
      <c r="D35" s="169" t="s">
        <v>238</v>
      </c>
      <c r="E35" s="171" t="str">
        <f>IF('Crew Inb'!F30&lt;&gt;"",'Crew Inb'!F30,"")</f>
        <v>Messboy</v>
      </c>
      <c r="F35" s="172" t="str">
        <f>IF('Crew Inb'!G30&lt;&gt;"",'Crew Inb'!G30,"")</f>
        <v>Filipino</v>
      </c>
      <c r="G35" s="173">
        <f>IF('Crew Inb'!H30&lt;&gt;"",'Crew Inb'!H30,"")</f>
        <v>31563</v>
      </c>
      <c r="H35" s="174" t="str">
        <f>IF('Crew Inb'!I30&lt;&gt;"",'Crew Inb'!I30,"")</f>
        <v>Filipino</v>
      </c>
      <c r="I35" s="174"/>
      <c r="J35" s="175" t="s">
        <v>715</v>
      </c>
      <c r="K35" s="169" t="str">
        <f>IF('Crew Inb'!K30&lt;&gt;"",'Crew Inb'!K30,"")</f>
        <v>EC8290337</v>
      </c>
      <c r="L35" s="169"/>
    </row>
    <row r="36" s="161" customFormat="1" customHeight="1" spans="2:12">
      <c r="B36" s="169"/>
      <c r="C36" s="170"/>
      <c r="D36" s="169"/>
      <c r="E36" s="172"/>
      <c r="F36" s="172"/>
      <c r="G36" s="173"/>
      <c r="H36" s="174"/>
      <c r="I36" s="174"/>
      <c r="J36" s="175"/>
      <c r="K36" s="169"/>
      <c r="L36" s="169"/>
    </row>
    <row r="37" s="161" customFormat="1" customHeight="1" spans="2:12">
      <c r="B37" s="169"/>
      <c r="C37" s="170"/>
      <c r="D37" s="169"/>
      <c r="E37" s="172"/>
      <c r="F37" s="172"/>
      <c r="G37" s="173"/>
      <c r="H37" s="174"/>
      <c r="I37" s="174"/>
      <c r="J37" s="175"/>
      <c r="K37" s="169"/>
      <c r="L37" s="169"/>
    </row>
    <row r="38" s="161" customFormat="1" customHeight="1" spans="2:12">
      <c r="B38" s="169"/>
      <c r="C38" s="170"/>
      <c r="D38" s="169"/>
      <c r="E38" s="172"/>
      <c r="F38" s="172"/>
      <c r="G38" s="173"/>
      <c r="H38" s="174"/>
      <c r="I38" s="174"/>
      <c r="J38" s="174"/>
      <c r="K38" s="169"/>
      <c r="L38" s="169"/>
    </row>
    <row r="39" s="161" customFormat="1" customHeight="1" spans="2:12">
      <c r="B39" s="169"/>
      <c r="C39" s="170"/>
      <c r="D39" s="169"/>
      <c r="E39" s="172"/>
      <c r="F39" s="172"/>
      <c r="G39" s="173"/>
      <c r="H39" s="174"/>
      <c r="I39" s="174"/>
      <c r="J39" s="174"/>
      <c r="K39" s="169"/>
      <c r="L39" s="169"/>
    </row>
    <row r="40" s="161" customFormat="1" customHeight="1" spans="2:12">
      <c r="B40" s="169"/>
      <c r="C40" s="170"/>
      <c r="D40" s="169"/>
      <c r="E40" s="172"/>
      <c r="F40" s="172"/>
      <c r="G40" s="173"/>
      <c r="H40" s="174"/>
      <c r="I40" s="174"/>
      <c r="J40" s="174"/>
      <c r="K40" s="169"/>
      <c r="L40" s="169"/>
    </row>
    <row r="41" s="161" customFormat="1" customHeight="1" spans="2:12">
      <c r="B41" s="169"/>
      <c r="C41" s="170"/>
      <c r="D41" s="169"/>
      <c r="E41" s="172"/>
      <c r="F41" s="172"/>
      <c r="G41" s="173"/>
      <c r="H41" s="174"/>
      <c r="I41" s="174"/>
      <c r="J41" s="174"/>
      <c r="K41" s="169"/>
      <c r="L41" s="169"/>
    </row>
    <row r="42" s="161" customFormat="1" customHeight="1" spans="2:12">
      <c r="B42" s="169"/>
      <c r="C42" s="170"/>
      <c r="D42" s="169"/>
      <c r="E42" s="172"/>
      <c r="F42" s="172"/>
      <c r="G42" s="173"/>
      <c r="H42" s="174"/>
      <c r="I42" s="174"/>
      <c r="J42" s="174"/>
      <c r="K42" s="169"/>
      <c r="L42" s="169"/>
    </row>
    <row r="43" s="161" customFormat="1" customHeight="1" spans="2:12">
      <c r="B43" s="169"/>
      <c r="C43" s="170"/>
      <c r="D43" s="169"/>
      <c r="E43" s="172"/>
      <c r="F43" s="172"/>
      <c r="G43" s="173"/>
      <c r="H43" s="174"/>
      <c r="I43" s="174"/>
      <c r="J43" s="174"/>
      <c r="K43" s="169"/>
      <c r="L43" s="169"/>
    </row>
    <row r="44" s="161" customFormat="1" customHeight="1" spans="2:12">
      <c r="B44" s="169"/>
      <c r="C44" s="170"/>
      <c r="D44" s="169"/>
      <c r="E44" s="172"/>
      <c r="F44" s="172"/>
      <c r="G44" s="173"/>
      <c r="H44" s="174"/>
      <c r="I44" s="174"/>
      <c r="J44" s="174"/>
      <c r="K44" s="169"/>
      <c r="L44" s="169"/>
    </row>
    <row r="45" s="161" customFormat="1" customHeight="1" spans="2:12">
      <c r="B45" s="169"/>
      <c r="C45" s="170"/>
      <c r="D45" s="169"/>
      <c r="E45" s="172"/>
      <c r="F45" s="172"/>
      <c r="G45" s="173"/>
      <c r="H45" s="174"/>
      <c r="I45" s="174"/>
      <c r="J45" s="174"/>
      <c r="K45" s="169"/>
      <c r="L45" s="169"/>
    </row>
    <row r="46" s="161" customFormat="1" customHeight="1" spans="2:12">
      <c r="B46" s="169"/>
      <c r="C46" s="170"/>
      <c r="D46" s="169"/>
      <c r="E46" s="172"/>
      <c r="F46" s="172"/>
      <c r="G46" s="173"/>
      <c r="H46" s="174"/>
      <c r="I46" s="174"/>
      <c r="J46" s="174"/>
      <c r="K46" s="169"/>
      <c r="L46" s="169"/>
    </row>
    <row r="47" s="161" customFormat="1" customHeight="1" spans="2:12">
      <c r="B47" s="169"/>
      <c r="C47" s="170"/>
      <c r="D47" s="169"/>
      <c r="E47" s="172"/>
      <c r="F47" s="172"/>
      <c r="G47" s="173"/>
      <c r="H47" s="174"/>
      <c r="I47" s="174"/>
      <c r="J47" s="174"/>
      <c r="K47" s="169"/>
      <c r="L47" s="169"/>
    </row>
    <row r="48" s="161" customFormat="1" customHeight="1" spans="2:12">
      <c r="B48" s="169"/>
      <c r="C48" s="170"/>
      <c r="D48" s="169"/>
      <c r="E48" s="172"/>
      <c r="F48" s="172"/>
      <c r="G48" s="173"/>
      <c r="H48" s="174"/>
      <c r="I48" s="174"/>
      <c r="J48" s="174"/>
      <c r="K48" s="169"/>
      <c r="L48" s="169"/>
    </row>
    <row r="49" s="161" customFormat="1" customHeight="1" spans="2:12">
      <c r="B49" s="169"/>
      <c r="C49" s="170"/>
      <c r="D49" s="169"/>
      <c r="E49" s="172"/>
      <c r="F49" s="172"/>
      <c r="G49" s="173"/>
      <c r="H49" s="174"/>
      <c r="I49" s="174"/>
      <c r="J49" s="174"/>
      <c r="K49" s="169"/>
      <c r="L49" s="169"/>
    </row>
    <row r="50" s="161" customFormat="1" customHeight="1" spans="2:12">
      <c r="B50" s="169"/>
      <c r="C50" s="170"/>
      <c r="D50" s="169"/>
      <c r="E50" s="172"/>
      <c r="F50" s="172"/>
      <c r="G50" s="173"/>
      <c r="H50" s="174"/>
      <c r="I50" s="174"/>
      <c r="J50" s="174"/>
      <c r="K50" s="169"/>
      <c r="L50" s="169"/>
    </row>
    <row r="51" s="161" customFormat="1" customHeight="1" spans="2:12">
      <c r="B51" s="169"/>
      <c r="C51" s="170"/>
      <c r="D51" s="169"/>
      <c r="E51" s="172"/>
      <c r="F51" s="172"/>
      <c r="G51" s="173"/>
      <c r="H51" s="174"/>
      <c r="I51" s="174"/>
      <c r="J51" s="174"/>
      <c r="K51" s="169"/>
      <c r="L51" s="169"/>
    </row>
    <row r="52" customHeight="1" spans="2:12">
      <c r="I52" s="176">
        <f>YEAR('Gen Inb'!X6)</f>
        <v>2026</v>
      </c>
      <c r="J52" s="176"/>
      <c r="K52" s="177">
        <f>MONTH('Gen Inb'!X6)</f>
        <v>8</v>
      </c>
      <c r="L52" s="177">
        <f>DAY('Gen Inb'!X6)</f>
        <v>4</v>
      </c>
    </row>
  </sheetData>
  <mergeCells count="82">
    <mergeCell ref="C4:E4"/>
    <mergeCell ref="C5:F5"/>
    <mergeCell ref="I5:L5"/>
    <mergeCell ref="C6:F6"/>
    <mergeCell ref="I6:L6"/>
    <mergeCell ref="H8:I8"/>
    <mergeCell ref="K8:L8"/>
    <mergeCell ref="H9:I9"/>
    <mergeCell ref="K9:L9"/>
    <mergeCell ref="H10:I10"/>
    <mergeCell ref="K10:L10"/>
    <mergeCell ref="H11:I11"/>
    <mergeCell ref="K11:L11"/>
    <mergeCell ref="H12:I12"/>
    <mergeCell ref="K12:L12"/>
    <mergeCell ref="H13:I13"/>
    <mergeCell ref="K13:L13"/>
    <mergeCell ref="H14:I14"/>
    <mergeCell ref="K14:L14"/>
    <mergeCell ref="H15:I15"/>
    <mergeCell ref="K15:L15"/>
    <mergeCell ref="H16:I16"/>
    <mergeCell ref="K16:L16"/>
    <mergeCell ref="H17:I17"/>
    <mergeCell ref="K17:L17"/>
    <mergeCell ref="H18:I18"/>
    <mergeCell ref="K18:L18"/>
    <mergeCell ref="H19:I19"/>
    <mergeCell ref="K19:L19"/>
    <mergeCell ref="H20:I20"/>
    <mergeCell ref="K20:L20"/>
    <mergeCell ref="H21:I21"/>
    <mergeCell ref="K21:L21"/>
    <mergeCell ref="H22:I22"/>
    <mergeCell ref="K22:L22"/>
    <mergeCell ref="H23:I23"/>
    <mergeCell ref="K23:L23"/>
    <mergeCell ref="H24:I24"/>
    <mergeCell ref="K24:L24"/>
    <mergeCell ref="H25:I25"/>
    <mergeCell ref="K25:L25"/>
    <mergeCell ref="H26:I26"/>
    <mergeCell ref="K26:L26"/>
    <mergeCell ref="C31:E31"/>
    <mergeCell ref="C32:F32"/>
    <mergeCell ref="I32:L32"/>
    <mergeCell ref="C33:F33"/>
    <mergeCell ref="I33:L33"/>
    <mergeCell ref="H35:I35"/>
    <mergeCell ref="K35:L35"/>
    <mergeCell ref="H36:I36"/>
    <mergeCell ref="K36:L36"/>
    <mergeCell ref="H37:I37"/>
    <mergeCell ref="K37:L37"/>
    <mergeCell ref="H38:I38"/>
    <mergeCell ref="K38:L38"/>
    <mergeCell ref="H39:I39"/>
    <mergeCell ref="K39:L39"/>
    <mergeCell ref="H40:I40"/>
    <mergeCell ref="K40:L40"/>
    <mergeCell ref="H41:I41"/>
    <mergeCell ref="K41:L41"/>
    <mergeCell ref="H42:I42"/>
    <mergeCell ref="K42:L42"/>
    <mergeCell ref="H43:I43"/>
    <mergeCell ref="K43:L43"/>
    <mergeCell ref="H44:I44"/>
    <mergeCell ref="K44:L44"/>
    <mergeCell ref="H45:I45"/>
    <mergeCell ref="K45:L45"/>
    <mergeCell ref="H46:I46"/>
    <mergeCell ref="K46:L46"/>
    <mergeCell ref="H47:I47"/>
    <mergeCell ref="K47:L47"/>
    <mergeCell ref="H48:I48"/>
    <mergeCell ref="K48:L48"/>
    <mergeCell ref="H49:I49"/>
    <mergeCell ref="K49:L49"/>
    <mergeCell ref="H50:I50"/>
    <mergeCell ref="K50:L50"/>
    <mergeCell ref="H51:I51"/>
    <mergeCell ref="K51:L51"/>
  </mergeCells>
  <pageMargins left="0.25" right="0.25" top="0.75" bottom="0.75" header="0.3" footer="0.3"/>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B2:L52"/>
  <sheetViews>
    <sheetView workbookViewId="0">
      <selection activeCell="C9" sqref="C9"/>
    </sheetView>
  </sheetViews>
  <sheetFormatPr defaultColWidth="9" defaultRowHeight="25.5" customHeight="1"/>
  <cols>
    <col min="1" max="1" width="7.5" customWidth="1"/>
    <col min="2" max="2" width="5.25" style="1" customWidth="1"/>
    <col min="3" max="3" width="14.625" customWidth="1"/>
    <col min="4" max="4" width="4.25" customWidth="1"/>
    <col min="5" max="6" width="7.875" customWidth="1"/>
    <col min="7" max="7" width="9.875" style="59" customWidth="1"/>
    <col min="8" max="8" width="12.5" customWidth="1"/>
    <col min="9" max="10" width="5.25" customWidth="1"/>
    <col min="11" max="11" width="5.875" customWidth="1"/>
    <col min="12" max="12" width="9.125" customWidth="1"/>
    <col min="13" max="13" width="2.5" customWidth="1"/>
  </cols>
  <sheetData>
    <row r="2" customHeight="1" spans="2:12">
      <c r="G2" s="162"/>
      <c r="H2" s="162" t="s">
        <v>713</v>
      </c>
    </row>
    <row r="3" ht="22.5" customHeight="1" spans="2:12">
      <c r="H3" s="163"/>
      <c r="I3" s="68"/>
      <c r="J3" s="68"/>
    </row>
    <row r="4" s="160" customFormat="1" ht="30" customHeight="1" spans="2:12">
      <c r="B4" s="164"/>
      <c r="C4" s="165" t="str">
        <f>'IMO Gen Outb'!C4</f>
        <v>马士基奋进ERASMUS EFFORT</v>
      </c>
      <c r="D4" s="165"/>
      <c r="E4" s="165"/>
      <c r="G4" s="166"/>
      <c r="H4" s="167" t="str">
        <f>'IMO Gen Outb'!J4</f>
        <v>IMO:1032452</v>
      </c>
      <c r="L4" s="167" t="str">
        <f>'IMO Gen Outb'!C5</f>
        <v>3E8968</v>
      </c>
    </row>
    <row r="5" s="160" customFormat="1" ht="30" customHeight="1" spans="2:12">
      <c r="B5" s="164"/>
      <c r="C5" s="165" t="str">
        <f>'IMO Gen Outb'!J5</f>
        <v>南沙新港NANSHA NEW PORT</v>
      </c>
      <c r="D5" s="165"/>
      <c r="E5" s="165"/>
      <c r="F5" s="165"/>
      <c r="G5" s="166"/>
      <c r="I5" s="168">
        <f>'IMO Gen Outb'!C6</f>
        <v>44160</v>
      </c>
      <c r="J5" s="168"/>
      <c r="K5" s="168"/>
      <c r="L5" s="168"/>
    </row>
    <row r="6" s="160" customFormat="1" ht="30" customHeight="1" spans="2:12">
      <c r="B6" s="164"/>
      <c r="C6" s="165" t="str">
        <f>'IMO Gen Outb'!J6</f>
        <v>巴拿马PANAMA</v>
      </c>
      <c r="D6" s="165"/>
      <c r="E6" s="165"/>
      <c r="F6" s="165"/>
      <c r="G6" s="166"/>
      <c r="I6" s="165" t="str">
        <f>'IMO Gen Outb'!J7</f>
        <v>胡志明市HO CHI MINH CITY</v>
      </c>
      <c r="J6" s="165"/>
      <c r="K6" s="165"/>
      <c r="L6" s="165"/>
    </row>
    <row r="7" ht="42.75" customHeight="1"/>
    <row r="8" s="161" customFormat="1" customHeight="1" spans="2:12">
      <c r="B8" s="169">
        <f>IF(C8&lt;&gt;"",COUNTA(C$8:C8),"")</f>
        <v>1</v>
      </c>
      <c r="C8" s="170" t="str">
        <f>IF('Crew Inb'!C11&lt;&gt;"",'Crew Inb'!C11&amp;" "&amp;'Crew Inb'!D11,"")</f>
        <v>李继祥 </v>
      </c>
      <c r="D8" s="169" t="str">
        <f>IF('Crew Inb'!E11&lt;&gt;"",'Crew Inb'!E11,"")</f>
        <v>M</v>
      </c>
      <c r="E8" s="171" t="str">
        <f>IF('Crew Inb'!F11&lt;&gt;"",'Crew Inb'!F11,"")</f>
        <v>Master</v>
      </c>
      <c r="F8" s="172" t="str">
        <f>IF('Crew Inb'!G11&lt;&gt;"",'Crew Inb'!G11,"")</f>
        <v>Montenegro</v>
      </c>
      <c r="G8" s="173">
        <f>IF('Crew Inb'!H11&lt;&gt;"",'Crew Inb'!H11,"")</f>
        <v>29228</v>
      </c>
      <c r="H8" s="174" t="str">
        <f>IF('Crew Inb'!I11&lt;&gt;"",'Crew Inb'!I11,"")</f>
        <v>Montenegro</v>
      </c>
      <c r="I8" s="174"/>
      <c r="J8" s="175" t="s">
        <v>715</v>
      </c>
      <c r="K8" s="1246" t="str">
        <f>IF('Crew Inb'!K11&lt;&gt;"",'Crew Inb'!K11,"")</f>
        <v>B42BR8005</v>
      </c>
      <c r="L8" s="169"/>
    </row>
    <row r="9" s="161" customFormat="1" customHeight="1" spans="2:12">
      <c r="B9" s="169">
        <f>IF(C9&lt;&gt;"",COUNTA(C$8:C9),"")</f>
        <v>2</v>
      </c>
      <c r="C9" s="170" t="str">
        <f>IF('Crew Inb'!C12&lt;&gt;"",'Crew Inb'!C12&amp;" "&amp;'Crew Inb'!D12,"")</f>
        <v>FERNANDEZ REYNALDO JR </v>
      </c>
      <c r="D9" s="169" t="str">
        <f>IF('Crew Inb'!E12&lt;&gt;"",'Crew Inb'!E12,"")</f>
        <v>M</v>
      </c>
      <c r="E9" s="171" t="str">
        <f>IF('Crew Inb'!F12&lt;&gt;"",'Crew Inb'!F12,"")</f>
        <v>Chief Officer</v>
      </c>
      <c r="F9" s="172" t="str">
        <f>IF('Crew Inb'!G12&lt;&gt;"",'Crew Inb'!G12,"")</f>
        <v>Ukraine</v>
      </c>
      <c r="G9" s="173">
        <f>IF('Crew Inb'!H12&lt;&gt;"",'Crew Inb'!H12,"")</f>
        <v>24515</v>
      </c>
      <c r="H9" s="174" t="str">
        <f>IF('Crew Inb'!I12&lt;&gt;"",'Crew Inb'!I12,"")</f>
        <v>Ukraine</v>
      </c>
      <c r="I9" s="174"/>
      <c r="J9" s="175" t="s">
        <v>715</v>
      </c>
      <c r="K9" s="169" t="str">
        <f>IF('Crew Inb'!K12&lt;&gt;"",'Crew Inb'!K12,"")</f>
        <v>AB498691</v>
      </c>
      <c r="L9" s="169"/>
    </row>
    <row r="10" s="161" customFormat="1" customHeight="1" spans="2:12">
      <c r="B10" s="169">
        <f>IF(C10&lt;&gt;"",COUNTA(C$8:C10),"")</f>
        <v>3</v>
      </c>
      <c r="C10" s="170" t="str">
        <f>IF('Crew Inb'!C13&lt;&gt;"",'Crew Inb'!C13&amp;" "&amp;'Crew Inb'!D13,"")</f>
        <v>FERNANDEZ REYNALDO JR </v>
      </c>
      <c r="D10" s="169" t="str">
        <f>IF('Crew Inb'!E13&lt;&gt;"",'Crew Inb'!E13,"")</f>
        <v>M</v>
      </c>
      <c r="E10" s="171" t="str">
        <f>IF('Crew Inb'!F13&lt;&gt;"",'Crew Inb'!F13,"")</f>
        <v>Second Officer</v>
      </c>
      <c r="F10" s="172" t="str">
        <f>IF('Crew Inb'!G13&lt;&gt;"",'Crew Inb'!G13,"")</f>
        <v>Filipino</v>
      </c>
      <c r="G10" s="173">
        <f>IF('Crew Inb'!H13&lt;&gt;"",'Crew Inb'!H13,"")</f>
        <v>29167</v>
      </c>
      <c r="H10" s="174" t="str">
        <f>IF('Crew Inb'!I13&lt;&gt;"",'Crew Inb'!I13,"")</f>
        <v>Filipino</v>
      </c>
      <c r="I10" s="174"/>
      <c r="J10" s="175" t="s">
        <v>715</v>
      </c>
      <c r="K10" s="169" t="str">
        <f>IF('Crew Inb'!K13&lt;&gt;"",'Crew Inb'!K13,"")</f>
        <v>P0392496A</v>
      </c>
      <c r="L10" s="169"/>
    </row>
    <row r="11" s="161" customFormat="1" customHeight="1" spans="2:12">
      <c r="B11" s="169">
        <f>IF(C11&lt;&gt;"",COUNTA(C$8:C11),"")</f>
        <v>4</v>
      </c>
      <c r="C11" s="170" t="str">
        <f>IF('Crew Inb'!C14&lt;&gt;"",'Crew Inb'!C14&amp;" "&amp;'Crew Inb'!D14,"")</f>
        <v>GONZAGA JOHN BRIAN CANALITA </v>
      </c>
      <c r="D11" s="169" t="str">
        <f>IF('Crew Inb'!E14&lt;&gt;"",'Crew Inb'!E14,"")</f>
        <v>M</v>
      </c>
      <c r="E11" s="171" t="str">
        <f>IF('Crew Inb'!F14&lt;&gt;"",'Crew Inb'!F14,"")</f>
        <v>Third Officer</v>
      </c>
      <c r="F11" s="172" t="str">
        <f>IF('Crew Inb'!G14&lt;&gt;"",'Crew Inb'!G14,"")</f>
        <v>Filipino</v>
      </c>
      <c r="G11" s="173">
        <f>IF('Crew Inb'!H14&lt;&gt;"",'Crew Inb'!H14,"")</f>
        <v>34095</v>
      </c>
      <c r="H11" s="174" t="str">
        <f>IF('Crew Inb'!I14&lt;&gt;"",'Crew Inb'!I14,"")</f>
        <v>Filipino</v>
      </c>
      <c r="I11" s="174"/>
      <c r="J11" s="175" t="s">
        <v>715</v>
      </c>
      <c r="K11" s="169" t="str">
        <f>IF('Crew Inb'!K14&lt;&gt;"",'Crew Inb'!K14,"")</f>
        <v>EC3697674</v>
      </c>
      <c r="L11" s="169"/>
    </row>
    <row r="12" s="161" customFormat="1" customHeight="1" spans="2:12">
      <c r="B12" s="169">
        <f>IF(C12&lt;&gt;"",COUNTA(C$8:C12),"")</f>
        <v>5</v>
      </c>
      <c r="C12" s="170" t="str">
        <f>IF('Crew Inb'!C15&lt;&gt;"",'Crew Inb'!C15&amp;" "&amp;'Crew Inb'!D15,"")</f>
        <v>DYACHENKO VASYL </v>
      </c>
      <c r="D12" s="169" t="str">
        <f>IF('Crew Inb'!E15&lt;&gt;"",'Crew Inb'!E15,"")</f>
        <v>M</v>
      </c>
      <c r="E12" s="171" t="str">
        <f>IF('Crew Inb'!F15&lt;&gt;"",'Crew Inb'!F15,"")</f>
        <v>Chief Engineer</v>
      </c>
      <c r="F12" s="172" t="str">
        <f>IF('Crew Inb'!G15&lt;&gt;"",'Crew Inb'!G15,"")</f>
        <v>Ukraine</v>
      </c>
      <c r="G12" s="173">
        <f>IF('Crew Inb'!H15&lt;&gt;"",'Crew Inb'!H15,"")</f>
        <v>27961</v>
      </c>
      <c r="H12" s="174" t="str">
        <f>IF('Crew Inb'!I15&lt;&gt;"",'Crew Inb'!I15,"")</f>
        <v>Ukraine</v>
      </c>
      <c r="I12" s="174"/>
      <c r="J12" s="175" t="s">
        <v>715</v>
      </c>
      <c r="K12" s="169" t="str">
        <f>IF('Crew Inb'!K15&lt;&gt;"",'Crew Inb'!K15,"")</f>
        <v>AB406216</v>
      </c>
      <c r="L12" s="169"/>
    </row>
    <row r="13" s="161" customFormat="1" customHeight="1" spans="2:12">
      <c r="B13" s="169">
        <f>IF(C13&lt;&gt;"",COUNTA(C$8:C13),"")</f>
        <v>6</v>
      </c>
      <c r="C13" s="170" t="str">
        <f>IF('Crew Inb'!C16&lt;&gt;"",'Crew Inb'!C16&amp;" "&amp;'Crew Inb'!D16,"")</f>
        <v>BALAKIN OLEG </v>
      </c>
      <c r="D13" s="169" t="str">
        <f>IF('Crew Inb'!E16&lt;&gt;"",'Crew Inb'!E16,"")</f>
        <v>M</v>
      </c>
      <c r="E13" s="171" t="str">
        <f>IF('Crew Inb'!F16&lt;&gt;"",'Crew Inb'!F16,"")</f>
        <v>Second Engineer</v>
      </c>
      <c r="F13" s="172" t="str">
        <f>IF('Crew Inb'!G16&lt;&gt;"",'Crew Inb'!G16,"")</f>
        <v>Ukraine</v>
      </c>
      <c r="G13" s="173">
        <f>IF('Crew Inb'!H16&lt;&gt;"",'Crew Inb'!H16,"")</f>
        <v>24595</v>
      </c>
      <c r="H13" s="174" t="str">
        <f>IF('Crew Inb'!I16&lt;&gt;"",'Crew Inb'!I16,"")</f>
        <v>Ukraine</v>
      </c>
      <c r="I13" s="174"/>
      <c r="J13" s="175" t="s">
        <v>715</v>
      </c>
      <c r="K13" s="169" t="str">
        <f>IF('Crew Inb'!K16&lt;&gt;"",'Crew Inb'!K16,"")</f>
        <v>AB565162</v>
      </c>
      <c r="L13" s="169"/>
    </row>
    <row r="14" s="161" customFormat="1" customHeight="1" spans="2:12">
      <c r="B14" s="169">
        <f>IF(C14&lt;&gt;"",COUNTA(C$8:C14),"")</f>
        <v>7</v>
      </c>
      <c r="C14" s="170" t="str">
        <f>IF('Crew Inb'!C17&lt;&gt;"",'Crew Inb'!C17&amp;" "&amp;'Crew Inb'!D17,"")</f>
        <v>BACERDO OMAR DAMES </v>
      </c>
      <c r="D14" s="169" t="str">
        <f>IF('Crew Inb'!E17&lt;&gt;"",'Crew Inb'!E17,"")</f>
        <v>M</v>
      </c>
      <c r="E14" s="171" t="str">
        <f>IF('Crew Inb'!F17&lt;&gt;"",'Crew Inb'!F17,"")</f>
        <v>Junior Engineer</v>
      </c>
      <c r="F14" s="172" t="str">
        <f>IF('Crew Inb'!G17&lt;&gt;"",'Crew Inb'!G17,"")</f>
        <v>Filipino</v>
      </c>
      <c r="G14" s="173">
        <f>IF('Crew Inb'!H17&lt;&gt;"",'Crew Inb'!H17,"")</f>
        <v>34157</v>
      </c>
      <c r="H14" s="174" t="str">
        <f>IF('Crew Inb'!I17&lt;&gt;"",'Crew Inb'!I17,"")</f>
        <v>Filipino</v>
      </c>
      <c r="I14" s="174"/>
      <c r="J14" s="175" t="s">
        <v>715</v>
      </c>
      <c r="K14" s="169" t="str">
        <f>IF('Crew Inb'!K17&lt;&gt;"",'Crew Inb'!K17,"")</f>
        <v>P1649209A</v>
      </c>
      <c r="L14" s="169"/>
    </row>
    <row r="15" s="161" customFormat="1" customHeight="1" spans="2:12">
      <c r="B15" s="169">
        <f>IF(C15&lt;&gt;"",COUNTA(C$8:C15),"")</f>
        <v>8</v>
      </c>
      <c r="C15" s="170" t="str">
        <f>IF('Crew Inb'!C18&lt;&gt;"",'Crew Inb'!C18&amp;" "&amp;'Crew Inb'!D18,"")</f>
        <v>SANTACERA ROTSEN MAR DAYADAY </v>
      </c>
      <c r="D15" s="169" t="str">
        <f>IF('Crew Inb'!E18&lt;&gt;"",'Crew Inb'!E18,"")</f>
        <v>M</v>
      </c>
      <c r="E15" s="171" t="str">
        <f>IF('Crew Inb'!F18&lt;&gt;"",'Crew Inb'!F18,"")</f>
        <v> Junior Electrician</v>
      </c>
      <c r="F15" s="172" t="str">
        <f>IF('Crew Inb'!G18&lt;&gt;"",'Crew Inb'!G18,"")</f>
        <v>Filipino</v>
      </c>
      <c r="G15" s="173">
        <f>IF('Crew Inb'!H18&lt;&gt;"",'Crew Inb'!H18,"")</f>
        <v>32956</v>
      </c>
      <c r="H15" s="174" t="str">
        <f>IF('Crew Inb'!I18&lt;&gt;"",'Crew Inb'!I18,"")</f>
        <v>Filipino</v>
      </c>
      <c r="I15" s="174"/>
      <c r="J15" s="175" t="s">
        <v>715</v>
      </c>
      <c r="K15" s="169" t="str">
        <f>IF('Crew Inb'!K18&lt;&gt;"",'Crew Inb'!K18,"")</f>
        <v>P1399821A</v>
      </c>
      <c r="L15" s="169"/>
    </row>
    <row r="16" s="161" customFormat="1" customHeight="1" spans="2:12">
      <c r="B16" s="169">
        <f>IF(C16&lt;&gt;"",COUNTA(C$8:C16),"")</f>
        <v>9</v>
      </c>
      <c r="C16" s="170" t="str">
        <f>IF('Crew Inb'!C19&lt;&gt;"",'Crew Inb'!C19&amp;" "&amp;'Crew Inb'!D19,"")</f>
        <v>JAVIER EDGAR AMMEN </v>
      </c>
      <c r="D16" s="169" t="str">
        <f>IF('Crew Inb'!E19&lt;&gt;"",'Crew Inb'!E19,"")</f>
        <v>M</v>
      </c>
      <c r="E16" s="171" t="str">
        <f>IF('Crew Inb'!F19&lt;&gt;"",'Crew Inb'!F19,"")</f>
        <v>Bosun</v>
      </c>
      <c r="F16" s="172" t="str">
        <f>IF('Crew Inb'!G19&lt;&gt;"",'Crew Inb'!G19,"")</f>
        <v>Filipino</v>
      </c>
      <c r="G16" s="173">
        <f>IF('Crew Inb'!H19&lt;&gt;"",'Crew Inb'!H19,"")</f>
        <v>25430</v>
      </c>
      <c r="H16" s="174" t="str">
        <f>IF('Crew Inb'!I19&lt;&gt;"",'Crew Inb'!I19,"")</f>
        <v>Filipino</v>
      </c>
      <c r="I16" s="174"/>
      <c r="J16" s="175" t="s">
        <v>715</v>
      </c>
      <c r="K16" s="169" t="str">
        <f>IF('Crew Inb'!K19&lt;&gt;"",'Crew Inb'!K19,"")</f>
        <v>EC4641553</v>
      </c>
      <c r="L16" s="169"/>
    </row>
    <row r="17" s="161" customFormat="1" customHeight="1" spans="2:12">
      <c r="B17" s="169">
        <f>IF(C17&lt;&gt;"",COUNTA(C$8:C17),"")</f>
        <v>10</v>
      </c>
      <c r="C17" s="170" t="str">
        <f>IF('Crew Inb'!C20&lt;&gt;"",'Crew Inb'!C20&amp;" "&amp;'Crew Inb'!D20,"")</f>
        <v>ELPA KENNETH BLANCO </v>
      </c>
      <c r="D17" s="169" t="str">
        <f>IF('Crew Inb'!E20&lt;&gt;"",'Crew Inb'!E20,"")</f>
        <v>M</v>
      </c>
      <c r="E17" s="171" t="str">
        <f>IF('Crew Inb'!F20&lt;&gt;"",'Crew Inb'!F20,"")</f>
        <v>Able Seaman</v>
      </c>
      <c r="F17" s="172" t="str">
        <f>IF('Crew Inb'!G20&lt;&gt;"",'Crew Inb'!G20,"")</f>
        <v>Filipino</v>
      </c>
      <c r="G17" s="173">
        <f>IF('Crew Inb'!H20&lt;&gt;"",'Crew Inb'!H20,"")</f>
        <v>29746</v>
      </c>
      <c r="H17" s="174" t="str">
        <f>IF('Crew Inb'!I20&lt;&gt;"",'Crew Inb'!I20,"")</f>
        <v>Filipino</v>
      </c>
      <c r="I17" s="174"/>
      <c r="J17" s="175" t="s">
        <v>715</v>
      </c>
      <c r="K17" s="169" t="str">
        <f>IF('Crew Inb'!K20&lt;&gt;"",'Crew Inb'!K20,"")</f>
        <v>P2512380A</v>
      </c>
      <c r="L17" s="169"/>
    </row>
    <row r="18" s="161" customFormat="1" customHeight="1" spans="2:12">
      <c r="B18" s="169">
        <f>IF(C18&lt;&gt;"",COUNTA(C$8:C18),"")</f>
        <v>11</v>
      </c>
      <c r="C18" s="170" t="str">
        <f>IF('Crew Inb'!C21&lt;&gt;"",'Crew Inb'!C21&amp;" "&amp;'Crew Inb'!D21,"")</f>
        <v>FLORENTINO JOEMARIE LACHICA </v>
      </c>
      <c r="D18" s="169" t="str">
        <f>IF('Crew Inb'!E21&lt;&gt;"",'Crew Inb'!E21,"")</f>
        <v>M</v>
      </c>
      <c r="E18" s="171" t="str">
        <f>IF('Crew Inb'!F21&lt;&gt;"",'Crew Inb'!F21,"")</f>
        <v>Able Seaman</v>
      </c>
      <c r="F18" s="172" t="str">
        <f>IF('Crew Inb'!G21&lt;&gt;"",'Crew Inb'!G21,"")</f>
        <v>Filipino</v>
      </c>
      <c r="G18" s="173">
        <f>IF('Crew Inb'!H21&lt;&gt;"",'Crew Inb'!H21,"")</f>
        <v>28234</v>
      </c>
      <c r="H18" s="174" t="str">
        <f>IF('Crew Inb'!I21&lt;&gt;"",'Crew Inb'!I21,"")</f>
        <v>Filipino</v>
      </c>
      <c r="I18" s="174"/>
      <c r="J18" s="175" t="s">
        <v>715</v>
      </c>
      <c r="K18" s="169" t="str">
        <f>IF('Crew Inb'!K21&lt;&gt;"",'Crew Inb'!K21,"")</f>
        <v>EC6525043</v>
      </c>
      <c r="L18" s="169"/>
    </row>
    <row r="19" s="161" customFormat="1" customHeight="1" spans="2:12">
      <c r="B19" s="169">
        <f>IF(C19&lt;&gt;"",COUNTA(C$8:C19),"")</f>
        <v>12</v>
      </c>
      <c r="C19" s="170" t="str">
        <f>IF('Crew Inb'!C22&lt;&gt;"",'Crew Inb'!C22&amp;" "&amp;'Crew Inb'!D22,"")</f>
        <v>SUAREZ JETTE ANTHONY CAPANAS </v>
      </c>
      <c r="D19" s="169" t="str">
        <f>IF('Crew Inb'!E22&lt;&gt;"",'Crew Inb'!E22,"")</f>
        <v>M</v>
      </c>
      <c r="E19" s="171" t="str">
        <f>IF('Crew Inb'!F22&lt;&gt;"",'Crew Inb'!F22,"")</f>
        <v>Able Seaman</v>
      </c>
      <c r="F19" s="172" t="str">
        <f>IF('Crew Inb'!G22&lt;&gt;"",'Crew Inb'!G22,"")</f>
        <v>Filipino</v>
      </c>
      <c r="G19" s="173">
        <f>IF('Crew Inb'!H22&lt;&gt;"",'Crew Inb'!H22,"")</f>
        <v>30471</v>
      </c>
      <c r="H19" s="174" t="str">
        <f>IF('Crew Inb'!I22&lt;&gt;"",'Crew Inb'!I22,"")</f>
        <v>Filipino</v>
      </c>
      <c r="I19" s="174"/>
      <c r="J19" s="175" t="s">
        <v>715</v>
      </c>
      <c r="K19" s="169" t="str">
        <f>IF('Crew Inb'!K22&lt;&gt;"",'Crew Inb'!K22,"")</f>
        <v>P0863919A</v>
      </c>
      <c r="L19" s="169"/>
    </row>
    <row r="20" s="161" customFormat="1" customHeight="1" spans="2:12">
      <c r="B20" s="169">
        <f>IF(C20&lt;&gt;"",COUNTA(C$8:C20),"")</f>
        <v>13</v>
      </c>
      <c r="C20" s="170" t="str">
        <f>IF('Crew Inb'!C23&lt;&gt;"",'Crew Inb'!C23&amp;" "&amp;'Crew Inb'!D23,"")</f>
        <v>JAMERO IANJAY HAMOAY </v>
      </c>
      <c r="D20" s="169" t="str">
        <f>IF('Crew Inb'!E23&lt;&gt;"",'Crew Inb'!E23,"")</f>
        <v>M</v>
      </c>
      <c r="E20" s="171" t="str">
        <f>IF('Crew Inb'!F23&lt;&gt;"",'Crew Inb'!F23,"")</f>
        <v>Ordinary Seaman</v>
      </c>
      <c r="F20" s="172" t="str">
        <f>IF('Crew Inb'!G23&lt;&gt;"",'Crew Inb'!G23,"")</f>
        <v>Filipino</v>
      </c>
      <c r="G20" s="173">
        <f>IF('Crew Inb'!H23&lt;&gt;"",'Crew Inb'!H23,"")</f>
        <v>30822</v>
      </c>
      <c r="H20" s="174" t="str">
        <f>IF('Crew Inb'!I23&lt;&gt;"",'Crew Inb'!I23,"")</f>
        <v>Filipino</v>
      </c>
      <c r="I20" s="174"/>
      <c r="J20" s="175" t="s">
        <v>715</v>
      </c>
      <c r="K20" s="169" t="str">
        <f>IF('Crew Inb'!K23&lt;&gt;"",'Crew Inb'!K23,"")</f>
        <v>EC5956980</v>
      </c>
      <c r="L20" s="169"/>
    </row>
    <row r="21" s="161" customFormat="1" customHeight="1" spans="2:12">
      <c r="B21" s="169">
        <f>IF(C21&lt;&gt;"",COUNTA(C$8:C21),"")</f>
        <v>14</v>
      </c>
      <c r="C21" s="170" t="str">
        <f>IF('Crew Inb'!C24&lt;&gt;"",'Crew Inb'!C24&amp;" "&amp;'Crew Inb'!D24,"")</f>
        <v>PELLETERO ALLEN SEGISMUNDO </v>
      </c>
      <c r="D21" s="169" t="str">
        <f>IF('Crew Inb'!E24&lt;&gt;"",'Crew Inb'!E24,"")</f>
        <v>M</v>
      </c>
      <c r="E21" s="171" t="str">
        <f>IF('Crew Inb'!F24&lt;&gt;"",'Crew Inb'!F24,"")</f>
        <v>Ordinary Seaman</v>
      </c>
      <c r="F21" s="172" t="str">
        <f>IF('Crew Inb'!G24&lt;&gt;"",'Crew Inb'!G24,"")</f>
        <v>Filipino</v>
      </c>
      <c r="G21" s="173">
        <f>IF('Crew Inb'!H24&lt;&gt;"",'Crew Inb'!H24,"")</f>
        <v>33702</v>
      </c>
      <c r="H21" s="174" t="str">
        <f>IF('Crew Inb'!I24&lt;&gt;"",'Crew Inb'!I24,"")</f>
        <v>Filipino</v>
      </c>
      <c r="I21" s="174"/>
      <c r="J21" s="175" t="s">
        <v>715</v>
      </c>
      <c r="K21" s="169" t="str">
        <f>IF('Crew Inb'!K24&lt;&gt;"",'Crew Inb'!K24,"")</f>
        <v>P3925249A</v>
      </c>
      <c r="L21" s="169"/>
    </row>
    <row r="22" s="161" customFormat="1" customHeight="1" spans="2:12">
      <c r="B22" s="169">
        <f>IF(C22&lt;&gt;"",COUNTA(C$8:C22),"")</f>
        <v>15</v>
      </c>
      <c r="C22" s="170" t="str">
        <f>IF('Crew Inb'!C25&lt;&gt;"",'Crew Inb'!C25&amp;" "&amp;'Crew Inb'!D25,"")</f>
        <v>OLOJAN ROSEN JUANICO </v>
      </c>
      <c r="D22" s="169" t="str">
        <f>IF('Crew Inb'!E25&lt;&gt;"",'Crew Inb'!E25,"")</f>
        <v>M</v>
      </c>
      <c r="E22" s="171" t="str">
        <f>IF('Crew Inb'!F25&lt;&gt;"",'Crew Inb'!F25,"")</f>
        <v>Fitter</v>
      </c>
      <c r="F22" s="172" t="str">
        <f>IF('Crew Inb'!G25&lt;&gt;"",'Crew Inb'!G25,"")</f>
        <v>Filipino</v>
      </c>
      <c r="G22" s="173">
        <f>IF('Crew Inb'!H25&lt;&gt;"",'Crew Inb'!H25,"")</f>
        <v>24553</v>
      </c>
      <c r="H22" s="174" t="str">
        <f>IF('Crew Inb'!I25&lt;&gt;"",'Crew Inb'!I25,"")</f>
        <v>Filipino</v>
      </c>
      <c r="I22" s="174"/>
      <c r="J22" s="175" t="s">
        <v>715</v>
      </c>
      <c r="K22" s="169" t="str">
        <f>IF('Crew Inb'!K25&lt;&gt;"",'Crew Inb'!K25,"")</f>
        <v>EC4389049</v>
      </c>
      <c r="L22" s="169"/>
    </row>
    <row r="23" s="161" customFormat="1" customHeight="1" spans="2:12">
      <c r="B23" s="169">
        <f>IF(C23&lt;&gt;"",COUNTA(C$8:C23),"")</f>
        <v>16</v>
      </c>
      <c r="C23" s="170" t="str">
        <f>IF('Crew Inb'!C26&lt;&gt;"",'Crew Inb'!C26&amp;" "&amp;'Crew Inb'!D26,"")</f>
        <v>CAMILOTE GEOFFREY CALETINA </v>
      </c>
      <c r="D23" s="169" t="str">
        <f>IF('Crew Inb'!E26&lt;&gt;"",'Crew Inb'!E26,"")</f>
        <v>M</v>
      </c>
      <c r="E23" s="171" t="str">
        <f>IF('Crew Inb'!F26&lt;&gt;"",'Crew Inb'!F26,"")</f>
        <v>Oiler</v>
      </c>
      <c r="F23" s="172" t="str">
        <f>IF('Crew Inb'!G26&lt;&gt;"",'Crew Inb'!G26,"")</f>
        <v>Filipino</v>
      </c>
      <c r="G23" s="173">
        <f>IF('Crew Inb'!H26&lt;&gt;"",'Crew Inb'!H26,"")</f>
        <v>28098</v>
      </c>
      <c r="H23" s="174" t="str">
        <f>IF('Crew Inb'!I26&lt;&gt;"",'Crew Inb'!I26,"")</f>
        <v>Filipino</v>
      </c>
      <c r="I23" s="174"/>
      <c r="J23" s="175" t="s">
        <v>715</v>
      </c>
      <c r="K23" s="169" t="str">
        <f>IF('Crew Inb'!K26&lt;&gt;"",'Crew Inb'!K26,"")</f>
        <v>P2263420A</v>
      </c>
      <c r="L23" s="169"/>
    </row>
    <row r="24" s="161" customFormat="1" customHeight="1" spans="2:12">
      <c r="B24" s="169">
        <f>IF(C24&lt;&gt;"",COUNTA(C$8:C24),"")</f>
        <v>17</v>
      </c>
      <c r="C24" s="170" t="str">
        <f>IF('Crew Inb'!C27&lt;&gt;"",'Crew Inb'!C27&amp;" "&amp;'Crew Inb'!D27,"")</f>
        <v>ECAT JOSEPH PAUL TENEBRO </v>
      </c>
      <c r="D24" s="169" t="str">
        <f>IF('Crew Inb'!E27&lt;&gt;"",'Crew Inb'!E27,"")</f>
        <v>M</v>
      </c>
      <c r="E24" s="171" t="str">
        <f>IF('Crew Inb'!F27&lt;&gt;"",'Crew Inb'!F27,"")</f>
        <v>Wiper</v>
      </c>
      <c r="F24" s="172" t="str">
        <f>IF('Crew Inb'!G27&lt;&gt;"",'Crew Inb'!G27,"")</f>
        <v>Filipino</v>
      </c>
      <c r="G24" s="173">
        <f>IF('Crew Inb'!H27&lt;&gt;"",'Crew Inb'!H27,"")</f>
        <v>34260</v>
      </c>
      <c r="H24" s="174" t="str">
        <f>IF('Crew Inb'!I27&lt;&gt;"",'Crew Inb'!I27,"")</f>
        <v>Filipino</v>
      </c>
      <c r="I24" s="174"/>
      <c r="J24" s="175" t="s">
        <v>715</v>
      </c>
      <c r="K24" s="169" t="str">
        <f>IF('Crew Inb'!K27&lt;&gt;"",'Crew Inb'!K27,"")</f>
        <v>P3596511A</v>
      </c>
      <c r="L24" s="169"/>
    </row>
    <row r="25" s="161" customFormat="1" customHeight="1" spans="2:12">
      <c r="B25" s="169">
        <f>IF(C25&lt;&gt;"",COUNTA(C$8:C25),"")</f>
        <v>18</v>
      </c>
      <c r="C25" s="170" t="str">
        <f>IF('Crew Inb'!C28&lt;&gt;"",'Crew Inb'!C28&amp;" "&amp;'Crew Inb'!D28,"")</f>
        <v>DELIS  EUGENE SALIGUMBA </v>
      </c>
      <c r="D25" s="169" t="str">
        <f>IF('Crew Inb'!E28&lt;&gt;"",'Crew Inb'!E28,"")</f>
        <v>M</v>
      </c>
      <c r="E25" s="171" t="str">
        <f>IF('Crew Inb'!F28&lt;&gt;"",'Crew Inb'!F28,"")</f>
        <v>Wiper</v>
      </c>
      <c r="F25" s="172" t="str">
        <f>IF('Crew Inb'!G28&lt;&gt;"",'Crew Inb'!G28,"")</f>
        <v>Filipino</v>
      </c>
      <c r="G25" s="173">
        <f>IF('Crew Inb'!H28&lt;&gt;"",'Crew Inb'!H28,"")</f>
        <v>34455</v>
      </c>
      <c r="H25" s="174" t="str">
        <f>IF('Crew Inb'!I28&lt;&gt;"",'Crew Inb'!I28,"")</f>
        <v>Filipino</v>
      </c>
      <c r="I25" s="174"/>
      <c r="J25" s="175" t="s">
        <v>715</v>
      </c>
      <c r="K25" s="169" t="str">
        <f>IF('Crew Inb'!K28&lt;&gt;"",'Crew Inb'!K28,"")</f>
        <v>EC5270716</v>
      </c>
      <c r="L25" s="169"/>
    </row>
    <row r="26" s="161" customFormat="1" customHeight="1" spans="2:12">
      <c r="B26" s="169">
        <f>IF(C26&lt;&gt;"",COUNTA(C$8:C26),"")</f>
        <v>19</v>
      </c>
      <c r="C26" s="170" t="str">
        <f>IF('Crew Inb'!C29&lt;&gt;"",'Crew Inb'!C29&amp;" "&amp;'Crew Inb'!D29,"")</f>
        <v>MOGRO ROMELITO LOSTE </v>
      </c>
      <c r="D26" s="169" t="str">
        <f>IF('Crew Inb'!E29&lt;&gt;"",'Crew Inb'!E29,"")</f>
        <v>M</v>
      </c>
      <c r="E26" s="171" t="str">
        <f>IF('Crew Inb'!F29&lt;&gt;"",'Crew Inb'!F29,"")</f>
        <v>Chief Cook</v>
      </c>
      <c r="F26" s="172" t="str">
        <f>IF('Crew Inb'!G29&lt;&gt;"",'Crew Inb'!G29,"")</f>
        <v>Filipino</v>
      </c>
      <c r="G26" s="173">
        <f>IF('Crew Inb'!H29&lt;&gt;"",'Crew Inb'!H29,"")</f>
        <v>24484</v>
      </c>
      <c r="H26" s="174" t="str">
        <f>IF('Crew Inb'!I29&lt;&gt;"",'Crew Inb'!I29,"")</f>
        <v>Filipino</v>
      </c>
      <c r="I26" s="174"/>
      <c r="J26" s="175" t="s">
        <v>715</v>
      </c>
      <c r="K26" s="169" t="str">
        <f>IF('Crew Inb'!K29&lt;&gt;"",'Crew Inb'!K29,"")</f>
        <v>EC2844651</v>
      </c>
      <c r="L26" s="169"/>
    </row>
    <row r="27" customHeight="1" spans="2:12">
      <c r="I27" s="176">
        <f>YEAR('Gen Outb'!X6)</f>
        <v>2020</v>
      </c>
      <c r="J27" s="176"/>
      <c r="K27" s="177">
        <f>MONTH('Gen Outb'!X6)</f>
        <v>11</v>
      </c>
      <c r="L27" s="177">
        <f>DAY('Gen Outb'!X6)</f>
        <v>25</v>
      </c>
    </row>
    <row r="29" customHeight="1" spans="2:12">
      <c r="H29" s="162" t="s">
        <v>713</v>
      </c>
    </row>
    <row r="30" ht="22.5" customHeight="1" spans="2:12">
      <c r="H30" s="163"/>
      <c r="I30" s="68"/>
      <c r="J30" s="68"/>
    </row>
    <row r="31" s="160" customFormat="1" ht="30" customHeight="1" spans="2:12">
      <c r="B31" s="164"/>
      <c r="C31" s="165" t="str">
        <f>'IMO Gen Outb'!C4</f>
        <v>马士基奋进ERASMUS EFFORT</v>
      </c>
      <c r="D31" s="165"/>
      <c r="E31" s="165"/>
      <c r="F31" s="166"/>
      <c r="G31" s="166"/>
      <c r="H31" s="167" t="str">
        <f>'IMO Gen Outb'!J4</f>
        <v>IMO:1032452</v>
      </c>
      <c r="I31" s="166"/>
      <c r="J31" s="166"/>
      <c r="K31" s="166"/>
      <c r="L31" s="167" t="str">
        <f>'IMO Gen Outb'!C5</f>
        <v>3E8968</v>
      </c>
    </row>
    <row r="32" s="160" customFormat="1" ht="30" customHeight="1" spans="2:12">
      <c r="B32" s="164"/>
      <c r="C32" s="165" t="str">
        <f>'IMO Gen Outb'!J5</f>
        <v>南沙新港NANSHA NEW PORT</v>
      </c>
      <c r="D32" s="165"/>
      <c r="E32" s="165"/>
      <c r="F32" s="165"/>
      <c r="G32" s="166"/>
      <c r="H32" s="166"/>
      <c r="I32" s="168">
        <f>'IMO Gen Outb'!C6</f>
        <v>44160</v>
      </c>
      <c r="J32" s="168"/>
      <c r="K32" s="168"/>
      <c r="L32" s="168"/>
    </row>
    <row r="33" s="160" customFormat="1" ht="30" customHeight="1" spans="2:12">
      <c r="B33" s="164"/>
      <c r="C33" s="165" t="str">
        <f>'IMO Gen Outb'!J6</f>
        <v>巴拿马PANAMA</v>
      </c>
      <c r="D33" s="165"/>
      <c r="E33" s="165"/>
      <c r="F33" s="165"/>
      <c r="G33" s="166"/>
      <c r="H33" s="166"/>
      <c r="I33" s="165" t="str">
        <f>'IMO Gen Outb'!J7</f>
        <v>胡志明市HO CHI MINH CITY</v>
      </c>
      <c r="J33" s="165"/>
      <c r="K33" s="165"/>
      <c r="L33" s="165"/>
    </row>
    <row r="34" ht="42.75" customHeight="1"/>
    <row r="35" s="161" customFormat="1" customHeight="1" spans="2:12">
      <c r="B35" s="169">
        <v>20</v>
      </c>
      <c r="C35" s="170" t="str">
        <f>IF('Crew Inb'!C30&lt;&gt;"",'Crew Inb'!C30&amp;" "&amp;'Crew Inb'!D30,"")</f>
        <v>CAMANAY JONATHAN SUAZO </v>
      </c>
      <c r="D35" s="169" t="s">
        <v>238</v>
      </c>
      <c r="E35" s="172" t="s">
        <v>716</v>
      </c>
      <c r="F35" s="172" t="s">
        <v>375</v>
      </c>
      <c r="G35" s="173">
        <f>IF('Crew Inb'!H30&lt;&gt;"",'Crew Inb'!H30,"")</f>
        <v>31563</v>
      </c>
      <c r="H35" s="174" t="s">
        <v>717</v>
      </c>
      <c r="I35" s="174"/>
      <c r="J35" s="175" t="s">
        <v>715</v>
      </c>
      <c r="K35" s="169" t="str">
        <f>IF('Crew Inb'!K30&lt;&gt;"",'Crew Inb'!K30,"")</f>
        <v>EC8290337</v>
      </c>
      <c r="L35" s="169"/>
    </row>
    <row r="36" s="161" customFormat="1" customHeight="1" spans="2:12">
      <c r="B36" s="169"/>
      <c r="C36" s="170"/>
      <c r="D36" s="169"/>
      <c r="E36" s="172"/>
      <c r="F36" s="172"/>
      <c r="G36" s="173"/>
      <c r="H36" s="174"/>
      <c r="I36" s="174"/>
      <c r="J36" s="174"/>
      <c r="K36" s="169"/>
      <c r="L36" s="169"/>
    </row>
    <row r="37" s="161" customFormat="1" customHeight="1" spans="2:12">
      <c r="B37" s="169"/>
      <c r="C37" s="170"/>
      <c r="D37" s="169"/>
      <c r="E37" s="172"/>
      <c r="F37" s="172"/>
      <c r="G37" s="173"/>
      <c r="H37" s="174"/>
      <c r="I37" s="174"/>
      <c r="J37" s="174"/>
      <c r="K37" s="169"/>
      <c r="L37" s="169"/>
    </row>
    <row r="38" s="161" customFormat="1" customHeight="1" spans="2:12">
      <c r="B38" s="169"/>
      <c r="C38" s="170"/>
      <c r="D38" s="169"/>
      <c r="E38" s="172"/>
      <c r="F38" s="172"/>
      <c r="G38" s="173"/>
      <c r="H38" s="174"/>
      <c r="I38" s="174"/>
      <c r="J38" s="174"/>
      <c r="K38" s="169"/>
      <c r="L38" s="169"/>
    </row>
    <row r="39" s="161" customFormat="1" customHeight="1" spans="2:12">
      <c r="B39" s="169"/>
      <c r="C39" s="170"/>
      <c r="D39" s="169"/>
      <c r="E39" s="172"/>
      <c r="F39" s="172"/>
      <c r="G39" s="173"/>
      <c r="H39" s="174"/>
      <c r="I39" s="174"/>
      <c r="J39" s="174"/>
      <c r="K39" s="169"/>
      <c r="L39" s="169"/>
    </row>
    <row r="40" s="161" customFormat="1" customHeight="1" spans="2:12">
      <c r="B40" s="169"/>
      <c r="C40" s="170"/>
      <c r="D40" s="169"/>
      <c r="E40" s="172"/>
      <c r="F40" s="172"/>
      <c r="G40" s="173"/>
      <c r="H40" s="174"/>
      <c r="I40" s="174"/>
      <c r="J40" s="174"/>
      <c r="K40" s="169"/>
      <c r="L40" s="169"/>
    </row>
    <row r="41" s="161" customFormat="1" customHeight="1" spans="2:12">
      <c r="B41" s="169"/>
      <c r="C41" s="170"/>
      <c r="D41" s="169"/>
      <c r="E41" s="172"/>
      <c r="F41" s="172"/>
      <c r="G41" s="173"/>
      <c r="H41" s="174"/>
      <c r="I41" s="174"/>
      <c r="J41" s="174"/>
      <c r="K41" s="169"/>
      <c r="L41" s="169"/>
    </row>
    <row r="42" s="161" customFormat="1" customHeight="1" spans="2:12">
      <c r="B42" s="169"/>
      <c r="C42" s="170"/>
      <c r="D42" s="169"/>
      <c r="E42" s="172"/>
      <c r="F42" s="172"/>
      <c r="G42" s="173"/>
      <c r="H42" s="174"/>
      <c r="I42" s="174"/>
      <c r="J42" s="174"/>
      <c r="K42" s="169"/>
      <c r="L42" s="169"/>
    </row>
    <row r="43" s="161" customFormat="1" customHeight="1" spans="2:12">
      <c r="B43" s="169"/>
      <c r="C43" s="170"/>
      <c r="D43" s="169"/>
      <c r="E43" s="172"/>
      <c r="F43" s="172"/>
      <c r="G43" s="173"/>
      <c r="H43" s="174"/>
      <c r="I43" s="174"/>
      <c r="J43" s="174"/>
      <c r="K43" s="169"/>
      <c r="L43" s="169"/>
    </row>
    <row r="44" s="161" customFormat="1" customHeight="1" spans="2:12">
      <c r="B44" s="169"/>
      <c r="C44" s="170"/>
      <c r="D44" s="169"/>
      <c r="E44" s="172"/>
      <c r="F44" s="172"/>
      <c r="G44" s="173"/>
      <c r="H44" s="174"/>
      <c r="I44" s="174"/>
      <c r="J44" s="174"/>
      <c r="K44" s="169"/>
      <c r="L44" s="169"/>
    </row>
    <row r="45" s="161" customFormat="1" customHeight="1" spans="2:12">
      <c r="B45" s="169"/>
      <c r="C45" s="170"/>
      <c r="D45" s="169"/>
      <c r="E45" s="172"/>
      <c r="F45" s="172"/>
      <c r="G45" s="173"/>
      <c r="H45" s="174"/>
      <c r="I45" s="174"/>
      <c r="J45" s="174"/>
      <c r="K45" s="169"/>
      <c r="L45" s="169"/>
    </row>
    <row r="46" s="161" customFormat="1" customHeight="1" spans="2:12">
      <c r="B46" s="169"/>
      <c r="C46" s="170"/>
      <c r="D46" s="169"/>
      <c r="E46" s="172"/>
      <c r="F46" s="172"/>
      <c r="G46" s="173"/>
      <c r="H46" s="174"/>
      <c r="I46" s="174"/>
      <c r="J46" s="174"/>
      <c r="K46" s="169"/>
      <c r="L46" s="169"/>
    </row>
    <row r="47" s="161" customFormat="1" customHeight="1" spans="2:12">
      <c r="B47" s="169"/>
      <c r="C47" s="170"/>
      <c r="D47" s="169"/>
      <c r="E47" s="172"/>
      <c r="F47" s="172"/>
      <c r="G47" s="173"/>
      <c r="H47" s="174"/>
      <c r="I47" s="174"/>
      <c r="J47" s="174"/>
      <c r="K47" s="169"/>
      <c r="L47" s="169"/>
    </row>
    <row r="48" s="161" customFormat="1" customHeight="1" spans="2:12">
      <c r="B48" s="169"/>
      <c r="C48" s="170"/>
      <c r="D48" s="169"/>
      <c r="E48" s="172"/>
      <c r="F48" s="172"/>
      <c r="G48" s="173"/>
      <c r="H48" s="174"/>
      <c r="I48" s="174"/>
      <c r="J48" s="174"/>
      <c r="K48" s="169"/>
      <c r="L48" s="169"/>
    </row>
    <row r="49" s="161" customFormat="1" customHeight="1" spans="2:12">
      <c r="B49" s="169"/>
      <c r="C49" s="170"/>
      <c r="D49" s="169"/>
      <c r="E49" s="172"/>
      <c r="F49" s="172"/>
      <c r="G49" s="173"/>
      <c r="H49" s="174"/>
      <c r="I49" s="174"/>
      <c r="J49" s="174"/>
      <c r="K49" s="169"/>
      <c r="L49" s="169"/>
    </row>
    <row r="50" s="161" customFormat="1" customHeight="1" spans="2:12">
      <c r="B50" s="169"/>
      <c r="C50" s="170"/>
      <c r="D50" s="169"/>
      <c r="E50" s="172"/>
      <c r="F50" s="172"/>
      <c r="G50" s="173"/>
      <c r="H50" s="174"/>
      <c r="I50" s="174"/>
      <c r="J50" s="174"/>
      <c r="K50" s="169"/>
      <c r="L50" s="169"/>
    </row>
    <row r="51" s="161" customFormat="1" customHeight="1" spans="2:12">
      <c r="B51" s="169"/>
      <c r="C51" s="170"/>
      <c r="D51" s="169"/>
      <c r="E51" s="172"/>
      <c r="F51" s="172"/>
      <c r="G51" s="173"/>
      <c r="H51" s="174"/>
      <c r="I51" s="174"/>
      <c r="J51" s="174"/>
      <c r="K51" s="169"/>
      <c r="L51" s="169"/>
    </row>
    <row r="52" customHeight="1" spans="2:12">
      <c r="I52" s="176">
        <f>YEAR('Gen Outb'!X6)</f>
        <v>2020</v>
      </c>
      <c r="J52" s="176"/>
      <c r="K52" s="177">
        <f>MONTH('Gen Outb'!X6)</f>
        <v>11</v>
      </c>
      <c r="L52" s="177">
        <f>DAY('Gen Outb'!X6)</f>
        <v>25</v>
      </c>
    </row>
  </sheetData>
  <mergeCells count="82">
    <mergeCell ref="C4:E4"/>
    <mergeCell ref="C5:F5"/>
    <mergeCell ref="I5:L5"/>
    <mergeCell ref="C6:F6"/>
    <mergeCell ref="I6:L6"/>
    <mergeCell ref="H8:I8"/>
    <mergeCell ref="K8:L8"/>
    <mergeCell ref="H9:I9"/>
    <mergeCell ref="K9:L9"/>
    <mergeCell ref="H10:I10"/>
    <mergeCell ref="K10:L10"/>
    <mergeCell ref="H11:I11"/>
    <mergeCell ref="K11:L11"/>
    <mergeCell ref="H12:I12"/>
    <mergeCell ref="K12:L12"/>
    <mergeCell ref="H13:I13"/>
    <mergeCell ref="K13:L13"/>
    <mergeCell ref="H14:I14"/>
    <mergeCell ref="K14:L14"/>
    <mergeCell ref="H15:I15"/>
    <mergeCell ref="K15:L15"/>
    <mergeCell ref="H16:I16"/>
    <mergeCell ref="K16:L16"/>
    <mergeCell ref="H17:I17"/>
    <mergeCell ref="K17:L17"/>
    <mergeCell ref="H18:I18"/>
    <mergeCell ref="K18:L18"/>
    <mergeCell ref="H19:I19"/>
    <mergeCell ref="K19:L19"/>
    <mergeCell ref="H20:I20"/>
    <mergeCell ref="K20:L20"/>
    <mergeCell ref="H21:I21"/>
    <mergeCell ref="K21:L21"/>
    <mergeCell ref="H22:I22"/>
    <mergeCell ref="K22:L22"/>
    <mergeCell ref="H23:I23"/>
    <mergeCell ref="K23:L23"/>
    <mergeCell ref="H24:I24"/>
    <mergeCell ref="K24:L24"/>
    <mergeCell ref="H25:I25"/>
    <mergeCell ref="K25:L25"/>
    <mergeCell ref="H26:I26"/>
    <mergeCell ref="K26:L26"/>
    <mergeCell ref="C31:E31"/>
    <mergeCell ref="C32:F32"/>
    <mergeCell ref="I32:L32"/>
    <mergeCell ref="C33:F33"/>
    <mergeCell ref="I33:L33"/>
    <mergeCell ref="H35:I35"/>
    <mergeCell ref="K35:L35"/>
    <mergeCell ref="H36:I36"/>
    <mergeCell ref="K36:L36"/>
    <mergeCell ref="H37:I37"/>
    <mergeCell ref="K37:L37"/>
    <mergeCell ref="H38:I38"/>
    <mergeCell ref="K38:L38"/>
    <mergeCell ref="H39:I39"/>
    <mergeCell ref="K39:L39"/>
    <mergeCell ref="H40:I40"/>
    <mergeCell ref="K40:L40"/>
    <mergeCell ref="H41:I41"/>
    <mergeCell ref="K41:L41"/>
    <mergeCell ref="H42:I42"/>
    <mergeCell ref="K42:L42"/>
    <mergeCell ref="H43:I43"/>
    <mergeCell ref="K43:L43"/>
    <mergeCell ref="H44:I44"/>
    <mergeCell ref="K44:L44"/>
    <mergeCell ref="H45:I45"/>
    <mergeCell ref="K45:L45"/>
    <mergeCell ref="H46:I46"/>
    <mergeCell ref="K46:L46"/>
    <mergeCell ref="H47:I47"/>
    <mergeCell ref="K47:L47"/>
    <mergeCell ref="H48:I48"/>
    <mergeCell ref="K48:L48"/>
    <mergeCell ref="H49:I49"/>
    <mergeCell ref="K49:L49"/>
    <mergeCell ref="H50:I50"/>
    <mergeCell ref="K50:L50"/>
    <mergeCell ref="H51:I51"/>
    <mergeCell ref="K51:L51"/>
  </mergeCells>
  <pageMargins left="0.235416666666667" right="0.235416666666667" top="0.747916666666667" bottom="0.747916666666667" header="0.313888888888889" footer="0.313888888888889"/>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dimension ref="A1:AD53"/>
  <sheetViews>
    <sheetView view="pageBreakPreview" zoomScale="85" zoomScaleNormal="100" workbookViewId="0">
      <selection activeCell="X26" sqref="X26"/>
    </sheetView>
  </sheetViews>
  <sheetFormatPr defaultColWidth="9" defaultRowHeight="13.5"/>
  <cols>
    <col min="1" max="1" width="4.75" style="31" customWidth="1"/>
    <col min="2" max="2" width="2.375" style="31" customWidth="1"/>
    <col min="3" max="3" width="4.5" style="31" customWidth="1"/>
    <col min="4" max="4" width="2.875" style="31" customWidth="1"/>
    <col min="5" max="5" width="3.375" style="31" customWidth="1"/>
    <col min="6" max="6" width="3.25" style="31" customWidth="1"/>
    <col min="7" max="7" width="3.875" style="31" customWidth="1"/>
    <col min="8" max="8" width="4.125" style="31" customWidth="1"/>
    <col min="9" max="9" width="7.75" style="31" customWidth="1"/>
    <col min="10" max="10" width="2.75" style="31" customWidth="1"/>
    <col min="11" max="11" width="5.375" style="31" customWidth="1"/>
    <col min="12" max="12" width="2.375" style="31" customWidth="1"/>
    <col min="13" max="13" width="4.625" style="31" customWidth="1"/>
    <col min="14" max="14" width="2.75" style="31" customWidth="1"/>
    <col min="15" max="15" width="3.25" style="31" customWidth="1"/>
    <col min="16" max="16" width="3.625" style="31" customWidth="1"/>
    <col min="17" max="17" width="3.875" style="31" customWidth="1"/>
    <col min="18" max="18" width="4.375" style="31" customWidth="1"/>
    <col min="19" max="19" width="5.875" style="31" customWidth="1"/>
    <col min="20" max="20" width="4.875" style="31" customWidth="1"/>
    <col min="21" max="16384" width="9" style="31"/>
  </cols>
  <sheetData>
    <row r="1" ht="18.75" spans="1:20">
      <c r="A1" s="94" t="s">
        <v>718</v>
      </c>
      <c r="B1" s="94"/>
      <c r="C1" s="95" t="str">
        <f>'Parts A'!B6</f>
        <v>3E8968</v>
      </c>
      <c r="D1" s="36"/>
      <c r="E1" s="96" t="s">
        <v>719</v>
      </c>
      <c r="F1" s="97"/>
      <c r="G1" s="96"/>
      <c r="H1" s="96"/>
      <c r="I1" s="96"/>
      <c r="J1" s="96"/>
      <c r="K1" s="96"/>
      <c r="L1" s="96"/>
      <c r="M1" s="96"/>
      <c r="N1" s="96"/>
      <c r="O1" s="96"/>
      <c r="P1" s="96"/>
      <c r="Q1" s="98"/>
      <c r="R1" s="98"/>
      <c r="S1" s="98"/>
      <c r="T1" s="99"/>
    </row>
    <row r="2" customHeight="1" spans="1:20">
      <c r="A2" s="94" t="s">
        <v>720</v>
      </c>
      <c r="B2" s="100"/>
      <c r="C2" s="101"/>
      <c r="D2" s="102"/>
      <c r="E2" s="103"/>
      <c r="F2" s="103"/>
      <c r="G2" s="103"/>
      <c r="H2" s="103"/>
      <c r="I2" s="103"/>
      <c r="J2" s="103"/>
      <c r="K2" s="103"/>
      <c r="L2" s="103"/>
      <c r="M2" s="103"/>
      <c r="N2" s="103"/>
      <c r="O2" s="103"/>
      <c r="P2" s="103"/>
      <c r="Q2" s="103"/>
      <c r="R2" s="103"/>
      <c r="S2" s="103"/>
      <c r="T2" s="103"/>
    </row>
    <row r="3" ht="18.75" customHeight="1" spans="1:20">
      <c r="A3" s="104" t="s">
        <v>721</v>
      </c>
      <c r="B3" s="105"/>
      <c r="C3" s="105"/>
      <c r="D3" s="105"/>
      <c r="E3" s="105"/>
      <c r="F3" s="105"/>
      <c r="G3" s="105"/>
      <c r="H3" s="105"/>
      <c r="I3" s="105"/>
      <c r="J3" s="105"/>
      <c r="K3" s="105"/>
      <c r="L3" s="105"/>
      <c r="M3" s="105"/>
      <c r="N3" s="105"/>
      <c r="O3" s="105"/>
      <c r="P3" s="105"/>
      <c r="Q3" s="105"/>
      <c r="R3" s="105"/>
      <c r="S3" s="105"/>
      <c r="T3" s="105"/>
    </row>
    <row r="4" ht="15.75" customHeight="1" spans="1:20">
      <c r="A4" s="48" t="s">
        <v>722</v>
      </c>
      <c r="B4" s="106"/>
      <c r="C4" s="107" t="str">
        <f>'Gen Inb'!I10</f>
        <v>IMO:1032452</v>
      </c>
      <c r="D4" s="107"/>
      <c r="E4" s="107"/>
      <c r="F4" s="107"/>
      <c r="G4" s="107"/>
      <c r="H4" s="106"/>
      <c r="I4" s="106"/>
      <c r="J4" s="106"/>
      <c r="K4" s="106"/>
      <c r="L4" s="106"/>
      <c r="M4" s="106"/>
      <c r="N4" s="106"/>
      <c r="O4" s="106"/>
      <c r="P4" s="106"/>
      <c r="Q4" s="106"/>
      <c r="R4" s="106"/>
      <c r="S4" s="106"/>
      <c r="T4" s="106"/>
    </row>
    <row r="5" spans="1:20">
      <c r="A5" s="108" t="s">
        <v>723</v>
      </c>
      <c r="B5" s="109"/>
      <c r="C5" s="109"/>
      <c r="D5" s="109"/>
      <c r="E5" s="109"/>
      <c r="F5" s="109"/>
      <c r="G5" s="109"/>
      <c r="H5" s="109"/>
      <c r="I5" s="109"/>
      <c r="J5" s="109"/>
      <c r="K5" s="109"/>
      <c r="L5" s="109"/>
      <c r="M5" s="109"/>
      <c r="N5" s="109"/>
      <c r="O5" s="109"/>
      <c r="P5" s="109"/>
      <c r="Q5" s="109"/>
      <c r="R5" s="109"/>
      <c r="S5" s="109"/>
      <c r="T5" s="110"/>
    </row>
    <row r="6" ht="9.75" customHeight="1" spans="1:20">
      <c r="A6" s="111"/>
      <c r="B6" s="111"/>
      <c r="C6" s="111"/>
      <c r="D6" s="111"/>
      <c r="E6" s="111"/>
      <c r="F6" s="111"/>
      <c r="G6" s="111"/>
      <c r="H6" s="111"/>
      <c r="I6" s="111"/>
      <c r="J6" s="111"/>
      <c r="K6" s="103"/>
      <c r="L6" s="103"/>
      <c r="M6" s="103"/>
      <c r="N6" s="103"/>
      <c r="O6" s="103"/>
      <c r="P6" s="103"/>
      <c r="Q6" s="103"/>
      <c r="R6" s="103"/>
      <c r="S6" s="103"/>
      <c r="T6" s="103"/>
    </row>
    <row r="7" spans="1:20">
      <c r="A7" s="111" t="s">
        <v>724</v>
      </c>
      <c r="B7" s="103"/>
      <c r="C7" s="103"/>
      <c r="D7" s="103"/>
      <c r="E7" s="103"/>
      <c r="F7" s="103"/>
      <c r="G7" s="103"/>
      <c r="H7" s="103"/>
      <c r="I7" s="103"/>
      <c r="J7" s="103"/>
      <c r="K7" s="103"/>
      <c r="L7" s="103"/>
      <c r="M7" s="103"/>
      <c r="N7" s="103"/>
      <c r="O7" s="103"/>
      <c r="P7" s="103"/>
      <c r="Q7" s="103"/>
      <c r="R7" s="103"/>
      <c r="S7" s="103"/>
      <c r="T7" s="103"/>
    </row>
    <row r="8" ht="9.75" customHeight="1" spans="1:20">
      <c r="A8" s="112"/>
      <c r="B8" s="112"/>
      <c r="C8" s="112"/>
      <c r="D8" s="112"/>
      <c r="E8" s="112"/>
      <c r="F8" s="112"/>
      <c r="G8" s="112"/>
      <c r="H8" s="112"/>
      <c r="I8" s="112"/>
      <c r="J8" s="112"/>
      <c r="K8" s="112"/>
      <c r="L8" s="112"/>
      <c r="M8" s="112"/>
      <c r="N8" s="112"/>
      <c r="O8" s="112"/>
      <c r="P8" s="112"/>
      <c r="Q8" s="112"/>
      <c r="R8" s="112"/>
      <c r="S8" s="112"/>
    </row>
    <row r="9" spans="1:20">
      <c r="A9" s="113" t="s">
        <v>725</v>
      </c>
      <c r="B9" s="110"/>
      <c r="C9" s="110"/>
      <c r="D9" s="110"/>
      <c r="E9" s="110"/>
      <c r="F9" s="110"/>
      <c r="G9" s="110"/>
      <c r="H9" s="110"/>
      <c r="I9" s="110"/>
      <c r="J9" s="110"/>
      <c r="K9" s="110"/>
      <c r="L9" s="114"/>
      <c r="M9" s="114"/>
      <c r="N9" s="114"/>
      <c r="O9" s="114"/>
      <c r="P9" s="114"/>
      <c r="Q9" s="114"/>
      <c r="R9" s="114"/>
      <c r="S9" s="114"/>
    </row>
    <row r="10" ht="9.75" customHeight="1" spans="1:20">
      <c r="A10" s="113"/>
    </row>
    <row r="11" spans="1:20">
      <c r="A11" s="113" t="s">
        <v>726</v>
      </c>
      <c r="B11" s="114"/>
      <c r="C11" s="114"/>
      <c r="D11" s="114"/>
      <c r="E11" s="114"/>
      <c r="F11" s="114"/>
      <c r="G11" s="114"/>
      <c r="H11" s="114"/>
      <c r="I11" s="114"/>
      <c r="J11" s="114"/>
      <c r="K11" s="114"/>
      <c r="L11" s="114"/>
      <c r="M11" s="114"/>
      <c r="N11" s="114"/>
      <c r="O11" s="114"/>
      <c r="P11" s="114"/>
      <c r="Q11" s="114"/>
      <c r="R11" s="114"/>
      <c r="S11" s="114"/>
    </row>
    <row r="12" ht="9.75" customHeight="1" spans="1:20">
      <c r="A12" s="113"/>
    </row>
    <row r="13" spans="1:20">
      <c r="A13" s="113" t="s">
        <v>727</v>
      </c>
      <c r="B13" s="114"/>
      <c r="C13" s="114"/>
      <c r="D13" s="114"/>
      <c r="E13" s="114"/>
      <c r="F13" s="114"/>
      <c r="G13" s="114"/>
      <c r="H13" s="114"/>
      <c r="I13" s="114"/>
      <c r="J13" s="114"/>
      <c r="K13" s="114"/>
      <c r="L13" s="114"/>
      <c r="M13" s="114"/>
      <c r="N13" s="114"/>
      <c r="O13" s="114"/>
      <c r="P13" s="114"/>
      <c r="Q13" s="114"/>
      <c r="R13" s="114"/>
      <c r="S13" s="114"/>
    </row>
    <row r="14" ht="9.75" customHeight="1" spans="1:20">
      <c r="A14" s="113"/>
    </row>
    <row r="15" spans="1:20">
      <c r="A15" s="113" t="s">
        <v>728</v>
      </c>
      <c r="B15" s="114"/>
      <c r="C15" s="114"/>
      <c r="D15" s="114"/>
      <c r="E15" s="114"/>
      <c r="F15" s="114"/>
      <c r="G15" s="114"/>
      <c r="H15" s="114"/>
      <c r="I15" s="114"/>
      <c r="J15" s="114"/>
      <c r="K15" s="114"/>
      <c r="L15" s="114"/>
      <c r="M15" s="114"/>
      <c r="N15" s="114"/>
      <c r="O15" s="114"/>
      <c r="P15" s="114"/>
      <c r="Q15" s="114"/>
      <c r="R15" s="114"/>
      <c r="S15" s="114"/>
    </row>
    <row r="16" ht="9.75" customHeight="1" spans="1:20">
      <c r="A16" s="113"/>
    </row>
    <row r="17" spans="1:23">
      <c r="A17" s="115" t="s">
        <v>729</v>
      </c>
      <c r="B17" s="36"/>
      <c r="C17" s="36"/>
      <c r="D17" s="36"/>
      <c r="E17" s="36"/>
      <c r="F17" s="36"/>
      <c r="G17" s="36"/>
      <c r="H17" s="36"/>
      <c r="I17" s="36"/>
      <c r="J17" s="36"/>
      <c r="K17" s="36"/>
      <c r="L17" s="36"/>
      <c r="M17" s="36"/>
      <c r="N17" s="36"/>
      <c r="O17" s="36"/>
      <c r="P17" s="36"/>
      <c r="Q17" s="36"/>
      <c r="R17" s="36"/>
      <c r="S17" s="36"/>
    </row>
    <row r="18" customHeight="1"/>
    <row r="19" ht="15.75" customHeight="1" spans="1:23">
      <c r="B19" s="116" t="s">
        <v>730</v>
      </c>
      <c r="C19" s="31" t="s">
        <v>493</v>
      </c>
      <c r="F19" s="96" t="str">
        <f>'Gen Inb'!I6</f>
        <v>马士基奋进</v>
      </c>
      <c r="G19" s="96"/>
      <c r="H19" s="96"/>
      <c r="I19" s="96"/>
      <c r="J19" s="96"/>
      <c r="L19" s="116" t="s">
        <v>731</v>
      </c>
      <c r="M19" s="31" t="s">
        <v>732</v>
      </c>
      <c r="Q19" s="117" t="str">
        <f>'Gen Inb'!M6&amp;'Gen Inb'!M7</f>
        <v>集装箱轮Container</v>
      </c>
      <c r="R19" s="117"/>
      <c r="S19" s="117"/>
      <c r="T19" s="30"/>
    </row>
    <row r="20" ht="9" customHeight="1" spans="1:23">
      <c r="B20" s="116"/>
      <c r="F20" s="96"/>
      <c r="G20" s="96"/>
      <c r="H20" s="96"/>
      <c r="I20" s="96"/>
      <c r="J20" s="96"/>
      <c r="L20" s="118"/>
      <c r="Q20" s="117"/>
      <c r="R20" s="117"/>
      <c r="S20" s="117"/>
      <c r="T20" s="30"/>
    </row>
    <row r="21" ht="15.75" spans="1:23">
      <c r="B21" s="118"/>
      <c r="C21" s="119" t="s">
        <v>733</v>
      </c>
      <c r="D21" s="120"/>
      <c r="E21" s="120"/>
      <c r="F21" s="121" t="str">
        <f>'Gen Inb'!I7</f>
        <v>ERASMUS EFFORT</v>
      </c>
      <c r="G21" s="121"/>
      <c r="H21" s="121"/>
      <c r="I21" s="121"/>
      <c r="J21" s="121"/>
      <c r="L21" s="118"/>
      <c r="M21" s="119" t="s">
        <v>734</v>
      </c>
      <c r="N21" s="120"/>
      <c r="O21" s="120"/>
      <c r="P21" s="120"/>
      <c r="Q21" s="122"/>
      <c r="R21" s="122"/>
      <c r="S21" s="122"/>
      <c r="T21" s="30"/>
    </row>
    <row r="22" ht="9" customHeight="1" spans="1:23">
      <c r="B22" s="118"/>
      <c r="H22" s="118"/>
      <c r="L22" s="118"/>
      <c r="T22" s="30"/>
    </row>
    <row r="23" ht="15.75" spans="1:23">
      <c r="B23" s="116" t="s">
        <v>735</v>
      </c>
      <c r="C23" s="31" t="s">
        <v>494</v>
      </c>
      <c r="F23" s="96" t="str">
        <f>'Gen Inb'!F8</f>
        <v>巴拿马</v>
      </c>
      <c r="G23" s="96"/>
      <c r="H23" s="96"/>
      <c r="I23" s="96"/>
      <c r="J23" s="96"/>
      <c r="L23" s="116" t="s">
        <v>736</v>
      </c>
      <c r="M23" s="31" t="s">
        <v>25</v>
      </c>
      <c r="P23" s="96">
        <f>'Parts A'!G5</f>
        <v>4523</v>
      </c>
      <c r="Q23" s="96"/>
      <c r="R23" s="96"/>
      <c r="S23" s="96"/>
      <c r="T23" s="30"/>
    </row>
    <row r="24" ht="9" customHeight="1" spans="1:23">
      <c r="B24" s="116"/>
      <c r="F24" s="96"/>
      <c r="G24" s="96"/>
      <c r="H24" s="96"/>
      <c r="I24" s="96"/>
      <c r="J24" s="96"/>
      <c r="L24" s="118"/>
      <c r="P24" s="96"/>
      <c r="Q24" s="96"/>
      <c r="R24" s="96"/>
      <c r="S24" s="96"/>
      <c r="T24" s="30"/>
    </row>
    <row r="25" ht="15.75" customHeight="1" spans="1:23">
      <c r="B25" s="118"/>
      <c r="C25" s="119" t="s">
        <v>344</v>
      </c>
      <c r="D25" s="120"/>
      <c r="E25" s="123" t="str">
        <f>'Gen Inb'!F9</f>
        <v>PANAMA</v>
      </c>
      <c r="F25" s="124"/>
      <c r="G25" s="124"/>
      <c r="H25" s="124"/>
      <c r="I25" s="124"/>
      <c r="J25" s="124"/>
      <c r="L25" s="118"/>
      <c r="M25" s="125" t="s">
        <v>737</v>
      </c>
      <c r="N25" s="126"/>
      <c r="O25" s="126"/>
      <c r="P25" s="127"/>
      <c r="Q25" s="127"/>
      <c r="R25" s="127"/>
      <c r="S25" s="127"/>
      <c r="T25" s="30"/>
    </row>
    <row r="26" ht="9" customHeight="1" spans="1:23">
      <c r="B26" s="118"/>
      <c r="H26" s="118"/>
      <c r="L26" s="118"/>
      <c r="T26" s="30"/>
    </row>
    <row r="27" ht="15.75" spans="1:23">
      <c r="B27" s="116" t="s">
        <v>738</v>
      </c>
      <c r="C27" s="31" t="s">
        <v>739</v>
      </c>
      <c r="F27" s="128">
        <f>'Gen Inb'!X6</f>
        <v>46238</v>
      </c>
      <c r="G27" s="128"/>
      <c r="H27" s="128"/>
      <c r="I27" s="128"/>
      <c r="L27" s="116" t="s">
        <v>740</v>
      </c>
      <c r="M27" s="31" t="s">
        <v>741</v>
      </c>
      <c r="Q27" s="3" t="s">
        <v>742</v>
      </c>
      <c r="R27" s="3"/>
      <c r="S27" s="3"/>
      <c r="T27" s="30"/>
      <c r="W27" s="129" t="s">
        <v>108</v>
      </c>
    </row>
    <row r="28" ht="9" customHeight="1" spans="1:23">
      <c r="B28" s="116"/>
      <c r="F28" s="128"/>
      <c r="G28" s="128"/>
      <c r="H28" s="128"/>
      <c r="I28" s="128"/>
      <c r="J28" s="1"/>
      <c r="L28" s="118"/>
      <c r="Q28" s="3"/>
      <c r="R28" s="3"/>
      <c r="S28" s="3"/>
      <c r="T28" s="30"/>
    </row>
    <row r="29" ht="15.75" spans="1:23">
      <c r="B29" s="118"/>
      <c r="C29" s="119" t="s">
        <v>743</v>
      </c>
      <c r="D29" s="120"/>
      <c r="E29" s="120"/>
      <c r="F29" s="130"/>
      <c r="G29" s="130"/>
      <c r="H29" s="130"/>
      <c r="I29" s="130"/>
      <c r="J29" s="64"/>
      <c r="L29" s="118"/>
      <c r="M29" s="119" t="s">
        <v>744</v>
      </c>
      <c r="N29" s="120"/>
      <c r="O29" s="120"/>
      <c r="P29" s="120"/>
      <c r="Q29" s="124"/>
      <c r="R29" s="124"/>
      <c r="S29" s="124"/>
      <c r="T29" s="30"/>
    </row>
    <row r="30" ht="9" customHeight="1" spans="1:23">
      <c r="B30" s="118"/>
      <c r="H30" s="118"/>
      <c r="L30" s="118"/>
      <c r="T30" s="30"/>
    </row>
    <row r="31" ht="15.75" spans="1:23">
      <c r="B31" s="116" t="s">
        <v>745</v>
      </c>
      <c r="C31" s="31" t="s">
        <v>746</v>
      </c>
      <c r="T31" s="30"/>
    </row>
    <row r="32" ht="9" customHeight="1" spans="1:23">
      <c r="T32" s="30"/>
    </row>
    <row r="33" ht="15" spans="1:20">
      <c r="C33" s="131" t="s">
        <v>747</v>
      </c>
      <c r="T33" s="30"/>
    </row>
    <row r="34" ht="9.75" customHeight="1" spans="1:20">
      <c r="C34" s="132" t="s">
        <v>748</v>
      </c>
      <c r="D34"/>
      <c r="E34"/>
      <c r="F34"/>
      <c r="G34"/>
      <c r="H34"/>
      <c r="I34"/>
      <c r="J34"/>
      <c r="K34"/>
      <c r="L34"/>
      <c r="M34"/>
      <c r="N34"/>
      <c r="O34"/>
      <c r="P34"/>
      <c r="Q34"/>
      <c r="R34"/>
      <c r="S34"/>
      <c r="T34" s="30"/>
    </row>
    <row r="35" customHeight="1" spans="1:20">
      <c r="C35" s="133"/>
      <c r="D35" s="133"/>
      <c r="E35" s="133"/>
      <c r="F35" s="133"/>
      <c r="G35" s="133"/>
      <c r="H35" s="133"/>
      <c r="I35" s="133"/>
      <c r="J35" s="133"/>
      <c r="K35" s="133"/>
      <c r="L35" s="133"/>
      <c r="M35" s="133"/>
      <c r="N35" s="133"/>
      <c r="O35" s="133"/>
      <c r="P35" s="133"/>
      <c r="Q35" s="133"/>
      <c r="R35" s="133"/>
      <c r="S35" s="133"/>
      <c r="T35" s="30"/>
    </row>
    <row r="36" ht="9.75" customHeight="1" spans="1:20">
      <c r="T36" s="30"/>
    </row>
    <row r="37" ht="15.75" spans="1:20">
      <c r="C37" s="36" t="s">
        <v>749</v>
      </c>
      <c r="O37" s="31" t="s">
        <v>750</v>
      </c>
      <c r="T37" s="30"/>
    </row>
    <row r="38" ht="9.75" customHeight="1" spans="1:20">
      <c r="T38" s="30"/>
    </row>
    <row r="39" ht="15.75" spans="1:20">
      <c r="A39" s="31" t="s">
        <v>751</v>
      </c>
      <c r="T39" s="30"/>
    </row>
    <row r="40" ht="9.75" customHeight="1" spans="1:20">
      <c r="T40" s="30"/>
    </row>
    <row r="41" ht="15" spans="1:20">
      <c r="C41" s="134" t="s">
        <v>752</v>
      </c>
      <c r="D41" s="134"/>
      <c r="E41" s="134"/>
      <c r="F41" s="134"/>
      <c r="G41" s="134"/>
      <c r="H41" s="134"/>
      <c r="I41" s="134"/>
      <c r="J41" s="134"/>
      <c r="K41" s="134"/>
      <c r="L41" s="134"/>
      <c r="M41" s="134"/>
      <c r="N41" s="134"/>
      <c r="O41" s="134"/>
      <c r="P41" s="134"/>
      <c r="Q41" s="134"/>
      <c r="R41" s="134"/>
      <c r="S41" s="134"/>
      <c r="T41" s="134"/>
    </row>
    <row r="42" ht="9.75" customHeight="1" spans="1:20">
      <c r="C42" s="112"/>
      <c r="D42" s="112"/>
      <c r="E42" s="112"/>
      <c r="F42" s="112"/>
      <c r="G42" s="112"/>
      <c r="H42" s="112"/>
      <c r="I42" s="112"/>
      <c r="J42" s="112"/>
      <c r="K42" s="112"/>
      <c r="L42" s="112"/>
      <c r="M42" s="112"/>
      <c r="N42" s="112"/>
      <c r="O42" s="112"/>
      <c r="P42" s="112"/>
      <c r="Q42" s="112"/>
      <c r="R42" s="112"/>
      <c r="S42" s="112"/>
      <c r="T42" s="135"/>
    </row>
    <row r="43" ht="15" spans="1:20">
      <c r="A43" s="131" t="s">
        <v>753</v>
      </c>
      <c r="D43" s="112"/>
      <c r="E43" s="112"/>
      <c r="F43" s="112"/>
      <c r="G43" s="112"/>
      <c r="H43" s="112"/>
      <c r="I43" s="112"/>
      <c r="J43" s="112"/>
      <c r="K43" s="112"/>
      <c r="L43" s="112"/>
      <c r="M43" s="112"/>
      <c r="N43" s="112"/>
      <c r="O43" s="112"/>
      <c r="P43" s="112"/>
      <c r="Q43" s="112"/>
      <c r="R43" s="112"/>
      <c r="S43" s="112"/>
      <c r="T43" s="135"/>
    </row>
    <row r="44" ht="9.75" customHeight="1" spans="1:20">
      <c r="T44" s="30"/>
    </row>
    <row r="45" ht="15.75" spans="1:20">
      <c r="C45" s="48" t="s">
        <v>754</v>
      </c>
      <c r="K45" s="48" t="s">
        <v>755</v>
      </c>
      <c r="T45" s="30"/>
    </row>
    <row r="46" ht="9.75" customHeight="1" spans="1:20">
      <c r="E46" s="136"/>
      <c r="F46" s="136"/>
      <c r="G46" s="136"/>
      <c r="H46" s="136"/>
      <c r="I46" s="136"/>
      <c r="O46" s="1"/>
      <c r="P46" s="1"/>
      <c r="Q46" s="1"/>
      <c r="R46" s="1"/>
      <c r="S46" s="1"/>
      <c r="T46" s="30"/>
    </row>
    <row r="47" ht="15.75" spans="1:20">
      <c r="A47" s="31" t="s">
        <v>756</v>
      </c>
      <c r="E47" s="137"/>
      <c r="F47" s="137"/>
      <c r="G47" s="137"/>
      <c r="H47" s="137"/>
      <c r="I47" s="137"/>
      <c r="J47" s="31" t="s">
        <v>757</v>
      </c>
      <c r="O47" s="30"/>
      <c r="P47" s="137"/>
      <c r="Q47" s="137"/>
      <c r="R47" s="137"/>
      <c r="S47" s="137"/>
      <c r="T47" s="30"/>
    </row>
    <row r="48" ht="9.75" customHeight="1" spans="1:20">
      <c r="T48" s="30"/>
    </row>
    <row r="49" ht="15.75" spans="1:30">
      <c r="A49" s="48" t="s">
        <v>758</v>
      </c>
      <c r="F49" s="44"/>
      <c r="G49" s="44"/>
      <c r="H49" s="44"/>
      <c r="I49" s="44"/>
      <c r="J49" s="48" t="s">
        <v>759</v>
      </c>
      <c r="O49" s="44"/>
      <c r="P49" s="44"/>
      <c r="Q49" s="44"/>
      <c r="R49" s="138"/>
      <c r="S49" s="138"/>
      <c r="AA49" s="139"/>
      <c r="AB49" s="139"/>
      <c r="AC49" s="139"/>
      <c r="AD49" s="139"/>
    </row>
    <row r="50" ht="9.75" customHeight="1" spans="1:30">
      <c r="T50" s="30"/>
    </row>
    <row r="51" ht="15.75" spans="1:30">
      <c r="A51" s="31" t="s">
        <v>760</v>
      </c>
      <c r="B51" s="140">
        <f ca="1">YEAR(TODAY())</f>
        <v>2026</v>
      </c>
      <c r="C51" s="140"/>
      <c r="D51" s="141" t="s">
        <v>623</v>
      </c>
      <c r="E51" s="142">
        <f ca="1">MONTH(TODAY())</f>
        <v>8</v>
      </c>
      <c r="F51" s="143" t="s">
        <v>624</v>
      </c>
      <c r="G51" s="144">
        <f ca="1">DAY(TODAY())</f>
        <v>2</v>
      </c>
      <c r="H51" s="31" t="s">
        <v>625</v>
      </c>
      <c r="K51" s="31" t="s">
        <v>760</v>
      </c>
      <c r="L51" s="145">
        <f>YEAR('Gen Inb'!X6)</f>
        <v>2026</v>
      </c>
      <c r="M51" s="145"/>
      <c r="N51" s="141" t="s">
        <v>623</v>
      </c>
      <c r="O51" s="142">
        <f>MONTH('Gen Inb'!X6)</f>
        <v>8</v>
      </c>
      <c r="P51" s="143" t="s">
        <v>624</v>
      </c>
      <c r="Q51" s="146">
        <f>DAY('Gen Inb'!X6)</f>
        <v>4</v>
      </c>
      <c r="R51" s="31" t="s">
        <v>625</v>
      </c>
      <c r="T51" s="30"/>
    </row>
    <row r="52" ht="9.75" customHeight="1" spans="1:30">
      <c r="A52" s="147"/>
      <c r="B52" s="147"/>
      <c r="C52" s="147"/>
      <c r="D52" s="147"/>
      <c r="E52" s="147"/>
      <c r="F52" s="147"/>
      <c r="G52" s="147"/>
      <c r="H52" s="147"/>
      <c r="I52" s="147"/>
      <c r="J52" s="147"/>
      <c r="K52" s="147"/>
      <c r="L52" s="147"/>
      <c r="M52" s="147"/>
      <c r="N52" s="147"/>
      <c r="O52" s="147"/>
      <c r="P52" s="147"/>
      <c r="Q52" s="48" t="s">
        <v>108</v>
      </c>
      <c r="R52" s="147"/>
      <c r="S52" s="147"/>
      <c r="T52" s="148"/>
    </row>
    <row r="53" ht="15.75" spans="1:30">
      <c r="A53" s="48" t="s">
        <v>300</v>
      </c>
      <c r="B53" s="149" t="s">
        <v>108</v>
      </c>
      <c r="C53" s="149"/>
      <c r="D53" s="150" t="s">
        <v>108</v>
      </c>
      <c r="E53" s="151"/>
      <c r="F53" s="152"/>
      <c r="G53" s="153"/>
      <c r="H53" s="154"/>
      <c r="I53" s="155"/>
      <c r="J53" s="155"/>
      <c r="K53" s="116" t="s">
        <v>300</v>
      </c>
      <c r="L53" s="149" t="s">
        <v>108</v>
      </c>
      <c r="M53" s="149"/>
      <c r="N53" s="150" t="s">
        <v>108</v>
      </c>
      <c r="O53" s="156"/>
      <c r="P53" s="157"/>
      <c r="Q53" s="158"/>
      <c r="R53" s="159"/>
      <c r="S53" s="159"/>
      <c r="T53" s="148"/>
    </row>
  </sheetData>
  <mergeCells count="51">
    <mergeCell ref="A1:B1"/>
    <mergeCell ref="C1:D1"/>
    <mergeCell ref="E1:P1"/>
    <mergeCell ref="A2:B2"/>
    <mergeCell ref="C2:D2"/>
    <mergeCell ref="A3:T3"/>
    <mergeCell ref="C4:G4"/>
    <mergeCell ref="A5:T5"/>
    <mergeCell ref="A6:T6"/>
    <mergeCell ref="A7:T7"/>
    <mergeCell ref="A8:T8"/>
    <mergeCell ref="A9:T9"/>
    <mergeCell ref="A10:T10"/>
    <mergeCell ref="A11:T11"/>
    <mergeCell ref="A12:T12"/>
    <mergeCell ref="A13:T13"/>
    <mergeCell ref="A14:T14"/>
    <mergeCell ref="A15:T15"/>
    <mergeCell ref="A16:T16"/>
    <mergeCell ref="A17:T17"/>
    <mergeCell ref="A18:T18"/>
    <mergeCell ref="C19:E19"/>
    <mergeCell ref="M19:O19"/>
    <mergeCell ref="C21:E21"/>
    <mergeCell ref="F21:J21"/>
    <mergeCell ref="M21:P21"/>
    <mergeCell ref="C23:E23"/>
    <mergeCell ref="M23:O23"/>
    <mergeCell ref="C25:D25"/>
    <mergeCell ref="E25:J25"/>
    <mergeCell ref="M25:O25"/>
    <mergeCell ref="C27:E27"/>
    <mergeCell ref="M27:O27"/>
    <mergeCell ref="C29:E29"/>
    <mergeCell ref="M29:P29"/>
    <mergeCell ref="C31:M31"/>
    <mergeCell ref="C41:T41"/>
    <mergeCell ref="B51:C51"/>
    <mergeCell ref="L51:M51"/>
    <mergeCell ref="B53:C53"/>
    <mergeCell ref="E53:F53"/>
    <mergeCell ref="L53:M53"/>
    <mergeCell ref="N53:O53"/>
    <mergeCell ref="P53:Q53"/>
    <mergeCell ref="Q27:S29"/>
    <mergeCell ref="F19:J20"/>
    <mergeCell ref="C34:S35"/>
    <mergeCell ref="F23:J24"/>
    <mergeCell ref="Q19:S21"/>
    <mergeCell ref="P23:S25"/>
    <mergeCell ref="F27:I29"/>
  </mergeCells>
  <pageMargins left="0.699305555555556" right="0.699305555555556" top="0.75" bottom="0.75" header="0.3" footer="0.3"/>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dimension ref="B1:M48"/>
  <sheetViews>
    <sheetView topLeftCell="A20" workbookViewId="0">
      <selection activeCell="N46" sqref="N46"/>
    </sheetView>
  </sheetViews>
  <sheetFormatPr defaultColWidth="9" defaultRowHeight="13.5"/>
  <cols>
    <col min="1" max="1" width="6.125" customWidth="1"/>
    <col min="2" max="2" width="3.375" customWidth="1"/>
    <col min="3" max="3" width="6" customWidth="1"/>
    <col min="4" max="4" width="15.625" customWidth="1"/>
    <col min="5" max="5" width="8.75" customWidth="1"/>
    <col min="6" max="6" width="3.625" customWidth="1"/>
    <col min="7" max="7" width="7.25" customWidth="1"/>
    <col min="8" max="8" width="7.125" customWidth="1"/>
    <col min="9" max="9" width="1.375" customWidth="1"/>
    <col min="10" max="10" width="2.125" customWidth="1"/>
    <col min="11" max="11" width="5.125" customWidth="1"/>
    <col min="12" max="12" width="7.25" customWidth="1"/>
    <col min="13" max="13" width="6.25" customWidth="1"/>
    <col min="14" max="14" width="6.125" customWidth="1"/>
  </cols>
  <sheetData>
    <row r="1" ht="22.5" customHeight="1" spans="2:13">
      <c r="F1" s="55" t="s">
        <v>711</v>
      </c>
    </row>
    <row r="2" ht="22.5" customHeight="1" spans="2:13">
      <c r="F2" s="56" t="s">
        <v>761</v>
      </c>
    </row>
    <row r="3" ht="22.5" customHeight="1" spans="2:13">
      <c r="F3" s="56" t="s">
        <v>762</v>
      </c>
    </row>
    <row r="4" ht="7.5" customHeight="1" spans="2:13">
      <c r="E4" s="57"/>
    </row>
    <row r="5" spans="2:13">
      <c r="C5" s="58" t="s">
        <v>763</v>
      </c>
      <c r="J5" s="59" t="s">
        <v>764</v>
      </c>
    </row>
    <row r="6" spans="2:13">
      <c r="C6" s="58" t="s">
        <v>765</v>
      </c>
      <c r="J6" s="59" t="s">
        <v>766</v>
      </c>
    </row>
    <row r="7" spans="2:13">
      <c r="C7" s="58" t="s">
        <v>767</v>
      </c>
    </row>
    <row r="8" spans="2:13">
      <c r="B8" s="60"/>
      <c r="C8" s="60"/>
      <c r="D8" s="60"/>
      <c r="E8" s="60"/>
      <c r="F8" s="60"/>
      <c r="G8" s="60"/>
      <c r="H8" s="60"/>
      <c r="I8" s="60"/>
      <c r="J8" s="60"/>
      <c r="K8" s="60"/>
      <c r="L8" s="60"/>
      <c r="M8" s="60"/>
    </row>
    <row r="9" ht="18.75" spans="2:13">
      <c r="C9" s="61" t="s">
        <v>768</v>
      </c>
    </row>
    <row r="11" ht="14.25" spans="2:13">
      <c r="D11" s="62" t="s">
        <v>769</v>
      </c>
      <c r="F11" s="63" t="str">
        <f>'Gen Inb'!I6&amp;" "&amp;"("&amp;'Gen Inb'!I7&amp;")"</f>
        <v>马士基奋进 (ERASMUS EFFORT)</v>
      </c>
      <c r="G11" s="63"/>
      <c r="H11" s="63"/>
      <c r="I11" s="63"/>
      <c r="J11" s="63"/>
      <c r="K11" t="s">
        <v>770</v>
      </c>
      <c r="L11" s="64" t="str">
        <f>'Gen Inb'!W8</f>
        <v>胡志明市</v>
      </c>
      <c r="M11" t="s">
        <v>771</v>
      </c>
    </row>
    <row r="12" ht="14.25" spans="2:13">
      <c r="D12" s="62"/>
    </row>
    <row r="13" spans="2:13">
      <c r="C13" t="s">
        <v>772</v>
      </c>
      <c r="D13" s="66">
        <f>'Gen Inb'!X6</f>
        <v>46238</v>
      </c>
      <c r="E13" s="85">
        <f>'Gen Inb'!X7</f>
        <v>0</v>
      </c>
      <c r="F13" s="68" t="s">
        <v>773</v>
      </c>
      <c r="G13" s="68"/>
      <c r="H13" s="64" t="str">
        <f>'Gen Inb'!K14</f>
        <v>二期W</v>
      </c>
      <c r="I13" s="64"/>
      <c r="J13" s="64"/>
      <c r="K13" t="s">
        <v>774</v>
      </c>
    </row>
    <row r="15" ht="14.25" spans="2:13">
      <c r="C15" t="s">
        <v>775</v>
      </c>
      <c r="D15" s="66">
        <f>'Gen Outb'!X6</f>
        <v>44160</v>
      </c>
      <c r="E15" s="85">
        <f>'Gen Outb'!X7</f>
        <v>0</v>
      </c>
      <c r="F15" t="s">
        <v>776</v>
      </c>
      <c r="H15" s="86" t="str">
        <f>'Gen Outb'!W8</f>
        <v>胡志明市</v>
      </c>
      <c r="I15" s="86"/>
      <c r="J15" s="86"/>
      <c r="K15" s="62" t="s">
        <v>777</v>
      </c>
    </row>
    <row r="17" spans="3:8">
      <c r="C17" t="s">
        <v>778</v>
      </c>
      <c r="F17" s="72"/>
      <c r="G17" s="72"/>
    </row>
    <row r="18" spans="3:8">
      <c r="F18" s="72"/>
      <c r="G18" s="72"/>
    </row>
    <row r="19" ht="14.25" spans="3:8">
      <c r="D19" s="62" t="s">
        <v>779</v>
      </c>
    </row>
    <row r="21" spans="3:8">
      <c r="C21" t="s">
        <v>780</v>
      </c>
    </row>
    <row r="25" customHeight="1" spans="3:8">
      <c r="E25" s="73"/>
    </row>
    <row r="26" spans="3:8">
      <c r="C26" s="87" t="str">
        <f>"附："&amp;"“"&amp;'Gen Inb'!I6&amp;"”轮资料"</f>
        <v>附：“马士基奋进”轮资料</v>
      </c>
    </row>
    <row r="27" customHeight="1" spans="3:8">
      <c r="E27" s="88"/>
      <c r="F27" s="88"/>
      <c r="G27" s="88"/>
      <c r="H27" s="88"/>
    </row>
    <row r="28" customHeight="1" spans="3:8">
      <c r="C28" t="s">
        <v>781</v>
      </c>
      <c r="D28" s="68">
        <f>'Gen Inb'!E12</f>
        <v>9562</v>
      </c>
      <c r="E28" s="89" t="s">
        <v>782</v>
      </c>
      <c r="F28" s="90">
        <f>'Gen Inb'!L12</f>
        <v>4523</v>
      </c>
      <c r="G28" s="90"/>
      <c r="H28" s="90"/>
    </row>
    <row r="29" spans="3:8">
      <c r="C29" t="s">
        <v>783</v>
      </c>
      <c r="D29" s="68" t="str">
        <f>'Gen Inb'!F8</f>
        <v>巴拿马</v>
      </c>
      <c r="E29" s="76" t="s">
        <v>718</v>
      </c>
      <c r="F29" s="68" t="str">
        <f>'Gen Inb'!R26</f>
        <v>3E8968</v>
      </c>
      <c r="G29" s="68"/>
      <c r="H29" s="68"/>
    </row>
    <row r="30" spans="3:8">
      <c r="C30" t="s">
        <v>784</v>
      </c>
      <c r="D30" s="68">
        <f>'Gen Inb'!R27</f>
        <v>352005770</v>
      </c>
    </row>
    <row r="32" spans="3:8">
      <c r="C32" s="91" t="s">
        <v>785</v>
      </c>
      <c r="D32" s="91" t="str">
        <f>"共"&amp;" "&amp;'Gen Inb'!H24&amp;" "&amp;"名"</f>
        <v>共 19 名</v>
      </c>
    </row>
    <row r="34" spans="3:13">
      <c r="C34" s="92" t="str">
        <f>'Gen Inb'!W25&amp;"  "&amp;'Gen Inb'!X25&amp;"  "&amp;'Gen Inb'!W26&amp;"  "&amp;'Gen Inb'!X26&amp;"  "&amp;'Gen Inb'!W27</f>
        <v>中国5名  越南1名  孟加拉国1名    菲律宾1名</v>
      </c>
      <c r="E34" s="93"/>
    </row>
    <row r="35" spans="3:13">
      <c r="C35" s="92" t="str">
        <f>'Gen Inb'!X27&amp;"  "&amp;'Gen Inb'!W28&amp;"  "&amp;'Gen Inb'!X28&amp;"  "&amp;'Gen Inb'!W29&amp;"  "&amp;'Gen Inb'!X29</f>
        <v>  印度尼西亚1名    缅甸10名  </v>
      </c>
    </row>
    <row r="36" spans="3:13">
      <c r="C36" s="92"/>
    </row>
    <row r="37" spans="3:13">
      <c r="C37" s="92"/>
    </row>
    <row r="38" spans="3:13">
      <c r="C38" s="65"/>
    </row>
    <row r="39" spans="3:13">
      <c r="E39" s="93"/>
    </row>
    <row r="40" spans="3:13">
      <c r="C40" s="93"/>
    </row>
    <row r="41" spans="3:13">
      <c r="C41" s="93"/>
    </row>
    <row r="44" ht="18.75" spans="3:13">
      <c r="M44" s="75">
        <f>'Gen Inb'!P12</f>
        <v>0</v>
      </c>
    </row>
    <row r="46" ht="14.25" spans="3:13">
      <c r="H46" s="62"/>
      <c r="M46" s="76" t="str">
        <f>'Gen Inb'!V12&amp;"  "&amp;'Gen Inb'!V14</f>
        <v>  </v>
      </c>
    </row>
    <row r="48" spans="3:13">
      <c r="I48" s="77">
        <f ca="1">TODAY()</f>
        <v>46236</v>
      </c>
      <c r="J48" s="77"/>
      <c r="K48" s="77"/>
      <c r="L48" s="77"/>
      <c r="M48" s="77"/>
    </row>
  </sheetData>
  <mergeCells count="6">
    <mergeCell ref="F11:J11"/>
    <mergeCell ref="H13:J13"/>
    <mergeCell ref="H15:J15"/>
    <mergeCell ref="F28:H28"/>
    <mergeCell ref="F29:H29"/>
    <mergeCell ref="I48:M48"/>
  </mergeCells>
  <pageMargins left="0.699305555555556" right="0.699305555555556" top="0.75" bottom="0.75" header="0.3" footer="0.3"/>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B1:M30"/>
  <sheetViews>
    <sheetView workbookViewId="0">
      <selection activeCell="D23" sqref="D23"/>
    </sheetView>
  </sheetViews>
  <sheetFormatPr defaultColWidth="9" defaultRowHeight="13.5"/>
  <cols>
    <col min="1" max="1" width="6.125" customWidth="1"/>
    <col min="2" max="2" width="3.375" customWidth="1"/>
    <col min="3" max="3" width="6.875" customWidth="1"/>
    <col min="4" max="4" width="15.625" customWidth="1"/>
    <col min="5" max="5" width="7.875" customWidth="1"/>
    <col min="6" max="6" width="3.625" customWidth="1"/>
    <col min="7" max="7" width="7.25" customWidth="1"/>
    <col min="8" max="8" width="7.125" customWidth="1"/>
    <col min="9" max="9" width="1.375" customWidth="1"/>
    <col min="10" max="10" width="9" customWidth="1"/>
    <col min="11" max="11" width="5.125" customWidth="1"/>
    <col min="12" max="12" width="7.25" customWidth="1"/>
    <col min="13" max="13" width="6.25" customWidth="1"/>
    <col min="14" max="14" width="6.125" customWidth="1"/>
  </cols>
  <sheetData>
    <row r="1" ht="22.5" customHeight="1" spans="2:13">
      <c r="F1" s="55" t="s">
        <v>711</v>
      </c>
    </row>
    <row r="2" ht="22.5" customHeight="1" spans="2:13">
      <c r="F2" s="56" t="s">
        <v>761</v>
      </c>
    </row>
    <row r="3" ht="22.5" customHeight="1" spans="2:13">
      <c r="F3" s="56" t="s">
        <v>762</v>
      </c>
    </row>
    <row r="4" ht="7.5" customHeight="1" spans="2:13">
      <c r="E4" s="57"/>
    </row>
    <row r="5" spans="2:13">
      <c r="C5" s="58" t="s">
        <v>763</v>
      </c>
      <c r="J5" s="59" t="s">
        <v>764</v>
      </c>
    </row>
    <row r="6" spans="2:13">
      <c r="C6" s="58" t="s">
        <v>765</v>
      </c>
      <c r="J6" s="59" t="s">
        <v>766</v>
      </c>
    </row>
    <row r="7" spans="2:13">
      <c r="C7" s="58" t="s">
        <v>767</v>
      </c>
    </row>
    <row r="8" spans="2:13">
      <c r="B8" s="60"/>
      <c r="C8" s="60"/>
      <c r="D8" s="60"/>
      <c r="E8" s="60"/>
      <c r="F8" s="60"/>
      <c r="G8" s="60"/>
      <c r="H8" s="60"/>
      <c r="I8" s="60"/>
      <c r="J8" s="60"/>
      <c r="K8" s="60"/>
      <c r="L8" s="60"/>
      <c r="M8" s="60"/>
    </row>
    <row r="9" ht="18.75" spans="2:13">
      <c r="C9" s="61" t="s">
        <v>786</v>
      </c>
    </row>
    <row r="10" ht="18.75" spans="2:13">
      <c r="C10" s="61"/>
    </row>
    <row r="11" ht="18.75" spans="2:13">
      <c r="C11" s="61"/>
    </row>
    <row r="12" ht="18.75" spans="2:13">
      <c r="C12" s="61"/>
    </row>
    <row r="14" spans="2:13">
      <c r="C14" s="65"/>
      <c r="D14" s="78" t="s">
        <v>787</v>
      </c>
      <c r="E14" s="65"/>
      <c r="F14" s="79" t="str">
        <f>'Gen Inb'!I6&amp;" "&amp;"("&amp;'Gen Inb'!I7&amp;")"</f>
        <v>马士基奋进 (ERASMUS EFFORT)</v>
      </c>
      <c r="G14" s="79"/>
      <c r="H14" s="79"/>
      <c r="I14" s="79"/>
      <c r="J14" s="79"/>
      <c r="K14" s="65" t="s">
        <v>770</v>
      </c>
      <c r="L14" s="80" t="str">
        <f>'Gen Inb'!W8</f>
        <v>胡志明市</v>
      </c>
      <c r="M14" s="65" t="s">
        <v>771</v>
      </c>
    </row>
    <row r="15" spans="2:13">
      <c r="C15" s="65"/>
      <c r="D15" s="78"/>
      <c r="E15" s="65"/>
      <c r="F15" s="65"/>
      <c r="G15" s="65"/>
      <c r="H15" s="65"/>
      <c r="I15" s="65"/>
      <c r="J15" s="65"/>
      <c r="K15" s="65"/>
      <c r="L15" s="65"/>
      <c r="M15" s="65"/>
    </row>
    <row r="16" spans="2:13">
      <c r="C16" s="65" t="s">
        <v>772</v>
      </c>
      <c r="D16" s="81">
        <f>'Gen Inb'!X6</f>
        <v>46238</v>
      </c>
      <c r="E16" s="82">
        <f>'IMO Gen Inb'!E6</f>
        <v>0</v>
      </c>
      <c r="F16" s="83" t="s">
        <v>773</v>
      </c>
      <c r="G16" s="83"/>
      <c r="H16" s="84" t="s">
        <v>788</v>
      </c>
      <c r="I16" s="80"/>
      <c r="J16" s="80"/>
      <c r="K16" s="65" t="s">
        <v>774</v>
      </c>
      <c r="L16" s="65"/>
      <c r="M16" s="65"/>
    </row>
    <row r="17" spans="3:13">
      <c r="C17" s="65"/>
      <c r="D17" s="65"/>
      <c r="E17" s="65"/>
      <c r="F17" s="65"/>
      <c r="G17" s="65"/>
      <c r="H17" s="65"/>
      <c r="I17" s="65"/>
      <c r="J17" s="65"/>
      <c r="K17" s="65"/>
      <c r="L17" s="65"/>
      <c r="M17" s="65"/>
    </row>
    <row r="18" spans="3:13">
      <c r="C18" s="65" t="s">
        <v>775</v>
      </c>
      <c r="D18" s="81">
        <f>'Gen Outb'!X6</f>
        <v>44160</v>
      </c>
      <c r="E18" s="82">
        <f>'IMO Gen Outb'!E6</f>
        <v>0</v>
      </c>
      <c r="F18" s="65" t="s">
        <v>776</v>
      </c>
      <c r="G18" s="65"/>
      <c r="H18" s="80" t="str">
        <f>'Gen Outb'!W8</f>
        <v>胡志明市</v>
      </c>
      <c r="I18" s="80"/>
      <c r="J18" s="80"/>
      <c r="K18" s="80"/>
      <c r="L18" s="65"/>
      <c r="M18" s="65"/>
    </row>
    <row r="19" spans="3:13">
      <c r="C19" s="65"/>
      <c r="D19" s="65"/>
      <c r="E19" s="65"/>
      <c r="F19" s="65"/>
      <c r="G19" s="65"/>
      <c r="H19" s="65"/>
      <c r="I19" s="65"/>
      <c r="J19" s="65"/>
      <c r="K19" s="65"/>
      <c r="L19" s="65"/>
      <c r="M19" s="65"/>
    </row>
    <row r="26" ht="18.75" spans="3:13">
      <c r="M26" s="75">
        <f>'Gen Inb'!P12</f>
        <v>0</v>
      </c>
    </row>
    <row r="28" ht="14.25" spans="3:13">
      <c r="H28" s="62"/>
      <c r="M28" s="76" t="str">
        <f>'Gen Inb'!V12&amp;"  "&amp;'Gen Inb'!V14</f>
        <v>  </v>
      </c>
    </row>
    <row r="30" spans="3:13">
      <c r="I30" s="77">
        <f ca="1">TODAY()</f>
        <v>46236</v>
      </c>
      <c r="J30" s="77"/>
      <c r="K30" s="77"/>
      <c r="L30" s="77"/>
      <c r="M30" s="77"/>
    </row>
  </sheetData>
  <mergeCells count="4">
    <mergeCell ref="F14:J14"/>
    <mergeCell ref="H16:J16"/>
    <mergeCell ref="H18:K18"/>
    <mergeCell ref="I30:M30"/>
  </mergeCells>
  <pageMargins left="0.699305555555556" right="0.699305555555556" top="0.75" bottom="0.75" header="0.3" footer="0.3"/>
  <pageSetup paperSize="9"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dimension ref="A1:O48"/>
  <sheetViews>
    <sheetView topLeftCell="A2" workbookViewId="0">
      <selection activeCell="E31" sqref="E31:H32"/>
    </sheetView>
  </sheetViews>
  <sheetFormatPr defaultColWidth="9" defaultRowHeight="13.5"/>
  <cols>
    <col min="1" max="1" width="6.125" customWidth="1"/>
    <col min="2" max="2" width="3.375" customWidth="1"/>
    <col min="3" max="3" width="6.875" customWidth="1"/>
    <col min="4" max="4" width="15.625" customWidth="1"/>
    <col min="5" max="5" width="7.875" customWidth="1"/>
    <col min="6" max="6" width="3.625" customWidth="1"/>
    <col min="7" max="7" width="7.25" customWidth="1"/>
    <col min="8" max="8" width="7.125" customWidth="1"/>
    <col min="9" max="9" width="1.375" customWidth="1"/>
    <col min="10" max="10" width="2.125" customWidth="1"/>
    <col min="11" max="11" width="5.125" customWidth="1"/>
    <col min="12" max="12" width="7.25" customWidth="1"/>
    <col min="13" max="13" width="6.25" customWidth="1"/>
    <col min="14" max="14" width="6.125" customWidth="1"/>
  </cols>
  <sheetData>
    <row r="1" ht="22.5" customHeight="1" spans="2:13">
      <c r="F1" s="55" t="s">
        <v>711</v>
      </c>
    </row>
    <row r="2" ht="22.5" customHeight="1" spans="2:13">
      <c r="F2" s="56" t="s">
        <v>761</v>
      </c>
    </row>
    <row r="3" ht="22.5" customHeight="1" spans="2:13">
      <c r="F3" s="56" t="s">
        <v>762</v>
      </c>
    </row>
    <row r="4" ht="7.5" customHeight="1" spans="2:13">
      <c r="E4" s="57"/>
    </row>
    <row r="5" spans="2:13">
      <c r="C5" s="58" t="s">
        <v>763</v>
      </c>
      <c r="J5" s="59" t="s">
        <v>764</v>
      </c>
    </row>
    <row r="6" spans="2:13">
      <c r="C6" s="58" t="s">
        <v>765</v>
      </c>
      <c r="J6" s="59" t="s">
        <v>766</v>
      </c>
    </row>
    <row r="7" spans="2:13">
      <c r="C7" s="58" t="s">
        <v>767</v>
      </c>
    </row>
    <row r="8" spans="2:13">
      <c r="B8" s="60"/>
      <c r="C8" s="60"/>
      <c r="D8" s="60"/>
      <c r="E8" s="60"/>
      <c r="F8" s="60"/>
      <c r="G8" s="60"/>
      <c r="H8" s="60"/>
      <c r="I8" s="60"/>
      <c r="J8" s="60"/>
      <c r="K8" s="60"/>
      <c r="L8" s="60"/>
      <c r="M8" s="60"/>
    </row>
    <row r="9" ht="18.75" spans="2:13">
      <c r="C9" s="61" t="s">
        <v>789</v>
      </c>
    </row>
    <row r="11" ht="14.25" spans="2:13">
      <c r="D11" s="62" t="s">
        <v>769</v>
      </c>
      <c r="F11" s="63" t="str">
        <f>'Gen Inb'!I6&amp;" "&amp;"("&amp;'Gen Inb'!I7&amp;")"</f>
        <v>马士基奋进 (ERASMUS EFFORT)</v>
      </c>
      <c r="G11" s="63"/>
      <c r="H11" s="63"/>
      <c r="I11" s="63"/>
      <c r="J11" s="63"/>
      <c r="K11" t="s">
        <v>770</v>
      </c>
      <c r="L11" s="64" t="str">
        <f>'Gen Inb'!W8</f>
        <v>胡志明市</v>
      </c>
      <c r="M11" t="s">
        <v>771</v>
      </c>
    </row>
    <row r="12" ht="14.25" spans="2:13">
      <c r="D12" s="62"/>
    </row>
    <row r="13" spans="2:13">
      <c r="C13" s="65" t="s">
        <v>772</v>
      </c>
      <c r="D13" s="66">
        <f>'Gen Inb'!X6</f>
        <v>46238</v>
      </c>
      <c r="E13" s="67">
        <f>'Pre MSA'!E16</f>
        <v>0</v>
      </c>
      <c r="F13" s="68" t="s">
        <v>773</v>
      </c>
      <c r="G13" s="68"/>
      <c r="H13" s="64" t="str">
        <f>"二期"&amp;'Gen Inb'!M14</f>
        <v>二期</v>
      </c>
      <c r="I13" s="64"/>
      <c r="J13" s="64"/>
      <c r="K13" t="s">
        <v>774</v>
      </c>
    </row>
    <row r="15" spans="2:13">
      <c r="C15" t="s">
        <v>775</v>
      </c>
      <c r="D15" s="66">
        <f>'Gen Outb'!X6</f>
        <v>44160</v>
      </c>
      <c r="E15" s="67">
        <f>'Pre MSA'!E18</f>
        <v>0</v>
      </c>
      <c r="F15" t="s">
        <v>776</v>
      </c>
      <c r="H15" s="64" t="str">
        <f>'Gen Outb'!W8</f>
        <v>胡志明市</v>
      </c>
      <c r="I15" s="64"/>
      <c r="J15" s="64"/>
      <c r="K15" s="64"/>
    </row>
    <row r="16" spans="2:13">
      <c r="D16" s="69"/>
      <c r="E16" s="70"/>
      <c r="H16" s="12"/>
      <c r="I16" s="12"/>
      <c r="J16" s="12"/>
      <c r="K16" s="12"/>
    </row>
    <row r="17" spans="1:15">
      <c r="A17" s="71"/>
      <c r="B17" s="71"/>
      <c r="C17" s="71"/>
      <c r="D17" s="71" t="s">
        <v>790</v>
      </c>
      <c r="E17" s="71"/>
      <c r="F17" s="71"/>
      <c r="G17" s="71"/>
      <c r="H17" s="71"/>
      <c r="I17" s="71"/>
      <c r="J17" s="71"/>
      <c r="K17" s="71"/>
      <c r="L17" s="71"/>
      <c r="M17" s="71"/>
      <c r="N17" s="71"/>
      <c r="O17" s="71"/>
    </row>
    <row r="18" spans="1:15">
      <c r="E18" s="71"/>
      <c r="F18" s="71"/>
      <c r="G18" s="71"/>
      <c r="H18" s="71"/>
      <c r="I18" s="71"/>
      <c r="J18" s="71"/>
      <c r="K18" s="71"/>
      <c r="L18" s="71"/>
      <c r="M18" s="71"/>
      <c r="N18" s="71"/>
      <c r="O18" s="71"/>
    </row>
    <row r="19" spans="1:15">
      <c r="C19" s="71" t="s">
        <v>791</v>
      </c>
      <c r="D19" s="71"/>
      <c r="E19" s="71"/>
      <c r="F19" s="71"/>
      <c r="G19" s="71"/>
      <c r="H19" s="71"/>
      <c r="I19" s="71"/>
      <c r="J19" s="71"/>
      <c r="K19" s="71"/>
      <c r="L19" s="71"/>
      <c r="M19" s="71"/>
      <c r="N19" s="71"/>
      <c r="O19" s="71"/>
    </row>
    <row r="21" spans="1:15">
      <c r="D21" s="65" t="s">
        <v>792</v>
      </c>
      <c r="F21" s="72"/>
      <c r="G21" s="72"/>
    </row>
    <row r="22" spans="1:15">
      <c r="D22" t="s">
        <v>793</v>
      </c>
      <c r="F22" s="72"/>
      <c r="G22" s="72"/>
    </row>
    <row r="23" spans="1:15">
      <c r="D23" t="s">
        <v>794</v>
      </c>
    </row>
    <row r="24" spans="1:15">
      <c r="D24" t="s">
        <v>795</v>
      </c>
    </row>
    <row r="25" spans="1:15">
      <c r="D25" t="s">
        <v>795</v>
      </c>
    </row>
    <row r="26" spans="1:15">
      <c r="D26" s="65" t="s">
        <v>795</v>
      </c>
    </row>
    <row r="27" spans="1:15">
      <c r="D27" t="s">
        <v>795</v>
      </c>
    </row>
    <row r="29" ht="18.75" spans="1:15">
      <c r="E29" s="73" t="s">
        <v>796</v>
      </c>
    </row>
    <row r="31" spans="1:15">
      <c r="E31" s="74">
        <v>41063</v>
      </c>
      <c r="F31" s="74"/>
      <c r="G31" s="74"/>
      <c r="H31" s="74"/>
    </row>
    <row r="32" spans="1:15">
      <c r="E32" s="74"/>
      <c r="F32" s="74"/>
      <c r="G32" s="74"/>
      <c r="H32" s="74"/>
    </row>
    <row r="34" spans="4:13">
      <c r="D34" s="65"/>
    </row>
    <row r="44" ht="18.75" spans="4:13">
      <c r="M44" s="75">
        <f>'Gen Inb'!P12</f>
        <v>0</v>
      </c>
    </row>
    <row r="46" ht="14.25" spans="4:13">
      <c r="H46" s="62"/>
      <c r="M46" s="76" t="str">
        <f>'Gen Inb'!V12&amp;"  "&amp;'Gen Inb'!V14</f>
        <v>  </v>
      </c>
    </row>
    <row r="48" spans="4:13">
      <c r="I48" s="77">
        <f ca="1">TODAY()</f>
        <v>46236</v>
      </c>
      <c r="J48" s="77"/>
      <c r="K48" s="77"/>
      <c r="L48" s="77"/>
      <c r="M48" s="77"/>
    </row>
  </sheetData>
  <mergeCells count="5">
    <mergeCell ref="F11:J11"/>
    <mergeCell ref="H13:J13"/>
    <mergeCell ref="H15:K15"/>
    <mergeCell ref="I48:M48"/>
    <mergeCell ref="E31:H32"/>
  </mergeCells>
  <pageMargins left="0.699305555555556" right="0.699305555555556" top="0.75" bottom="0.75" header="0.3" footer="0.3"/>
  <pageSetup paperSize="9" orientation="portrait"/>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A1:H23"/>
  <sheetViews>
    <sheetView workbookViewId="0">
      <selection activeCell="G22" sqref="G22:H22"/>
    </sheetView>
  </sheetViews>
  <sheetFormatPr defaultColWidth="9" defaultRowHeight="13.5" outlineLevelCol="7"/>
  <cols>
    <col min="1" max="1" width="7" style="31" customWidth="1"/>
    <col min="2" max="2" width="8.375" style="31" customWidth="1"/>
    <col min="3" max="3" width="7.5" style="31" customWidth="1"/>
    <col min="4" max="4" width="9" style="31"/>
    <col min="5" max="5" width="14.125" style="31" customWidth="1"/>
    <col min="6" max="6" width="8.125" style="31" customWidth="1"/>
    <col min="7" max="7" width="10.125" style="31" customWidth="1"/>
    <col min="8" max="8" width="10.25" style="31" customWidth="1"/>
    <col min="9" max="256" width="9" style="31"/>
    <col min="257" max="257" width="7" style="31" customWidth="1"/>
    <col min="258" max="258" width="8.375" style="31" customWidth="1"/>
    <col min="259" max="259" width="7.5" style="31" customWidth="1"/>
    <col min="260" max="260" width="9" style="31"/>
    <col min="261" max="261" width="14.125" style="31" customWidth="1"/>
    <col min="262" max="262" width="8.125" style="31" customWidth="1"/>
    <col min="263" max="263" width="10.125" style="31" customWidth="1"/>
    <col min="264" max="264" width="10.25" style="31" customWidth="1"/>
    <col min="265" max="512" width="9" style="31"/>
    <col min="513" max="513" width="7" style="31" customWidth="1"/>
    <col min="514" max="514" width="8.375" style="31" customWidth="1"/>
    <col min="515" max="515" width="7.5" style="31" customWidth="1"/>
    <col min="516" max="516" width="9" style="31"/>
    <col min="517" max="517" width="14.125" style="31" customWidth="1"/>
    <col min="518" max="518" width="8.125" style="31" customWidth="1"/>
    <col min="519" max="519" width="10.125" style="31" customWidth="1"/>
    <col min="520" max="520" width="10.25" style="31" customWidth="1"/>
    <col min="521" max="768" width="9" style="31"/>
    <col min="769" max="769" width="7" style="31" customWidth="1"/>
    <col min="770" max="770" width="8.375" style="31" customWidth="1"/>
    <col min="771" max="771" width="7.5" style="31" customWidth="1"/>
    <col min="772" max="772" width="9" style="31"/>
    <col min="773" max="773" width="14.125" style="31" customWidth="1"/>
    <col min="774" max="774" width="8.125" style="31" customWidth="1"/>
    <col min="775" max="775" width="10.125" style="31" customWidth="1"/>
    <col min="776" max="776" width="10.25" style="31" customWidth="1"/>
    <col min="777" max="1024" width="9" style="31"/>
    <col min="1025" max="1025" width="7" style="31" customWidth="1"/>
    <col min="1026" max="1026" width="8.375" style="31" customWidth="1"/>
    <col min="1027" max="1027" width="7.5" style="31" customWidth="1"/>
    <col min="1028" max="1028" width="9" style="31"/>
    <col min="1029" max="1029" width="14.125" style="31" customWidth="1"/>
    <col min="1030" max="1030" width="8.125" style="31" customWidth="1"/>
    <col min="1031" max="1031" width="10.125" style="31" customWidth="1"/>
    <col min="1032" max="1032" width="10.25" style="31" customWidth="1"/>
    <col min="1033" max="1280" width="9" style="31"/>
    <col min="1281" max="1281" width="7" style="31" customWidth="1"/>
    <col min="1282" max="1282" width="8.375" style="31" customWidth="1"/>
    <col min="1283" max="1283" width="7.5" style="31" customWidth="1"/>
    <col min="1284" max="1284" width="9" style="31"/>
    <col min="1285" max="1285" width="14.125" style="31" customWidth="1"/>
    <col min="1286" max="1286" width="8.125" style="31" customWidth="1"/>
    <col min="1287" max="1287" width="10.125" style="31" customWidth="1"/>
    <col min="1288" max="1288" width="10.25" style="31" customWidth="1"/>
    <col min="1289" max="1536" width="9" style="31"/>
    <col min="1537" max="1537" width="7" style="31" customWidth="1"/>
    <col min="1538" max="1538" width="8.375" style="31" customWidth="1"/>
    <col min="1539" max="1539" width="7.5" style="31" customWidth="1"/>
    <col min="1540" max="1540" width="9" style="31"/>
    <col min="1541" max="1541" width="14.125" style="31" customWidth="1"/>
    <col min="1542" max="1542" width="8.125" style="31" customWidth="1"/>
    <col min="1543" max="1543" width="10.125" style="31" customWidth="1"/>
    <col min="1544" max="1544" width="10.25" style="31" customWidth="1"/>
    <col min="1545" max="1792" width="9" style="31"/>
    <col min="1793" max="1793" width="7" style="31" customWidth="1"/>
    <col min="1794" max="1794" width="8.375" style="31" customWidth="1"/>
    <col min="1795" max="1795" width="7.5" style="31" customWidth="1"/>
    <col min="1796" max="1796" width="9" style="31"/>
    <col min="1797" max="1797" width="14.125" style="31" customWidth="1"/>
    <col min="1798" max="1798" width="8.125" style="31" customWidth="1"/>
    <col min="1799" max="1799" width="10.125" style="31" customWidth="1"/>
    <col min="1800" max="1800" width="10.25" style="31" customWidth="1"/>
    <col min="1801" max="2048" width="9" style="31"/>
    <col min="2049" max="2049" width="7" style="31" customWidth="1"/>
    <col min="2050" max="2050" width="8.375" style="31" customWidth="1"/>
    <col min="2051" max="2051" width="7.5" style="31" customWidth="1"/>
    <col min="2052" max="2052" width="9" style="31"/>
    <col min="2053" max="2053" width="14.125" style="31" customWidth="1"/>
    <col min="2054" max="2054" width="8.125" style="31" customWidth="1"/>
    <col min="2055" max="2055" width="10.125" style="31" customWidth="1"/>
    <col min="2056" max="2056" width="10.25" style="31" customWidth="1"/>
    <col min="2057" max="2304" width="9" style="31"/>
    <col min="2305" max="2305" width="7" style="31" customWidth="1"/>
    <col min="2306" max="2306" width="8.375" style="31" customWidth="1"/>
    <col min="2307" max="2307" width="7.5" style="31" customWidth="1"/>
    <col min="2308" max="2308" width="9" style="31"/>
    <col min="2309" max="2309" width="14.125" style="31" customWidth="1"/>
    <col min="2310" max="2310" width="8.125" style="31" customWidth="1"/>
    <col min="2311" max="2311" width="10.125" style="31" customWidth="1"/>
    <col min="2312" max="2312" width="10.25" style="31" customWidth="1"/>
    <col min="2313" max="2560" width="9" style="31"/>
    <col min="2561" max="2561" width="7" style="31" customWidth="1"/>
    <col min="2562" max="2562" width="8.375" style="31" customWidth="1"/>
    <col min="2563" max="2563" width="7.5" style="31" customWidth="1"/>
    <col min="2564" max="2564" width="9" style="31"/>
    <col min="2565" max="2565" width="14.125" style="31" customWidth="1"/>
    <col min="2566" max="2566" width="8.125" style="31" customWidth="1"/>
    <col min="2567" max="2567" width="10.125" style="31" customWidth="1"/>
    <col min="2568" max="2568" width="10.25" style="31" customWidth="1"/>
    <col min="2569" max="2816" width="9" style="31"/>
    <col min="2817" max="2817" width="7" style="31" customWidth="1"/>
    <col min="2818" max="2818" width="8.375" style="31" customWidth="1"/>
    <col min="2819" max="2819" width="7.5" style="31" customWidth="1"/>
    <col min="2820" max="2820" width="9" style="31"/>
    <col min="2821" max="2821" width="14.125" style="31" customWidth="1"/>
    <col min="2822" max="2822" width="8.125" style="31" customWidth="1"/>
    <col min="2823" max="2823" width="10.125" style="31" customWidth="1"/>
    <col min="2824" max="2824" width="10.25" style="31" customWidth="1"/>
    <col min="2825" max="3072" width="9" style="31"/>
    <col min="3073" max="3073" width="7" style="31" customWidth="1"/>
    <col min="3074" max="3074" width="8.375" style="31" customWidth="1"/>
    <col min="3075" max="3075" width="7.5" style="31" customWidth="1"/>
    <col min="3076" max="3076" width="9" style="31"/>
    <col min="3077" max="3077" width="14.125" style="31" customWidth="1"/>
    <col min="3078" max="3078" width="8.125" style="31" customWidth="1"/>
    <col min="3079" max="3079" width="10.125" style="31" customWidth="1"/>
    <col min="3080" max="3080" width="10.25" style="31" customWidth="1"/>
    <col min="3081" max="3328" width="9" style="31"/>
    <col min="3329" max="3329" width="7" style="31" customWidth="1"/>
    <col min="3330" max="3330" width="8.375" style="31" customWidth="1"/>
    <col min="3331" max="3331" width="7.5" style="31" customWidth="1"/>
    <col min="3332" max="3332" width="9" style="31"/>
    <col min="3333" max="3333" width="14.125" style="31" customWidth="1"/>
    <col min="3334" max="3334" width="8.125" style="31" customWidth="1"/>
    <col min="3335" max="3335" width="10.125" style="31" customWidth="1"/>
    <col min="3336" max="3336" width="10.25" style="31" customWidth="1"/>
    <col min="3337" max="3584" width="9" style="31"/>
    <col min="3585" max="3585" width="7" style="31" customWidth="1"/>
    <col min="3586" max="3586" width="8.375" style="31" customWidth="1"/>
    <col min="3587" max="3587" width="7.5" style="31" customWidth="1"/>
    <col min="3588" max="3588" width="9" style="31"/>
    <col min="3589" max="3589" width="14.125" style="31" customWidth="1"/>
    <col min="3590" max="3590" width="8.125" style="31" customWidth="1"/>
    <col min="3591" max="3591" width="10.125" style="31" customWidth="1"/>
    <col min="3592" max="3592" width="10.25" style="31" customWidth="1"/>
    <col min="3593" max="3840" width="9" style="31"/>
    <col min="3841" max="3841" width="7" style="31" customWidth="1"/>
    <col min="3842" max="3842" width="8.375" style="31" customWidth="1"/>
    <col min="3843" max="3843" width="7.5" style="31" customWidth="1"/>
    <col min="3844" max="3844" width="9" style="31"/>
    <col min="3845" max="3845" width="14.125" style="31" customWidth="1"/>
    <col min="3846" max="3846" width="8.125" style="31" customWidth="1"/>
    <col min="3847" max="3847" width="10.125" style="31" customWidth="1"/>
    <col min="3848" max="3848" width="10.25" style="31" customWidth="1"/>
    <col min="3849" max="4096" width="9" style="31"/>
    <col min="4097" max="4097" width="7" style="31" customWidth="1"/>
    <col min="4098" max="4098" width="8.375" style="31" customWidth="1"/>
    <col min="4099" max="4099" width="7.5" style="31" customWidth="1"/>
    <col min="4100" max="4100" width="9" style="31"/>
    <col min="4101" max="4101" width="14.125" style="31" customWidth="1"/>
    <col min="4102" max="4102" width="8.125" style="31" customWidth="1"/>
    <col min="4103" max="4103" width="10.125" style="31" customWidth="1"/>
    <col min="4104" max="4104" width="10.25" style="31" customWidth="1"/>
    <col min="4105" max="4352" width="9" style="31"/>
    <col min="4353" max="4353" width="7" style="31" customWidth="1"/>
    <col min="4354" max="4354" width="8.375" style="31" customWidth="1"/>
    <col min="4355" max="4355" width="7.5" style="31" customWidth="1"/>
    <col min="4356" max="4356" width="9" style="31"/>
    <col min="4357" max="4357" width="14.125" style="31" customWidth="1"/>
    <col min="4358" max="4358" width="8.125" style="31" customWidth="1"/>
    <col min="4359" max="4359" width="10.125" style="31" customWidth="1"/>
    <col min="4360" max="4360" width="10.25" style="31" customWidth="1"/>
    <col min="4361" max="4608" width="9" style="31"/>
    <col min="4609" max="4609" width="7" style="31" customWidth="1"/>
    <col min="4610" max="4610" width="8.375" style="31" customWidth="1"/>
    <col min="4611" max="4611" width="7.5" style="31" customWidth="1"/>
    <col min="4612" max="4612" width="9" style="31"/>
    <col min="4613" max="4613" width="14.125" style="31" customWidth="1"/>
    <col min="4614" max="4614" width="8.125" style="31" customWidth="1"/>
    <col min="4615" max="4615" width="10.125" style="31" customWidth="1"/>
    <col min="4616" max="4616" width="10.25" style="31" customWidth="1"/>
    <col min="4617" max="4864" width="9" style="31"/>
    <col min="4865" max="4865" width="7" style="31" customWidth="1"/>
    <col min="4866" max="4866" width="8.375" style="31" customWidth="1"/>
    <col min="4867" max="4867" width="7.5" style="31" customWidth="1"/>
    <col min="4868" max="4868" width="9" style="31"/>
    <col min="4869" max="4869" width="14.125" style="31" customWidth="1"/>
    <col min="4870" max="4870" width="8.125" style="31" customWidth="1"/>
    <col min="4871" max="4871" width="10.125" style="31" customWidth="1"/>
    <col min="4872" max="4872" width="10.25" style="31" customWidth="1"/>
    <col min="4873" max="5120" width="9" style="31"/>
    <col min="5121" max="5121" width="7" style="31" customWidth="1"/>
    <col min="5122" max="5122" width="8.375" style="31" customWidth="1"/>
    <col min="5123" max="5123" width="7.5" style="31" customWidth="1"/>
    <col min="5124" max="5124" width="9" style="31"/>
    <col min="5125" max="5125" width="14.125" style="31" customWidth="1"/>
    <col min="5126" max="5126" width="8.125" style="31" customWidth="1"/>
    <col min="5127" max="5127" width="10.125" style="31" customWidth="1"/>
    <col min="5128" max="5128" width="10.25" style="31" customWidth="1"/>
    <col min="5129" max="5376" width="9" style="31"/>
    <col min="5377" max="5377" width="7" style="31" customWidth="1"/>
    <col min="5378" max="5378" width="8.375" style="31" customWidth="1"/>
    <col min="5379" max="5379" width="7.5" style="31" customWidth="1"/>
    <col min="5380" max="5380" width="9" style="31"/>
    <col min="5381" max="5381" width="14.125" style="31" customWidth="1"/>
    <col min="5382" max="5382" width="8.125" style="31" customWidth="1"/>
    <col min="5383" max="5383" width="10.125" style="31" customWidth="1"/>
    <col min="5384" max="5384" width="10.25" style="31" customWidth="1"/>
    <col min="5385" max="5632" width="9" style="31"/>
    <col min="5633" max="5633" width="7" style="31" customWidth="1"/>
    <col min="5634" max="5634" width="8.375" style="31" customWidth="1"/>
    <col min="5635" max="5635" width="7.5" style="31" customWidth="1"/>
    <col min="5636" max="5636" width="9" style="31"/>
    <col min="5637" max="5637" width="14.125" style="31" customWidth="1"/>
    <col min="5638" max="5638" width="8.125" style="31" customWidth="1"/>
    <col min="5639" max="5639" width="10.125" style="31" customWidth="1"/>
    <col min="5640" max="5640" width="10.25" style="31" customWidth="1"/>
    <col min="5641" max="5888" width="9" style="31"/>
    <col min="5889" max="5889" width="7" style="31" customWidth="1"/>
    <col min="5890" max="5890" width="8.375" style="31" customWidth="1"/>
    <col min="5891" max="5891" width="7.5" style="31" customWidth="1"/>
    <col min="5892" max="5892" width="9" style="31"/>
    <col min="5893" max="5893" width="14.125" style="31" customWidth="1"/>
    <col min="5894" max="5894" width="8.125" style="31" customWidth="1"/>
    <col min="5895" max="5895" width="10.125" style="31" customWidth="1"/>
    <col min="5896" max="5896" width="10.25" style="31" customWidth="1"/>
    <col min="5897" max="6144" width="9" style="31"/>
    <col min="6145" max="6145" width="7" style="31" customWidth="1"/>
    <col min="6146" max="6146" width="8.375" style="31" customWidth="1"/>
    <col min="6147" max="6147" width="7.5" style="31" customWidth="1"/>
    <col min="6148" max="6148" width="9" style="31"/>
    <col min="6149" max="6149" width="14.125" style="31" customWidth="1"/>
    <col min="6150" max="6150" width="8.125" style="31" customWidth="1"/>
    <col min="6151" max="6151" width="10.125" style="31" customWidth="1"/>
    <col min="6152" max="6152" width="10.25" style="31" customWidth="1"/>
    <col min="6153" max="6400" width="9" style="31"/>
    <col min="6401" max="6401" width="7" style="31" customWidth="1"/>
    <col min="6402" max="6402" width="8.375" style="31" customWidth="1"/>
    <col min="6403" max="6403" width="7.5" style="31" customWidth="1"/>
    <col min="6404" max="6404" width="9" style="31"/>
    <col min="6405" max="6405" width="14.125" style="31" customWidth="1"/>
    <col min="6406" max="6406" width="8.125" style="31" customWidth="1"/>
    <col min="6407" max="6407" width="10.125" style="31" customWidth="1"/>
    <col min="6408" max="6408" width="10.25" style="31" customWidth="1"/>
    <col min="6409" max="6656" width="9" style="31"/>
    <col min="6657" max="6657" width="7" style="31" customWidth="1"/>
    <col min="6658" max="6658" width="8.375" style="31" customWidth="1"/>
    <col min="6659" max="6659" width="7.5" style="31" customWidth="1"/>
    <col min="6660" max="6660" width="9" style="31"/>
    <col min="6661" max="6661" width="14.125" style="31" customWidth="1"/>
    <col min="6662" max="6662" width="8.125" style="31" customWidth="1"/>
    <col min="6663" max="6663" width="10.125" style="31" customWidth="1"/>
    <col min="6664" max="6664" width="10.25" style="31" customWidth="1"/>
    <col min="6665" max="6912" width="9" style="31"/>
    <col min="6913" max="6913" width="7" style="31" customWidth="1"/>
    <col min="6914" max="6914" width="8.375" style="31" customWidth="1"/>
    <col min="6915" max="6915" width="7.5" style="31" customWidth="1"/>
    <col min="6916" max="6916" width="9" style="31"/>
    <col min="6917" max="6917" width="14.125" style="31" customWidth="1"/>
    <col min="6918" max="6918" width="8.125" style="31" customWidth="1"/>
    <col min="6919" max="6919" width="10.125" style="31" customWidth="1"/>
    <col min="6920" max="6920" width="10.25" style="31" customWidth="1"/>
    <col min="6921" max="7168" width="9" style="31"/>
    <col min="7169" max="7169" width="7" style="31" customWidth="1"/>
    <col min="7170" max="7170" width="8.375" style="31" customWidth="1"/>
    <col min="7171" max="7171" width="7.5" style="31" customWidth="1"/>
    <col min="7172" max="7172" width="9" style="31"/>
    <col min="7173" max="7173" width="14.125" style="31" customWidth="1"/>
    <col min="7174" max="7174" width="8.125" style="31" customWidth="1"/>
    <col min="7175" max="7175" width="10.125" style="31" customWidth="1"/>
    <col min="7176" max="7176" width="10.25" style="31" customWidth="1"/>
    <col min="7177" max="7424" width="9" style="31"/>
    <col min="7425" max="7425" width="7" style="31" customWidth="1"/>
    <col min="7426" max="7426" width="8.375" style="31" customWidth="1"/>
    <col min="7427" max="7427" width="7.5" style="31" customWidth="1"/>
    <col min="7428" max="7428" width="9" style="31"/>
    <col min="7429" max="7429" width="14.125" style="31" customWidth="1"/>
    <col min="7430" max="7430" width="8.125" style="31" customWidth="1"/>
    <col min="7431" max="7431" width="10.125" style="31" customWidth="1"/>
    <col min="7432" max="7432" width="10.25" style="31" customWidth="1"/>
    <col min="7433" max="7680" width="9" style="31"/>
    <col min="7681" max="7681" width="7" style="31" customWidth="1"/>
    <col min="7682" max="7682" width="8.375" style="31" customWidth="1"/>
    <col min="7683" max="7683" width="7.5" style="31" customWidth="1"/>
    <col min="7684" max="7684" width="9" style="31"/>
    <col min="7685" max="7685" width="14.125" style="31" customWidth="1"/>
    <col min="7686" max="7686" width="8.125" style="31" customWidth="1"/>
    <col min="7687" max="7687" width="10.125" style="31" customWidth="1"/>
    <col min="7688" max="7688" width="10.25" style="31" customWidth="1"/>
    <col min="7689" max="7936" width="9" style="31"/>
    <col min="7937" max="7937" width="7" style="31" customWidth="1"/>
    <col min="7938" max="7938" width="8.375" style="31" customWidth="1"/>
    <col min="7939" max="7939" width="7.5" style="31" customWidth="1"/>
    <col min="7940" max="7940" width="9" style="31"/>
    <col min="7941" max="7941" width="14.125" style="31" customWidth="1"/>
    <col min="7942" max="7942" width="8.125" style="31" customWidth="1"/>
    <col min="7943" max="7943" width="10.125" style="31" customWidth="1"/>
    <col min="7944" max="7944" width="10.25" style="31" customWidth="1"/>
    <col min="7945" max="8192" width="9" style="31"/>
    <col min="8193" max="8193" width="7" style="31" customWidth="1"/>
    <col min="8194" max="8194" width="8.375" style="31" customWidth="1"/>
    <col min="8195" max="8195" width="7.5" style="31" customWidth="1"/>
    <col min="8196" max="8196" width="9" style="31"/>
    <col min="8197" max="8197" width="14.125" style="31" customWidth="1"/>
    <col min="8198" max="8198" width="8.125" style="31" customWidth="1"/>
    <col min="8199" max="8199" width="10.125" style="31" customWidth="1"/>
    <col min="8200" max="8200" width="10.25" style="31" customWidth="1"/>
    <col min="8201" max="8448" width="9" style="31"/>
    <col min="8449" max="8449" width="7" style="31" customWidth="1"/>
    <col min="8450" max="8450" width="8.375" style="31" customWidth="1"/>
    <col min="8451" max="8451" width="7.5" style="31" customWidth="1"/>
    <col min="8452" max="8452" width="9" style="31"/>
    <col min="8453" max="8453" width="14.125" style="31" customWidth="1"/>
    <col min="8454" max="8454" width="8.125" style="31" customWidth="1"/>
    <col min="8455" max="8455" width="10.125" style="31" customWidth="1"/>
    <col min="8456" max="8456" width="10.25" style="31" customWidth="1"/>
    <col min="8457" max="8704" width="9" style="31"/>
    <col min="8705" max="8705" width="7" style="31" customWidth="1"/>
    <col min="8706" max="8706" width="8.375" style="31" customWidth="1"/>
    <col min="8707" max="8707" width="7.5" style="31" customWidth="1"/>
    <col min="8708" max="8708" width="9" style="31"/>
    <col min="8709" max="8709" width="14.125" style="31" customWidth="1"/>
    <col min="8710" max="8710" width="8.125" style="31" customWidth="1"/>
    <col min="8711" max="8711" width="10.125" style="31" customWidth="1"/>
    <col min="8712" max="8712" width="10.25" style="31" customWidth="1"/>
    <col min="8713" max="8960" width="9" style="31"/>
    <col min="8961" max="8961" width="7" style="31" customWidth="1"/>
    <col min="8962" max="8962" width="8.375" style="31" customWidth="1"/>
    <col min="8963" max="8963" width="7.5" style="31" customWidth="1"/>
    <col min="8964" max="8964" width="9" style="31"/>
    <col min="8965" max="8965" width="14.125" style="31" customWidth="1"/>
    <col min="8966" max="8966" width="8.125" style="31" customWidth="1"/>
    <col min="8967" max="8967" width="10.125" style="31" customWidth="1"/>
    <col min="8968" max="8968" width="10.25" style="31" customWidth="1"/>
    <col min="8969" max="9216" width="9" style="31"/>
    <col min="9217" max="9217" width="7" style="31" customWidth="1"/>
    <col min="9218" max="9218" width="8.375" style="31" customWidth="1"/>
    <col min="9219" max="9219" width="7.5" style="31" customWidth="1"/>
    <col min="9220" max="9220" width="9" style="31"/>
    <col min="9221" max="9221" width="14.125" style="31" customWidth="1"/>
    <col min="9222" max="9222" width="8.125" style="31" customWidth="1"/>
    <col min="9223" max="9223" width="10.125" style="31" customWidth="1"/>
    <col min="9224" max="9224" width="10.25" style="31" customWidth="1"/>
    <col min="9225" max="9472" width="9" style="31"/>
    <col min="9473" max="9473" width="7" style="31" customWidth="1"/>
    <col min="9474" max="9474" width="8.375" style="31" customWidth="1"/>
    <col min="9475" max="9475" width="7.5" style="31" customWidth="1"/>
    <col min="9476" max="9476" width="9" style="31"/>
    <col min="9477" max="9477" width="14.125" style="31" customWidth="1"/>
    <col min="9478" max="9478" width="8.125" style="31" customWidth="1"/>
    <col min="9479" max="9479" width="10.125" style="31" customWidth="1"/>
    <col min="9480" max="9480" width="10.25" style="31" customWidth="1"/>
    <col min="9481" max="9728" width="9" style="31"/>
    <col min="9729" max="9729" width="7" style="31" customWidth="1"/>
    <col min="9730" max="9730" width="8.375" style="31" customWidth="1"/>
    <col min="9731" max="9731" width="7.5" style="31" customWidth="1"/>
    <col min="9732" max="9732" width="9" style="31"/>
    <col min="9733" max="9733" width="14.125" style="31" customWidth="1"/>
    <col min="9734" max="9734" width="8.125" style="31" customWidth="1"/>
    <col min="9735" max="9735" width="10.125" style="31" customWidth="1"/>
    <col min="9736" max="9736" width="10.25" style="31" customWidth="1"/>
    <col min="9737" max="9984" width="9" style="31"/>
    <col min="9985" max="9985" width="7" style="31" customWidth="1"/>
    <col min="9986" max="9986" width="8.375" style="31" customWidth="1"/>
    <col min="9987" max="9987" width="7.5" style="31" customWidth="1"/>
    <col min="9988" max="9988" width="9" style="31"/>
    <col min="9989" max="9989" width="14.125" style="31" customWidth="1"/>
    <col min="9990" max="9990" width="8.125" style="31" customWidth="1"/>
    <col min="9991" max="9991" width="10.125" style="31" customWidth="1"/>
    <col min="9992" max="9992" width="10.25" style="31" customWidth="1"/>
    <col min="9993" max="10240" width="9" style="31"/>
    <col min="10241" max="10241" width="7" style="31" customWidth="1"/>
    <col min="10242" max="10242" width="8.375" style="31" customWidth="1"/>
    <col min="10243" max="10243" width="7.5" style="31" customWidth="1"/>
    <col min="10244" max="10244" width="9" style="31"/>
    <col min="10245" max="10245" width="14.125" style="31" customWidth="1"/>
    <col min="10246" max="10246" width="8.125" style="31" customWidth="1"/>
    <col min="10247" max="10247" width="10.125" style="31" customWidth="1"/>
    <col min="10248" max="10248" width="10.25" style="31" customWidth="1"/>
    <col min="10249" max="10496" width="9" style="31"/>
    <col min="10497" max="10497" width="7" style="31" customWidth="1"/>
    <col min="10498" max="10498" width="8.375" style="31" customWidth="1"/>
    <col min="10499" max="10499" width="7.5" style="31" customWidth="1"/>
    <col min="10500" max="10500" width="9" style="31"/>
    <col min="10501" max="10501" width="14.125" style="31" customWidth="1"/>
    <col min="10502" max="10502" width="8.125" style="31" customWidth="1"/>
    <col min="10503" max="10503" width="10.125" style="31" customWidth="1"/>
    <col min="10504" max="10504" width="10.25" style="31" customWidth="1"/>
    <col min="10505" max="10752" width="9" style="31"/>
    <col min="10753" max="10753" width="7" style="31" customWidth="1"/>
    <col min="10754" max="10754" width="8.375" style="31" customWidth="1"/>
    <col min="10755" max="10755" width="7.5" style="31" customWidth="1"/>
    <col min="10756" max="10756" width="9" style="31"/>
    <col min="10757" max="10757" width="14.125" style="31" customWidth="1"/>
    <col min="10758" max="10758" width="8.125" style="31" customWidth="1"/>
    <col min="10759" max="10759" width="10.125" style="31" customWidth="1"/>
    <col min="10760" max="10760" width="10.25" style="31" customWidth="1"/>
    <col min="10761" max="11008" width="9" style="31"/>
    <col min="11009" max="11009" width="7" style="31" customWidth="1"/>
    <col min="11010" max="11010" width="8.375" style="31" customWidth="1"/>
    <col min="11011" max="11011" width="7.5" style="31" customWidth="1"/>
    <col min="11012" max="11012" width="9" style="31"/>
    <col min="11013" max="11013" width="14.125" style="31" customWidth="1"/>
    <col min="11014" max="11014" width="8.125" style="31" customWidth="1"/>
    <col min="11015" max="11015" width="10.125" style="31" customWidth="1"/>
    <col min="11016" max="11016" width="10.25" style="31" customWidth="1"/>
    <col min="11017" max="11264" width="9" style="31"/>
    <col min="11265" max="11265" width="7" style="31" customWidth="1"/>
    <col min="11266" max="11266" width="8.375" style="31" customWidth="1"/>
    <col min="11267" max="11267" width="7.5" style="31" customWidth="1"/>
    <col min="11268" max="11268" width="9" style="31"/>
    <col min="11269" max="11269" width="14.125" style="31" customWidth="1"/>
    <col min="11270" max="11270" width="8.125" style="31" customWidth="1"/>
    <col min="11271" max="11271" width="10.125" style="31" customWidth="1"/>
    <col min="11272" max="11272" width="10.25" style="31" customWidth="1"/>
    <col min="11273" max="11520" width="9" style="31"/>
    <col min="11521" max="11521" width="7" style="31" customWidth="1"/>
    <col min="11522" max="11522" width="8.375" style="31" customWidth="1"/>
    <col min="11523" max="11523" width="7.5" style="31" customWidth="1"/>
    <col min="11524" max="11524" width="9" style="31"/>
    <col min="11525" max="11525" width="14.125" style="31" customWidth="1"/>
    <col min="11526" max="11526" width="8.125" style="31" customWidth="1"/>
    <col min="11527" max="11527" width="10.125" style="31" customWidth="1"/>
    <col min="11528" max="11528" width="10.25" style="31" customWidth="1"/>
    <col min="11529" max="11776" width="9" style="31"/>
    <col min="11777" max="11777" width="7" style="31" customWidth="1"/>
    <col min="11778" max="11778" width="8.375" style="31" customWidth="1"/>
    <col min="11779" max="11779" width="7.5" style="31" customWidth="1"/>
    <col min="11780" max="11780" width="9" style="31"/>
    <col min="11781" max="11781" width="14.125" style="31" customWidth="1"/>
    <col min="11782" max="11782" width="8.125" style="31" customWidth="1"/>
    <col min="11783" max="11783" width="10.125" style="31" customWidth="1"/>
    <col min="11784" max="11784" width="10.25" style="31" customWidth="1"/>
    <col min="11785" max="12032" width="9" style="31"/>
    <col min="12033" max="12033" width="7" style="31" customWidth="1"/>
    <col min="12034" max="12034" width="8.375" style="31" customWidth="1"/>
    <col min="12035" max="12035" width="7.5" style="31" customWidth="1"/>
    <col min="12036" max="12036" width="9" style="31"/>
    <col min="12037" max="12037" width="14.125" style="31" customWidth="1"/>
    <col min="12038" max="12038" width="8.125" style="31" customWidth="1"/>
    <col min="12039" max="12039" width="10.125" style="31" customWidth="1"/>
    <col min="12040" max="12040" width="10.25" style="31" customWidth="1"/>
    <col min="12041" max="12288" width="9" style="31"/>
    <col min="12289" max="12289" width="7" style="31" customWidth="1"/>
    <col min="12290" max="12290" width="8.375" style="31" customWidth="1"/>
    <col min="12291" max="12291" width="7.5" style="31" customWidth="1"/>
    <col min="12292" max="12292" width="9" style="31"/>
    <col min="12293" max="12293" width="14.125" style="31" customWidth="1"/>
    <col min="12294" max="12294" width="8.125" style="31" customWidth="1"/>
    <col min="12295" max="12295" width="10.125" style="31" customWidth="1"/>
    <col min="12296" max="12296" width="10.25" style="31" customWidth="1"/>
    <col min="12297" max="12544" width="9" style="31"/>
    <col min="12545" max="12545" width="7" style="31" customWidth="1"/>
    <col min="12546" max="12546" width="8.375" style="31" customWidth="1"/>
    <col min="12547" max="12547" width="7.5" style="31" customWidth="1"/>
    <col min="12548" max="12548" width="9" style="31"/>
    <col min="12549" max="12549" width="14.125" style="31" customWidth="1"/>
    <col min="12550" max="12550" width="8.125" style="31" customWidth="1"/>
    <col min="12551" max="12551" width="10.125" style="31" customWidth="1"/>
    <col min="12552" max="12552" width="10.25" style="31" customWidth="1"/>
    <col min="12553" max="12800" width="9" style="31"/>
    <col min="12801" max="12801" width="7" style="31" customWidth="1"/>
    <col min="12802" max="12802" width="8.375" style="31" customWidth="1"/>
    <col min="12803" max="12803" width="7.5" style="31" customWidth="1"/>
    <col min="12804" max="12804" width="9" style="31"/>
    <col min="12805" max="12805" width="14.125" style="31" customWidth="1"/>
    <col min="12806" max="12806" width="8.125" style="31" customWidth="1"/>
    <col min="12807" max="12807" width="10.125" style="31" customWidth="1"/>
    <col min="12808" max="12808" width="10.25" style="31" customWidth="1"/>
    <col min="12809" max="13056" width="9" style="31"/>
    <col min="13057" max="13057" width="7" style="31" customWidth="1"/>
    <col min="13058" max="13058" width="8.375" style="31" customWidth="1"/>
    <col min="13059" max="13059" width="7.5" style="31" customWidth="1"/>
    <col min="13060" max="13060" width="9" style="31"/>
    <col min="13061" max="13061" width="14.125" style="31" customWidth="1"/>
    <col min="13062" max="13062" width="8.125" style="31" customWidth="1"/>
    <col min="13063" max="13063" width="10.125" style="31" customWidth="1"/>
    <col min="13064" max="13064" width="10.25" style="31" customWidth="1"/>
    <col min="13065" max="13312" width="9" style="31"/>
    <col min="13313" max="13313" width="7" style="31" customWidth="1"/>
    <col min="13314" max="13314" width="8.375" style="31" customWidth="1"/>
    <col min="13315" max="13315" width="7.5" style="31" customWidth="1"/>
    <col min="13316" max="13316" width="9" style="31"/>
    <col min="13317" max="13317" width="14.125" style="31" customWidth="1"/>
    <col min="13318" max="13318" width="8.125" style="31" customWidth="1"/>
    <col min="13319" max="13319" width="10.125" style="31" customWidth="1"/>
    <col min="13320" max="13320" width="10.25" style="31" customWidth="1"/>
    <col min="13321" max="13568" width="9" style="31"/>
    <col min="13569" max="13569" width="7" style="31" customWidth="1"/>
    <col min="13570" max="13570" width="8.375" style="31" customWidth="1"/>
    <col min="13571" max="13571" width="7.5" style="31" customWidth="1"/>
    <col min="13572" max="13572" width="9" style="31"/>
    <col min="13573" max="13573" width="14.125" style="31" customWidth="1"/>
    <col min="13574" max="13574" width="8.125" style="31" customWidth="1"/>
    <col min="13575" max="13575" width="10.125" style="31" customWidth="1"/>
    <col min="13576" max="13576" width="10.25" style="31" customWidth="1"/>
    <col min="13577" max="13824" width="9" style="31"/>
    <col min="13825" max="13825" width="7" style="31" customWidth="1"/>
    <col min="13826" max="13826" width="8.375" style="31" customWidth="1"/>
    <col min="13827" max="13827" width="7.5" style="31" customWidth="1"/>
    <col min="13828" max="13828" width="9" style="31"/>
    <col min="13829" max="13829" width="14.125" style="31" customWidth="1"/>
    <col min="13830" max="13830" width="8.125" style="31" customWidth="1"/>
    <col min="13831" max="13831" width="10.125" style="31" customWidth="1"/>
    <col min="13832" max="13832" width="10.25" style="31" customWidth="1"/>
    <col min="13833" max="14080" width="9" style="31"/>
    <col min="14081" max="14081" width="7" style="31" customWidth="1"/>
    <col min="14082" max="14082" width="8.375" style="31" customWidth="1"/>
    <col min="14083" max="14083" width="7.5" style="31" customWidth="1"/>
    <col min="14084" max="14084" width="9" style="31"/>
    <col min="14085" max="14085" width="14.125" style="31" customWidth="1"/>
    <col min="14086" max="14086" width="8.125" style="31" customWidth="1"/>
    <col min="14087" max="14087" width="10.125" style="31" customWidth="1"/>
    <col min="14088" max="14088" width="10.25" style="31" customWidth="1"/>
    <col min="14089" max="14336" width="9" style="31"/>
    <col min="14337" max="14337" width="7" style="31" customWidth="1"/>
    <col min="14338" max="14338" width="8.375" style="31" customWidth="1"/>
    <col min="14339" max="14339" width="7.5" style="31" customWidth="1"/>
    <col min="14340" max="14340" width="9" style="31"/>
    <col min="14341" max="14341" width="14.125" style="31" customWidth="1"/>
    <col min="14342" max="14342" width="8.125" style="31" customWidth="1"/>
    <col min="14343" max="14343" width="10.125" style="31" customWidth="1"/>
    <col min="14344" max="14344" width="10.25" style="31" customWidth="1"/>
    <col min="14345" max="14592" width="9" style="31"/>
    <col min="14593" max="14593" width="7" style="31" customWidth="1"/>
    <col min="14594" max="14594" width="8.375" style="31" customWidth="1"/>
    <col min="14595" max="14595" width="7.5" style="31" customWidth="1"/>
    <col min="14596" max="14596" width="9" style="31"/>
    <col min="14597" max="14597" width="14.125" style="31" customWidth="1"/>
    <col min="14598" max="14598" width="8.125" style="31" customWidth="1"/>
    <col min="14599" max="14599" width="10.125" style="31" customWidth="1"/>
    <col min="14600" max="14600" width="10.25" style="31" customWidth="1"/>
    <col min="14601" max="14848" width="9" style="31"/>
    <col min="14849" max="14849" width="7" style="31" customWidth="1"/>
    <col min="14850" max="14850" width="8.375" style="31" customWidth="1"/>
    <col min="14851" max="14851" width="7.5" style="31" customWidth="1"/>
    <col min="14852" max="14852" width="9" style="31"/>
    <col min="14853" max="14853" width="14.125" style="31" customWidth="1"/>
    <col min="14854" max="14854" width="8.125" style="31" customWidth="1"/>
    <col min="14855" max="14855" width="10.125" style="31" customWidth="1"/>
    <col min="14856" max="14856" width="10.25" style="31" customWidth="1"/>
    <col min="14857" max="15104" width="9" style="31"/>
    <col min="15105" max="15105" width="7" style="31" customWidth="1"/>
    <col min="15106" max="15106" width="8.375" style="31" customWidth="1"/>
    <col min="15107" max="15107" width="7.5" style="31" customWidth="1"/>
    <col min="15108" max="15108" width="9" style="31"/>
    <col min="15109" max="15109" width="14.125" style="31" customWidth="1"/>
    <col min="15110" max="15110" width="8.125" style="31" customWidth="1"/>
    <col min="15111" max="15111" width="10.125" style="31" customWidth="1"/>
    <col min="15112" max="15112" width="10.25" style="31" customWidth="1"/>
    <col min="15113" max="15360" width="9" style="31"/>
    <col min="15361" max="15361" width="7" style="31" customWidth="1"/>
    <col min="15362" max="15362" width="8.375" style="31" customWidth="1"/>
    <col min="15363" max="15363" width="7.5" style="31" customWidth="1"/>
    <col min="15364" max="15364" width="9" style="31"/>
    <col min="15365" max="15365" width="14.125" style="31" customWidth="1"/>
    <col min="15366" max="15366" width="8.125" style="31" customWidth="1"/>
    <col min="15367" max="15367" width="10.125" style="31" customWidth="1"/>
    <col min="15368" max="15368" width="10.25" style="31" customWidth="1"/>
    <col min="15369" max="15616" width="9" style="31"/>
    <col min="15617" max="15617" width="7" style="31" customWidth="1"/>
    <col min="15618" max="15618" width="8.375" style="31" customWidth="1"/>
    <col min="15619" max="15619" width="7.5" style="31" customWidth="1"/>
    <col min="15620" max="15620" width="9" style="31"/>
    <col min="15621" max="15621" width="14.125" style="31" customWidth="1"/>
    <col min="15622" max="15622" width="8.125" style="31" customWidth="1"/>
    <col min="15623" max="15623" width="10.125" style="31" customWidth="1"/>
    <col min="15624" max="15624" width="10.25" style="31" customWidth="1"/>
    <col min="15625" max="15872" width="9" style="31"/>
    <col min="15873" max="15873" width="7" style="31" customWidth="1"/>
    <col min="15874" max="15874" width="8.375" style="31" customWidth="1"/>
    <col min="15875" max="15875" width="7.5" style="31" customWidth="1"/>
    <col min="15876" max="15876" width="9" style="31"/>
    <col min="15877" max="15877" width="14.125" style="31" customWidth="1"/>
    <col min="15878" max="15878" width="8.125" style="31" customWidth="1"/>
    <col min="15879" max="15879" width="10.125" style="31" customWidth="1"/>
    <col min="15880" max="15880" width="10.25" style="31" customWidth="1"/>
    <col min="15881" max="16128" width="9" style="31"/>
    <col min="16129" max="16129" width="7" style="31" customWidth="1"/>
    <col min="16130" max="16130" width="8.375" style="31" customWidth="1"/>
    <col min="16131" max="16131" width="7.5" style="31" customWidth="1"/>
    <col min="16132" max="16132" width="9" style="31"/>
    <col min="16133" max="16133" width="14.125" style="31" customWidth="1"/>
    <col min="16134" max="16134" width="8.125" style="31" customWidth="1"/>
    <col min="16135" max="16135" width="10.125" style="31" customWidth="1"/>
    <col min="16136" max="16136" width="10.25" style="31" customWidth="1"/>
    <col min="16137" max="16384" width="9" style="31"/>
  </cols>
  <sheetData>
    <row r="1" ht="23.25" spans="1:8">
      <c r="A1" s="32" t="s">
        <v>797</v>
      </c>
      <c r="B1" s="32"/>
      <c r="C1" s="32"/>
      <c r="D1" s="32"/>
      <c r="E1" s="32"/>
      <c r="F1" s="32"/>
      <c r="G1" s="32"/>
      <c r="H1" s="32"/>
    </row>
    <row r="2" ht="23.25" spans="1:8">
      <c r="A2" s="33" t="s">
        <v>798</v>
      </c>
      <c r="B2" s="32"/>
      <c r="C2" s="32"/>
      <c r="D2" s="32"/>
      <c r="E2" s="32"/>
      <c r="F2" s="32"/>
      <c r="G2" s="32"/>
      <c r="H2" s="32"/>
    </row>
    <row r="3" ht="16.5" customHeight="1" spans="1:8">
      <c r="A3" s="31" t="s">
        <v>799</v>
      </c>
    </row>
    <row r="4" ht="16.5" customHeight="1" spans="1:8">
      <c r="A4" s="34" t="s">
        <v>800</v>
      </c>
      <c r="B4" s="35">
        <v>50000</v>
      </c>
      <c r="C4" s="36"/>
      <c r="D4" s="36"/>
      <c r="F4" s="37" t="s">
        <v>801</v>
      </c>
      <c r="H4" s="30"/>
    </row>
    <row r="5" ht="16.5" customHeight="1" spans="1:8">
      <c r="A5" s="34" t="s">
        <v>802</v>
      </c>
      <c r="B5" s="38">
        <v>10000</v>
      </c>
      <c r="C5" s="39"/>
      <c r="D5" s="40"/>
      <c r="F5" s="41" t="s">
        <v>363</v>
      </c>
      <c r="G5" s="42" t="s">
        <v>803</v>
      </c>
      <c r="H5" s="43"/>
    </row>
    <row r="6" ht="5.25" customHeight="1" spans="1:8">
      <c r="A6" s="44"/>
      <c r="B6" s="44"/>
      <c r="C6" s="44"/>
      <c r="D6" s="44"/>
      <c r="E6" s="44"/>
      <c r="F6" s="44"/>
      <c r="G6" s="44"/>
      <c r="H6" s="44"/>
    </row>
    <row r="7" s="30" customFormat="1" ht="5.25" customHeight="1"/>
    <row r="8" ht="15.75" customHeight="1" spans="1:8">
      <c r="A8" s="12" t="s">
        <v>804</v>
      </c>
      <c r="B8" s="12"/>
      <c r="C8" s="12"/>
      <c r="D8" s="12"/>
      <c r="E8" s="12"/>
      <c r="F8" s="12"/>
      <c r="G8" s="12"/>
      <c r="H8" s="12"/>
    </row>
    <row r="9" ht="15.75" customHeight="1" spans="1:8">
      <c r="A9" s="45" t="s">
        <v>805</v>
      </c>
      <c r="B9" s="46"/>
      <c r="C9" s="46"/>
      <c r="D9" s="46"/>
      <c r="E9" s="46"/>
      <c r="F9" s="46"/>
      <c r="G9" s="46"/>
      <c r="H9" s="46"/>
    </row>
    <row r="10" ht="15.75" customHeight="1"/>
    <row r="11" ht="15.75" customHeight="1" spans="1:8">
      <c r="A11" s="1" t="s">
        <v>806</v>
      </c>
      <c r="B11" s="1"/>
      <c r="C11" s="47"/>
    </row>
    <row r="12" ht="15.75" customHeight="1" spans="1:8">
      <c r="A12" s="48" t="s">
        <v>807</v>
      </c>
      <c r="C12" s="38" t="s">
        <v>808</v>
      </c>
      <c r="D12" s="39"/>
      <c r="E12" s="40"/>
      <c r="F12" s="40"/>
      <c r="G12" s="40"/>
      <c r="H12" s="40"/>
    </row>
    <row r="13" ht="15.75" customHeight="1"/>
    <row r="14" ht="15.75" customHeight="1" spans="1:8">
      <c r="A14" s="1" t="s">
        <v>809</v>
      </c>
      <c r="B14" s="1"/>
    </row>
    <row r="15" ht="15.75" customHeight="1" spans="1:8">
      <c r="A15" s="48" t="s">
        <v>810</v>
      </c>
      <c r="C15" s="38" t="s">
        <v>811</v>
      </c>
      <c r="D15" s="39"/>
      <c r="E15" s="40"/>
      <c r="F15" s="40"/>
      <c r="G15" s="40"/>
      <c r="H15" s="40"/>
    </row>
    <row r="16" ht="15.75" customHeight="1" spans="1:8">
      <c r="C16" s="49"/>
      <c r="D16" s="50"/>
      <c r="E16" s="50"/>
      <c r="F16" s="50"/>
      <c r="G16" s="50"/>
      <c r="H16" s="50"/>
    </row>
    <row r="17" ht="15.75" customHeight="1" spans="1:8">
      <c r="A17" s="51" t="s">
        <v>812</v>
      </c>
      <c r="B17" s="51"/>
      <c r="C17" s="51"/>
    </row>
    <row r="18" ht="15.75" customHeight="1" spans="1:8">
      <c r="A18" s="48" t="s">
        <v>813</v>
      </c>
    </row>
    <row r="19" ht="15.75" customHeight="1" spans="1:8">
      <c r="A19" s="48"/>
    </row>
    <row r="20" ht="15.75" customHeight="1" spans="1:8">
      <c r="F20" s="31" t="s">
        <v>814</v>
      </c>
      <c r="G20" s="3" t="s">
        <v>108</v>
      </c>
      <c r="H20" s="52"/>
    </row>
    <row r="21" ht="15.75" customHeight="1" spans="1:8">
      <c r="F21" s="48" t="s">
        <v>815</v>
      </c>
      <c r="G21" s="53"/>
      <c r="H21" s="53"/>
    </row>
    <row r="22" ht="15.75" customHeight="1" spans="1:8">
      <c r="F22" s="31" t="s">
        <v>816</v>
      </c>
      <c r="G22" s="54" t="str">
        <f>'Gen Inb'!I6</f>
        <v>马士基奋进</v>
      </c>
      <c r="H22" s="54"/>
    </row>
    <row r="23" ht="15.75" customHeight="1" spans="1:8">
      <c r="F23" s="48" t="s">
        <v>817</v>
      </c>
      <c r="G23" s="43" t="str">
        <f>'Gen Inb'!I7</f>
        <v>ERASMUS EFFORT</v>
      </c>
      <c r="H23" s="43"/>
    </row>
  </sheetData>
  <mergeCells count="16">
    <mergeCell ref="A1:H1"/>
    <mergeCell ref="A2:H2"/>
    <mergeCell ref="B4:D4"/>
    <mergeCell ref="B5:C5"/>
    <mergeCell ref="G5:H5"/>
    <mergeCell ref="A6:H6"/>
    <mergeCell ref="A8:H8"/>
    <mergeCell ref="A9:H9"/>
    <mergeCell ref="A11:B11"/>
    <mergeCell ref="C12:H12"/>
    <mergeCell ref="A14:B14"/>
    <mergeCell ref="C15:H15"/>
    <mergeCell ref="A17:C17"/>
    <mergeCell ref="G22:H22"/>
    <mergeCell ref="G23:H23"/>
    <mergeCell ref="G20:H21"/>
  </mergeCells>
  <pageMargins left="0.699305555555556" right="0.699305555555556"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A1:S28"/>
  <sheetViews>
    <sheetView workbookViewId="0">
      <selection activeCell="J15" sqref="J15"/>
    </sheetView>
  </sheetViews>
  <sheetFormatPr defaultColWidth="9" defaultRowHeight="13.5"/>
  <cols>
    <col min="1" max="1" width="13.625" style="1" customWidth="1"/>
    <col min="2" max="2" width="7.125" style="1" customWidth="1"/>
    <col min="3" max="3" width="14.125" style="1" customWidth="1"/>
    <col min="4" max="4" width="15" style="1" customWidth="1"/>
    <col min="5" max="5" width="11.75" style="1" customWidth="1"/>
    <col min="6" max="6" width="17.625" style="1" customWidth="1"/>
    <col min="7" max="256" width="9" style="1"/>
    <col min="257" max="257" width="13.625" style="1" customWidth="1"/>
    <col min="258" max="258" width="7.125" style="1" customWidth="1"/>
    <col min="259" max="259" width="14.125" style="1" customWidth="1"/>
    <col min="260" max="260" width="15" style="1" customWidth="1"/>
    <col min="261" max="261" width="11.75" style="1" customWidth="1"/>
    <col min="262" max="262" width="17.625" style="1" customWidth="1"/>
    <col min="263" max="512" width="9" style="1"/>
    <col min="513" max="513" width="13.625" style="1" customWidth="1"/>
    <col min="514" max="514" width="7.125" style="1" customWidth="1"/>
    <col min="515" max="515" width="14.125" style="1" customWidth="1"/>
    <col min="516" max="516" width="15" style="1" customWidth="1"/>
    <col min="517" max="517" width="11.75" style="1" customWidth="1"/>
    <col min="518" max="518" width="17.625" style="1" customWidth="1"/>
    <col min="519" max="768" width="9" style="1"/>
    <col min="769" max="769" width="13.625" style="1" customWidth="1"/>
    <col min="770" max="770" width="7.125" style="1" customWidth="1"/>
    <col min="771" max="771" width="14.125" style="1" customWidth="1"/>
    <col min="772" max="772" width="15" style="1" customWidth="1"/>
    <col min="773" max="773" width="11.75" style="1" customWidth="1"/>
    <col min="774" max="774" width="17.625" style="1" customWidth="1"/>
    <col min="775" max="1024" width="9" style="1"/>
    <col min="1025" max="1025" width="13.625" style="1" customWidth="1"/>
    <col min="1026" max="1026" width="7.125" style="1" customWidth="1"/>
    <col min="1027" max="1027" width="14.125" style="1" customWidth="1"/>
    <col min="1028" max="1028" width="15" style="1" customWidth="1"/>
    <col min="1029" max="1029" width="11.75" style="1" customWidth="1"/>
    <col min="1030" max="1030" width="17.625" style="1" customWidth="1"/>
    <col min="1031" max="1280" width="9" style="1"/>
    <col min="1281" max="1281" width="13.625" style="1" customWidth="1"/>
    <col min="1282" max="1282" width="7.125" style="1" customWidth="1"/>
    <col min="1283" max="1283" width="14.125" style="1" customWidth="1"/>
    <col min="1284" max="1284" width="15" style="1" customWidth="1"/>
    <col min="1285" max="1285" width="11.75" style="1" customWidth="1"/>
    <col min="1286" max="1286" width="17.625" style="1" customWidth="1"/>
    <col min="1287" max="1536" width="9" style="1"/>
    <col min="1537" max="1537" width="13.625" style="1" customWidth="1"/>
    <col min="1538" max="1538" width="7.125" style="1" customWidth="1"/>
    <col min="1539" max="1539" width="14.125" style="1" customWidth="1"/>
    <col min="1540" max="1540" width="15" style="1" customWidth="1"/>
    <col min="1541" max="1541" width="11.75" style="1" customWidth="1"/>
    <col min="1542" max="1542" width="17.625" style="1" customWidth="1"/>
    <col min="1543" max="1792" width="9" style="1"/>
    <col min="1793" max="1793" width="13.625" style="1" customWidth="1"/>
    <col min="1794" max="1794" width="7.125" style="1" customWidth="1"/>
    <col min="1795" max="1795" width="14.125" style="1" customWidth="1"/>
    <col min="1796" max="1796" width="15" style="1" customWidth="1"/>
    <col min="1797" max="1797" width="11.75" style="1" customWidth="1"/>
    <col min="1798" max="1798" width="17.625" style="1" customWidth="1"/>
    <col min="1799" max="2048" width="9" style="1"/>
    <col min="2049" max="2049" width="13.625" style="1" customWidth="1"/>
    <col min="2050" max="2050" width="7.125" style="1" customWidth="1"/>
    <col min="2051" max="2051" width="14.125" style="1" customWidth="1"/>
    <col min="2052" max="2052" width="15" style="1" customWidth="1"/>
    <col min="2053" max="2053" width="11.75" style="1" customWidth="1"/>
    <col min="2054" max="2054" width="17.625" style="1" customWidth="1"/>
    <col min="2055" max="2304" width="9" style="1"/>
    <col min="2305" max="2305" width="13.625" style="1" customWidth="1"/>
    <col min="2306" max="2306" width="7.125" style="1" customWidth="1"/>
    <col min="2307" max="2307" width="14.125" style="1" customWidth="1"/>
    <col min="2308" max="2308" width="15" style="1" customWidth="1"/>
    <col min="2309" max="2309" width="11.75" style="1" customWidth="1"/>
    <col min="2310" max="2310" width="17.625" style="1" customWidth="1"/>
    <col min="2311" max="2560" width="9" style="1"/>
    <col min="2561" max="2561" width="13.625" style="1" customWidth="1"/>
    <col min="2562" max="2562" width="7.125" style="1" customWidth="1"/>
    <col min="2563" max="2563" width="14.125" style="1" customWidth="1"/>
    <col min="2564" max="2564" width="15" style="1" customWidth="1"/>
    <col min="2565" max="2565" width="11.75" style="1" customWidth="1"/>
    <col min="2566" max="2566" width="17.625" style="1" customWidth="1"/>
    <col min="2567" max="2816" width="9" style="1"/>
    <col min="2817" max="2817" width="13.625" style="1" customWidth="1"/>
    <col min="2818" max="2818" width="7.125" style="1" customWidth="1"/>
    <col min="2819" max="2819" width="14.125" style="1" customWidth="1"/>
    <col min="2820" max="2820" width="15" style="1" customWidth="1"/>
    <col min="2821" max="2821" width="11.75" style="1" customWidth="1"/>
    <col min="2822" max="2822" width="17.625" style="1" customWidth="1"/>
    <col min="2823" max="3072" width="9" style="1"/>
    <col min="3073" max="3073" width="13.625" style="1" customWidth="1"/>
    <col min="3074" max="3074" width="7.125" style="1" customWidth="1"/>
    <col min="3075" max="3075" width="14.125" style="1" customWidth="1"/>
    <col min="3076" max="3076" width="15" style="1" customWidth="1"/>
    <col min="3077" max="3077" width="11.75" style="1" customWidth="1"/>
    <col min="3078" max="3078" width="17.625" style="1" customWidth="1"/>
    <col min="3079" max="3328" width="9" style="1"/>
    <col min="3329" max="3329" width="13.625" style="1" customWidth="1"/>
    <col min="3330" max="3330" width="7.125" style="1" customWidth="1"/>
    <col min="3331" max="3331" width="14.125" style="1" customWidth="1"/>
    <col min="3332" max="3332" width="15" style="1" customWidth="1"/>
    <col min="3333" max="3333" width="11.75" style="1" customWidth="1"/>
    <col min="3334" max="3334" width="17.625" style="1" customWidth="1"/>
    <col min="3335" max="3584" width="9" style="1"/>
    <col min="3585" max="3585" width="13.625" style="1" customWidth="1"/>
    <col min="3586" max="3586" width="7.125" style="1" customWidth="1"/>
    <col min="3587" max="3587" width="14.125" style="1" customWidth="1"/>
    <col min="3588" max="3588" width="15" style="1" customWidth="1"/>
    <col min="3589" max="3589" width="11.75" style="1" customWidth="1"/>
    <col min="3590" max="3590" width="17.625" style="1" customWidth="1"/>
    <col min="3591" max="3840" width="9" style="1"/>
    <col min="3841" max="3841" width="13.625" style="1" customWidth="1"/>
    <col min="3842" max="3842" width="7.125" style="1" customWidth="1"/>
    <col min="3843" max="3843" width="14.125" style="1" customWidth="1"/>
    <col min="3844" max="3844" width="15" style="1" customWidth="1"/>
    <col min="3845" max="3845" width="11.75" style="1" customWidth="1"/>
    <col min="3846" max="3846" width="17.625" style="1" customWidth="1"/>
    <col min="3847" max="4096" width="9" style="1"/>
    <col min="4097" max="4097" width="13.625" style="1" customWidth="1"/>
    <col min="4098" max="4098" width="7.125" style="1" customWidth="1"/>
    <col min="4099" max="4099" width="14.125" style="1" customWidth="1"/>
    <col min="4100" max="4100" width="15" style="1" customWidth="1"/>
    <col min="4101" max="4101" width="11.75" style="1" customWidth="1"/>
    <col min="4102" max="4102" width="17.625" style="1" customWidth="1"/>
    <col min="4103" max="4352" width="9" style="1"/>
    <col min="4353" max="4353" width="13.625" style="1" customWidth="1"/>
    <col min="4354" max="4354" width="7.125" style="1" customWidth="1"/>
    <col min="4355" max="4355" width="14.125" style="1" customWidth="1"/>
    <col min="4356" max="4356" width="15" style="1" customWidth="1"/>
    <col min="4357" max="4357" width="11.75" style="1" customWidth="1"/>
    <col min="4358" max="4358" width="17.625" style="1" customWidth="1"/>
    <col min="4359" max="4608" width="9" style="1"/>
    <col min="4609" max="4609" width="13.625" style="1" customWidth="1"/>
    <col min="4610" max="4610" width="7.125" style="1" customWidth="1"/>
    <col min="4611" max="4611" width="14.125" style="1" customWidth="1"/>
    <col min="4612" max="4612" width="15" style="1" customWidth="1"/>
    <col min="4613" max="4613" width="11.75" style="1" customWidth="1"/>
    <col min="4614" max="4614" width="17.625" style="1" customWidth="1"/>
    <col min="4615" max="4864" width="9" style="1"/>
    <col min="4865" max="4865" width="13.625" style="1" customWidth="1"/>
    <col min="4866" max="4866" width="7.125" style="1" customWidth="1"/>
    <col min="4867" max="4867" width="14.125" style="1" customWidth="1"/>
    <col min="4868" max="4868" width="15" style="1" customWidth="1"/>
    <col min="4869" max="4869" width="11.75" style="1" customWidth="1"/>
    <col min="4870" max="4870" width="17.625" style="1" customWidth="1"/>
    <col min="4871" max="5120" width="9" style="1"/>
    <col min="5121" max="5121" width="13.625" style="1" customWidth="1"/>
    <col min="5122" max="5122" width="7.125" style="1" customWidth="1"/>
    <col min="5123" max="5123" width="14.125" style="1" customWidth="1"/>
    <col min="5124" max="5124" width="15" style="1" customWidth="1"/>
    <col min="5125" max="5125" width="11.75" style="1" customWidth="1"/>
    <col min="5126" max="5126" width="17.625" style="1" customWidth="1"/>
    <col min="5127" max="5376" width="9" style="1"/>
    <col min="5377" max="5377" width="13.625" style="1" customWidth="1"/>
    <col min="5378" max="5378" width="7.125" style="1" customWidth="1"/>
    <col min="5379" max="5379" width="14.125" style="1" customWidth="1"/>
    <col min="5380" max="5380" width="15" style="1" customWidth="1"/>
    <col min="5381" max="5381" width="11.75" style="1" customWidth="1"/>
    <col min="5382" max="5382" width="17.625" style="1" customWidth="1"/>
    <col min="5383" max="5632" width="9" style="1"/>
    <col min="5633" max="5633" width="13.625" style="1" customWidth="1"/>
    <col min="5634" max="5634" width="7.125" style="1" customWidth="1"/>
    <col min="5635" max="5635" width="14.125" style="1" customWidth="1"/>
    <col min="5636" max="5636" width="15" style="1" customWidth="1"/>
    <col min="5637" max="5637" width="11.75" style="1" customWidth="1"/>
    <col min="5638" max="5638" width="17.625" style="1" customWidth="1"/>
    <col min="5639" max="5888" width="9" style="1"/>
    <col min="5889" max="5889" width="13.625" style="1" customWidth="1"/>
    <col min="5890" max="5890" width="7.125" style="1" customWidth="1"/>
    <col min="5891" max="5891" width="14.125" style="1" customWidth="1"/>
    <col min="5892" max="5892" width="15" style="1" customWidth="1"/>
    <col min="5893" max="5893" width="11.75" style="1" customWidth="1"/>
    <col min="5894" max="5894" width="17.625" style="1" customWidth="1"/>
    <col min="5895" max="6144" width="9" style="1"/>
    <col min="6145" max="6145" width="13.625" style="1" customWidth="1"/>
    <col min="6146" max="6146" width="7.125" style="1" customWidth="1"/>
    <col min="6147" max="6147" width="14.125" style="1" customWidth="1"/>
    <col min="6148" max="6148" width="15" style="1" customWidth="1"/>
    <col min="6149" max="6149" width="11.75" style="1" customWidth="1"/>
    <col min="6150" max="6150" width="17.625" style="1" customWidth="1"/>
    <col min="6151" max="6400" width="9" style="1"/>
    <col min="6401" max="6401" width="13.625" style="1" customWidth="1"/>
    <col min="6402" max="6402" width="7.125" style="1" customWidth="1"/>
    <col min="6403" max="6403" width="14.125" style="1" customWidth="1"/>
    <col min="6404" max="6404" width="15" style="1" customWidth="1"/>
    <col min="6405" max="6405" width="11.75" style="1" customWidth="1"/>
    <col min="6406" max="6406" width="17.625" style="1" customWidth="1"/>
    <col min="6407" max="6656" width="9" style="1"/>
    <col min="6657" max="6657" width="13.625" style="1" customWidth="1"/>
    <col min="6658" max="6658" width="7.125" style="1" customWidth="1"/>
    <col min="6659" max="6659" width="14.125" style="1" customWidth="1"/>
    <col min="6660" max="6660" width="15" style="1" customWidth="1"/>
    <col min="6661" max="6661" width="11.75" style="1" customWidth="1"/>
    <col min="6662" max="6662" width="17.625" style="1" customWidth="1"/>
    <col min="6663" max="6912" width="9" style="1"/>
    <col min="6913" max="6913" width="13.625" style="1" customWidth="1"/>
    <col min="6914" max="6914" width="7.125" style="1" customWidth="1"/>
    <col min="6915" max="6915" width="14.125" style="1" customWidth="1"/>
    <col min="6916" max="6916" width="15" style="1" customWidth="1"/>
    <col min="6917" max="6917" width="11.75" style="1" customWidth="1"/>
    <col min="6918" max="6918" width="17.625" style="1" customWidth="1"/>
    <col min="6919" max="7168" width="9" style="1"/>
    <col min="7169" max="7169" width="13.625" style="1" customWidth="1"/>
    <col min="7170" max="7170" width="7.125" style="1" customWidth="1"/>
    <col min="7171" max="7171" width="14.125" style="1" customWidth="1"/>
    <col min="7172" max="7172" width="15" style="1" customWidth="1"/>
    <col min="7173" max="7173" width="11.75" style="1" customWidth="1"/>
    <col min="7174" max="7174" width="17.625" style="1" customWidth="1"/>
    <col min="7175" max="7424" width="9" style="1"/>
    <col min="7425" max="7425" width="13.625" style="1" customWidth="1"/>
    <col min="7426" max="7426" width="7.125" style="1" customWidth="1"/>
    <col min="7427" max="7427" width="14.125" style="1" customWidth="1"/>
    <col min="7428" max="7428" width="15" style="1" customWidth="1"/>
    <col min="7429" max="7429" width="11.75" style="1" customWidth="1"/>
    <col min="7430" max="7430" width="17.625" style="1" customWidth="1"/>
    <col min="7431" max="7680" width="9" style="1"/>
    <col min="7681" max="7681" width="13.625" style="1" customWidth="1"/>
    <col min="7682" max="7682" width="7.125" style="1" customWidth="1"/>
    <col min="7683" max="7683" width="14.125" style="1" customWidth="1"/>
    <col min="7684" max="7684" width="15" style="1" customWidth="1"/>
    <col min="7685" max="7685" width="11.75" style="1" customWidth="1"/>
    <col min="7686" max="7686" width="17.625" style="1" customWidth="1"/>
    <col min="7687" max="7936" width="9" style="1"/>
    <col min="7937" max="7937" width="13.625" style="1" customWidth="1"/>
    <col min="7938" max="7938" width="7.125" style="1" customWidth="1"/>
    <col min="7939" max="7939" width="14.125" style="1" customWidth="1"/>
    <col min="7940" max="7940" width="15" style="1" customWidth="1"/>
    <col min="7941" max="7941" width="11.75" style="1" customWidth="1"/>
    <col min="7942" max="7942" width="17.625" style="1" customWidth="1"/>
    <col min="7943" max="8192" width="9" style="1"/>
    <col min="8193" max="8193" width="13.625" style="1" customWidth="1"/>
    <col min="8194" max="8194" width="7.125" style="1" customWidth="1"/>
    <col min="8195" max="8195" width="14.125" style="1" customWidth="1"/>
    <col min="8196" max="8196" width="15" style="1" customWidth="1"/>
    <col min="8197" max="8197" width="11.75" style="1" customWidth="1"/>
    <col min="8198" max="8198" width="17.625" style="1" customWidth="1"/>
    <col min="8199" max="8448" width="9" style="1"/>
    <col min="8449" max="8449" width="13.625" style="1" customWidth="1"/>
    <col min="8450" max="8450" width="7.125" style="1" customWidth="1"/>
    <col min="8451" max="8451" width="14.125" style="1" customWidth="1"/>
    <col min="8452" max="8452" width="15" style="1" customWidth="1"/>
    <col min="8453" max="8453" width="11.75" style="1" customWidth="1"/>
    <col min="8454" max="8454" width="17.625" style="1" customWidth="1"/>
    <col min="8455" max="8704" width="9" style="1"/>
    <col min="8705" max="8705" width="13.625" style="1" customWidth="1"/>
    <col min="8706" max="8706" width="7.125" style="1" customWidth="1"/>
    <col min="8707" max="8707" width="14.125" style="1" customWidth="1"/>
    <col min="8708" max="8708" width="15" style="1" customWidth="1"/>
    <col min="8709" max="8709" width="11.75" style="1" customWidth="1"/>
    <col min="8710" max="8710" width="17.625" style="1" customWidth="1"/>
    <col min="8711" max="8960" width="9" style="1"/>
    <col min="8961" max="8961" width="13.625" style="1" customWidth="1"/>
    <col min="8962" max="8962" width="7.125" style="1" customWidth="1"/>
    <col min="8963" max="8963" width="14.125" style="1" customWidth="1"/>
    <col min="8964" max="8964" width="15" style="1" customWidth="1"/>
    <col min="8965" max="8965" width="11.75" style="1" customWidth="1"/>
    <col min="8966" max="8966" width="17.625" style="1" customWidth="1"/>
    <col min="8967" max="9216" width="9" style="1"/>
    <col min="9217" max="9217" width="13.625" style="1" customWidth="1"/>
    <col min="9218" max="9218" width="7.125" style="1" customWidth="1"/>
    <col min="9219" max="9219" width="14.125" style="1" customWidth="1"/>
    <col min="9220" max="9220" width="15" style="1" customWidth="1"/>
    <col min="9221" max="9221" width="11.75" style="1" customWidth="1"/>
    <col min="9222" max="9222" width="17.625" style="1" customWidth="1"/>
    <col min="9223" max="9472" width="9" style="1"/>
    <col min="9473" max="9473" width="13.625" style="1" customWidth="1"/>
    <col min="9474" max="9474" width="7.125" style="1" customWidth="1"/>
    <col min="9475" max="9475" width="14.125" style="1" customWidth="1"/>
    <col min="9476" max="9476" width="15" style="1" customWidth="1"/>
    <col min="9477" max="9477" width="11.75" style="1" customWidth="1"/>
    <col min="9478" max="9478" width="17.625" style="1" customWidth="1"/>
    <col min="9479" max="9728" width="9" style="1"/>
    <col min="9729" max="9729" width="13.625" style="1" customWidth="1"/>
    <col min="9730" max="9730" width="7.125" style="1" customWidth="1"/>
    <col min="9731" max="9731" width="14.125" style="1" customWidth="1"/>
    <col min="9732" max="9732" width="15" style="1" customWidth="1"/>
    <col min="9733" max="9733" width="11.75" style="1" customWidth="1"/>
    <col min="9734" max="9734" width="17.625" style="1" customWidth="1"/>
    <col min="9735" max="9984" width="9" style="1"/>
    <col min="9985" max="9985" width="13.625" style="1" customWidth="1"/>
    <col min="9986" max="9986" width="7.125" style="1" customWidth="1"/>
    <col min="9987" max="9987" width="14.125" style="1" customWidth="1"/>
    <col min="9988" max="9988" width="15" style="1" customWidth="1"/>
    <col min="9989" max="9989" width="11.75" style="1" customWidth="1"/>
    <col min="9990" max="9990" width="17.625" style="1" customWidth="1"/>
    <col min="9991" max="10240" width="9" style="1"/>
    <col min="10241" max="10241" width="13.625" style="1" customWidth="1"/>
    <col min="10242" max="10242" width="7.125" style="1" customWidth="1"/>
    <col min="10243" max="10243" width="14.125" style="1" customWidth="1"/>
    <col min="10244" max="10244" width="15" style="1" customWidth="1"/>
    <col min="10245" max="10245" width="11.75" style="1" customWidth="1"/>
    <col min="10246" max="10246" width="17.625" style="1" customWidth="1"/>
    <col min="10247" max="10496" width="9" style="1"/>
    <col min="10497" max="10497" width="13.625" style="1" customWidth="1"/>
    <col min="10498" max="10498" width="7.125" style="1" customWidth="1"/>
    <col min="10499" max="10499" width="14.125" style="1" customWidth="1"/>
    <col min="10500" max="10500" width="15" style="1" customWidth="1"/>
    <col min="10501" max="10501" width="11.75" style="1" customWidth="1"/>
    <col min="10502" max="10502" width="17.625" style="1" customWidth="1"/>
    <col min="10503" max="10752" width="9" style="1"/>
    <col min="10753" max="10753" width="13.625" style="1" customWidth="1"/>
    <col min="10754" max="10754" width="7.125" style="1" customWidth="1"/>
    <col min="10755" max="10755" width="14.125" style="1" customWidth="1"/>
    <col min="10756" max="10756" width="15" style="1" customWidth="1"/>
    <col min="10757" max="10757" width="11.75" style="1" customWidth="1"/>
    <col min="10758" max="10758" width="17.625" style="1" customWidth="1"/>
    <col min="10759" max="11008" width="9" style="1"/>
    <col min="11009" max="11009" width="13.625" style="1" customWidth="1"/>
    <col min="11010" max="11010" width="7.125" style="1" customWidth="1"/>
    <col min="11011" max="11011" width="14.125" style="1" customWidth="1"/>
    <col min="11012" max="11012" width="15" style="1" customWidth="1"/>
    <col min="11013" max="11013" width="11.75" style="1" customWidth="1"/>
    <col min="11014" max="11014" width="17.625" style="1" customWidth="1"/>
    <col min="11015" max="11264" width="9" style="1"/>
    <col min="11265" max="11265" width="13.625" style="1" customWidth="1"/>
    <col min="11266" max="11266" width="7.125" style="1" customWidth="1"/>
    <col min="11267" max="11267" width="14.125" style="1" customWidth="1"/>
    <col min="11268" max="11268" width="15" style="1" customWidth="1"/>
    <col min="11269" max="11269" width="11.75" style="1" customWidth="1"/>
    <col min="11270" max="11270" width="17.625" style="1" customWidth="1"/>
    <col min="11271" max="11520" width="9" style="1"/>
    <col min="11521" max="11521" width="13.625" style="1" customWidth="1"/>
    <col min="11522" max="11522" width="7.125" style="1" customWidth="1"/>
    <col min="11523" max="11523" width="14.125" style="1" customWidth="1"/>
    <col min="11524" max="11524" width="15" style="1" customWidth="1"/>
    <col min="11525" max="11525" width="11.75" style="1" customWidth="1"/>
    <col min="11526" max="11526" width="17.625" style="1" customWidth="1"/>
    <col min="11527" max="11776" width="9" style="1"/>
    <col min="11777" max="11777" width="13.625" style="1" customWidth="1"/>
    <col min="11778" max="11778" width="7.125" style="1" customWidth="1"/>
    <col min="11779" max="11779" width="14.125" style="1" customWidth="1"/>
    <col min="11780" max="11780" width="15" style="1" customWidth="1"/>
    <col min="11781" max="11781" width="11.75" style="1" customWidth="1"/>
    <col min="11782" max="11782" width="17.625" style="1" customWidth="1"/>
    <col min="11783" max="12032" width="9" style="1"/>
    <col min="12033" max="12033" width="13.625" style="1" customWidth="1"/>
    <col min="12034" max="12034" width="7.125" style="1" customWidth="1"/>
    <col min="12035" max="12035" width="14.125" style="1" customWidth="1"/>
    <col min="12036" max="12036" width="15" style="1" customWidth="1"/>
    <col min="12037" max="12037" width="11.75" style="1" customWidth="1"/>
    <col min="12038" max="12038" width="17.625" style="1" customWidth="1"/>
    <col min="12039" max="12288" width="9" style="1"/>
    <col min="12289" max="12289" width="13.625" style="1" customWidth="1"/>
    <col min="12290" max="12290" width="7.125" style="1" customWidth="1"/>
    <col min="12291" max="12291" width="14.125" style="1" customWidth="1"/>
    <col min="12292" max="12292" width="15" style="1" customWidth="1"/>
    <col min="12293" max="12293" width="11.75" style="1" customWidth="1"/>
    <col min="12294" max="12294" width="17.625" style="1" customWidth="1"/>
    <col min="12295" max="12544" width="9" style="1"/>
    <col min="12545" max="12545" width="13.625" style="1" customWidth="1"/>
    <col min="12546" max="12546" width="7.125" style="1" customWidth="1"/>
    <col min="12547" max="12547" width="14.125" style="1" customWidth="1"/>
    <col min="12548" max="12548" width="15" style="1" customWidth="1"/>
    <col min="12549" max="12549" width="11.75" style="1" customWidth="1"/>
    <col min="12550" max="12550" width="17.625" style="1" customWidth="1"/>
    <col min="12551" max="12800" width="9" style="1"/>
    <col min="12801" max="12801" width="13.625" style="1" customWidth="1"/>
    <col min="12802" max="12802" width="7.125" style="1" customWidth="1"/>
    <col min="12803" max="12803" width="14.125" style="1" customWidth="1"/>
    <col min="12804" max="12804" width="15" style="1" customWidth="1"/>
    <col min="12805" max="12805" width="11.75" style="1" customWidth="1"/>
    <col min="12806" max="12806" width="17.625" style="1" customWidth="1"/>
    <col min="12807" max="13056" width="9" style="1"/>
    <col min="13057" max="13057" width="13.625" style="1" customWidth="1"/>
    <col min="13058" max="13058" width="7.125" style="1" customWidth="1"/>
    <col min="13059" max="13059" width="14.125" style="1" customWidth="1"/>
    <col min="13060" max="13060" width="15" style="1" customWidth="1"/>
    <col min="13061" max="13061" width="11.75" style="1" customWidth="1"/>
    <col min="13062" max="13062" width="17.625" style="1" customWidth="1"/>
    <col min="13063" max="13312" width="9" style="1"/>
    <col min="13313" max="13313" width="13.625" style="1" customWidth="1"/>
    <col min="13314" max="13314" width="7.125" style="1" customWidth="1"/>
    <col min="13315" max="13315" width="14.125" style="1" customWidth="1"/>
    <col min="13316" max="13316" width="15" style="1" customWidth="1"/>
    <col min="13317" max="13317" width="11.75" style="1" customWidth="1"/>
    <col min="13318" max="13318" width="17.625" style="1" customWidth="1"/>
    <col min="13319" max="13568" width="9" style="1"/>
    <col min="13569" max="13569" width="13.625" style="1" customWidth="1"/>
    <col min="13570" max="13570" width="7.125" style="1" customWidth="1"/>
    <col min="13571" max="13571" width="14.125" style="1" customWidth="1"/>
    <col min="13572" max="13572" width="15" style="1" customWidth="1"/>
    <col min="13573" max="13573" width="11.75" style="1" customWidth="1"/>
    <col min="13574" max="13574" width="17.625" style="1" customWidth="1"/>
    <col min="13575" max="13824" width="9" style="1"/>
    <col min="13825" max="13825" width="13.625" style="1" customWidth="1"/>
    <col min="13826" max="13826" width="7.125" style="1" customWidth="1"/>
    <col min="13827" max="13827" width="14.125" style="1" customWidth="1"/>
    <col min="13828" max="13828" width="15" style="1" customWidth="1"/>
    <col min="13829" max="13829" width="11.75" style="1" customWidth="1"/>
    <col min="13830" max="13830" width="17.625" style="1" customWidth="1"/>
    <col min="13831" max="14080" width="9" style="1"/>
    <col min="14081" max="14081" width="13.625" style="1" customWidth="1"/>
    <col min="14082" max="14082" width="7.125" style="1" customWidth="1"/>
    <col min="14083" max="14083" width="14.125" style="1" customWidth="1"/>
    <col min="14084" max="14084" width="15" style="1" customWidth="1"/>
    <col min="14085" max="14085" width="11.75" style="1" customWidth="1"/>
    <col min="14086" max="14086" width="17.625" style="1" customWidth="1"/>
    <col min="14087" max="14336" width="9" style="1"/>
    <col min="14337" max="14337" width="13.625" style="1" customWidth="1"/>
    <col min="14338" max="14338" width="7.125" style="1" customWidth="1"/>
    <col min="14339" max="14339" width="14.125" style="1" customWidth="1"/>
    <col min="14340" max="14340" width="15" style="1" customWidth="1"/>
    <col min="14341" max="14341" width="11.75" style="1" customWidth="1"/>
    <col min="14342" max="14342" width="17.625" style="1" customWidth="1"/>
    <col min="14343" max="14592" width="9" style="1"/>
    <col min="14593" max="14593" width="13.625" style="1" customWidth="1"/>
    <col min="14594" max="14594" width="7.125" style="1" customWidth="1"/>
    <col min="14595" max="14595" width="14.125" style="1" customWidth="1"/>
    <col min="14596" max="14596" width="15" style="1" customWidth="1"/>
    <col min="14597" max="14597" width="11.75" style="1" customWidth="1"/>
    <col min="14598" max="14598" width="17.625" style="1" customWidth="1"/>
    <col min="14599" max="14848" width="9" style="1"/>
    <col min="14849" max="14849" width="13.625" style="1" customWidth="1"/>
    <col min="14850" max="14850" width="7.125" style="1" customWidth="1"/>
    <col min="14851" max="14851" width="14.125" style="1" customWidth="1"/>
    <col min="14852" max="14852" width="15" style="1" customWidth="1"/>
    <col min="14853" max="14853" width="11.75" style="1" customWidth="1"/>
    <col min="14854" max="14854" width="17.625" style="1" customWidth="1"/>
    <col min="14855" max="15104" width="9" style="1"/>
    <col min="15105" max="15105" width="13.625" style="1" customWidth="1"/>
    <col min="15106" max="15106" width="7.125" style="1" customWidth="1"/>
    <col min="15107" max="15107" width="14.125" style="1" customWidth="1"/>
    <col min="15108" max="15108" width="15" style="1" customWidth="1"/>
    <col min="15109" max="15109" width="11.75" style="1" customWidth="1"/>
    <col min="15110" max="15110" width="17.625" style="1" customWidth="1"/>
    <col min="15111" max="15360" width="9" style="1"/>
    <col min="15361" max="15361" width="13.625" style="1" customWidth="1"/>
    <col min="15362" max="15362" width="7.125" style="1" customWidth="1"/>
    <col min="15363" max="15363" width="14.125" style="1" customWidth="1"/>
    <col min="15364" max="15364" width="15" style="1" customWidth="1"/>
    <col min="15365" max="15365" width="11.75" style="1" customWidth="1"/>
    <col min="15366" max="15366" width="17.625" style="1" customWidth="1"/>
    <col min="15367" max="15616" width="9" style="1"/>
    <col min="15617" max="15617" width="13.625" style="1" customWidth="1"/>
    <col min="15618" max="15618" width="7.125" style="1" customWidth="1"/>
    <col min="15619" max="15619" width="14.125" style="1" customWidth="1"/>
    <col min="15620" max="15620" width="15" style="1" customWidth="1"/>
    <col min="15621" max="15621" width="11.75" style="1" customWidth="1"/>
    <col min="15622" max="15622" width="17.625" style="1" customWidth="1"/>
    <col min="15623" max="15872" width="9" style="1"/>
    <col min="15873" max="15873" width="13.625" style="1" customWidth="1"/>
    <col min="15874" max="15874" width="7.125" style="1" customWidth="1"/>
    <col min="15875" max="15875" width="14.125" style="1" customWidth="1"/>
    <col min="15876" max="15876" width="15" style="1" customWidth="1"/>
    <col min="15877" max="15877" width="11.75" style="1" customWidth="1"/>
    <col min="15878" max="15878" width="17.625" style="1" customWidth="1"/>
    <col min="15879" max="16128" width="9" style="1"/>
    <col min="16129" max="16129" width="13.625" style="1" customWidth="1"/>
    <col min="16130" max="16130" width="7.125" style="1" customWidth="1"/>
    <col min="16131" max="16131" width="14.125" style="1" customWidth="1"/>
    <col min="16132" max="16132" width="15" style="1" customWidth="1"/>
    <col min="16133" max="16133" width="11.75" style="1" customWidth="1"/>
    <col min="16134" max="16134" width="17.625" style="1" customWidth="1"/>
    <col min="16135" max="16384" width="9" style="1"/>
  </cols>
  <sheetData>
    <row r="1" ht="27" spans="1:19">
      <c r="A1" s="2" t="s">
        <v>818</v>
      </c>
      <c r="B1" s="2"/>
      <c r="C1" s="2"/>
      <c r="D1" s="2"/>
      <c r="E1" s="2"/>
      <c r="F1" s="2"/>
    </row>
    <row r="2" ht="20.1" customHeight="1" spans="1:19">
      <c r="A2" s="2"/>
      <c r="B2" s="2"/>
      <c r="C2" s="2"/>
      <c r="D2" s="2"/>
      <c r="E2" s="3" t="s">
        <v>636</v>
      </c>
      <c r="F2" s="2"/>
    </row>
    <row r="3" ht="20.1" customHeight="1" spans="1:19">
      <c r="A3" s="4" t="s">
        <v>819</v>
      </c>
      <c r="B3" s="5" t="str">
        <f>'Parts A'!B3:C3</f>
        <v>马士基奋进</v>
      </c>
      <c r="C3" s="6"/>
      <c r="D3" s="4" t="s">
        <v>820</v>
      </c>
      <c r="E3" s="7" t="str">
        <f>'Parts A'!B5</f>
        <v>IMO:1032452</v>
      </c>
      <c r="F3" s="8"/>
    </row>
    <row r="4" ht="35.1" customHeight="1" spans="1:19">
      <c r="A4" s="4" t="s">
        <v>821</v>
      </c>
      <c r="B4" s="9">
        <f>'Gen Inb'!P12</f>
        <v>0</v>
      </c>
      <c r="C4" s="6"/>
      <c r="D4" s="10" t="s">
        <v>822</v>
      </c>
      <c r="E4" s="11">
        <f>'Gen Inb'!X6</f>
        <v>46238</v>
      </c>
      <c r="F4" s="8"/>
      <c r="H4" s="12"/>
      <c r="I4" s="3"/>
      <c r="J4" s="12"/>
      <c r="K4" s="12"/>
      <c r="L4" s="12"/>
      <c r="M4" s="12"/>
    </row>
    <row r="5" ht="20.1" customHeight="1" spans="1:19">
      <c r="A5" s="4" t="s">
        <v>823</v>
      </c>
      <c r="B5" s="11">
        <f ca="1">TODAY()</f>
        <v>46236</v>
      </c>
      <c r="C5" s="8"/>
      <c r="D5" s="4" t="s">
        <v>824</v>
      </c>
      <c r="E5" s="13" t="s">
        <v>825</v>
      </c>
      <c r="F5" s="8"/>
      <c r="H5" s="12"/>
      <c r="I5" s="12"/>
      <c r="J5" s="12"/>
      <c r="K5" s="12"/>
      <c r="L5" s="12"/>
      <c r="M5" s="12"/>
    </row>
    <row r="6" ht="20.1" customHeight="1" spans="1:19">
      <c r="A6" s="4" t="s">
        <v>826</v>
      </c>
      <c r="B6" s="7" t="s">
        <v>827</v>
      </c>
      <c r="C6" s="8"/>
      <c r="D6" s="7" t="s">
        <v>828</v>
      </c>
      <c r="E6" s="8"/>
      <c r="F6" s="4" t="s">
        <v>829</v>
      </c>
      <c r="H6" s="12"/>
      <c r="I6" s="12"/>
      <c r="J6" s="12"/>
      <c r="K6" s="12"/>
      <c r="L6" s="12"/>
      <c r="M6" s="12"/>
    </row>
    <row r="7" ht="20.1" customHeight="1" spans="1:19">
      <c r="A7" s="14"/>
      <c r="B7" s="13" t="s">
        <v>830</v>
      </c>
      <c r="C7" s="8"/>
      <c r="D7" s="13"/>
      <c r="E7" s="15"/>
      <c r="F7" s="4"/>
      <c r="H7" s="3"/>
      <c r="I7" s="12"/>
      <c r="J7" s="12"/>
      <c r="K7" s="12"/>
      <c r="L7" s="12"/>
      <c r="M7" s="12"/>
    </row>
    <row r="8" ht="20.1" customHeight="1" spans="1:19">
      <c r="A8" s="14"/>
      <c r="B8" s="7"/>
      <c r="C8" s="8"/>
      <c r="D8" s="13"/>
      <c r="E8" s="15"/>
      <c r="F8" s="4"/>
      <c r="H8" s="3"/>
      <c r="I8" s="12"/>
      <c r="J8" s="12"/>
      <c r="K8" s="12"/>
      <c r="L8" s="12"/>
      <c r="M8" s="12"/>
      <c r="N8" s="12"/>
      <c r="O8" s="12"/>
      <c r="P8" s="12"/>
      <c r="Q8" s="12"/>
      <c r="R8" s="12"/>
      <c r="S8" s="12"/>
    </row>
    <row r="9" ht="20.1" customHeight="1" spans="1:19">
      <c r="A9" s="14"/>
      <c r="B9" s="7"/>
      <c r="C9" s="8"/>
      <c r="D9" s="7"/>
      <c r="E9" s="15"/>
      <c r="F9" s="4"/>
      <c r="H9" s="12"/>
      <c r="I9" s="12"/>
      <c r="J9" s="12"/>
      <c r="K9" s="12"/>
      <c r="L9" s="12"/>
      <c r="M9" s="12"/>
      <c r="N9" s="12"/>
      <c r="O9" s="12"/>
      <c r="P9" s="12"/>
      <c r="Q9" s="12"/>
      <c r="R9" s="12"/>
      <c r="S9" s="12"/>
    </row>
    <row r="10" ht="20.1" customHeight="1" spans="1:19">
      <c r="A10" s="14"/>
      <c r="B10" s="7"/>
      <c r="C10" s="8"/>
      <c r="D10" s="7"/>
      <c r="E10" s="15"/>
      <c r="F10" s="4"/>
      <c r="H10" s="12"/>
      <c r="I10" s="12"/>
      <c r="J10" s="12"/>
      <c r="K10" s="12"/>
      <c r="L10" s="12"/>
      <c r="M10" s="12"/>
      <c r="N10" s="12"/>
      <c r="O10" s="12"/>
      <c r="P10" s="12"/>
      <c r="Q10" s="12"/>
      <c r="R10" s="12"/>
      <c r="S10" s="12"/>
    </row>
    <row r="11" ht="20.1" customHeight="1" spans="1:19">
      <c r="A11" s="14"/>
      <c r="B11" s="7"/>
      <c r="C11" s="8"/>
      <c r="D11" s="7"/>
      <c r="E11" s="15"/>
      <c r="F11" s="4"/>
      <c r="H11" s="12"/>
      <c r="I11" s="12"/>
      <c r="J11" s="12"/>
      <c r="K11" s="12"/>
      <c r="L11" s="12"/>
      <c r="M11" s="12"/>
      <c r="N11" s="12"/>
      <c r="O11" s="12"/>
      <c r="P11" s="12"/>
      <c r="Q11" s="12"/>
      <c r="R11" s="12"/>
      <c r="S11" s="12"/>
    </row>
    <row r="12" ht="20.1" customHeight="1" spans="1:19">
      <c r="A12" s="14"/>
      <c r="B12" s="7"/>
      <c r="C12" s="8"/>
      <c r="D12" s="7"/>
      <c r="E12" s="15"/>
      <c r="F12" s="4"/>
      <c r="H12" s="12"/>
      <c r="I12" s="12"/>
      <c r="J12" s="12"/>
      <c r="K12" s="12"/>
      <c r="L12" s="12"/>
      <c r="M12" s="12"/>
    </row>
    <row r="13" ht="20.1" customHeight="1" spans="1:19">
      <c r="A13" s="14"/>
      <c r="B13" s="7"/>
      <c r="C13" s="8"/>
      <c r="D13" s="7"/>
      <c r="E13" s="15"/>
      <c r="F13" s="4"/>
      <c r="H13" s="12"/>
      <c r="I13" s="12"/>
      <c r="J13" s="12"/>
      <c r="K13" s="12"/>
      <c r="L13" s="12"/>
      <c r="M13" s="12"/>
    </row>
    <row r="14" ht="20.1" customHeight="1" spans="1:19">
      <c r="A14" s="14"/>
      <c r="B14" s="7"/>
      <c r="C14" s="8"/>
      <c r="D14" s="7"/>
      <c r="E14" s="15"/>
      <c r="F14" s="4"/>
      <c r="H14" s="12"/>
      <c r="I14" s="12"/>
      <c r="J14" s="12"/>
      <c r="K14" s="12"/>
      <c r="L14" s="12"/>
      <c r="M14" s="12"/>
    </row>
    <row r="15" ht="20.1" customHeight="1" spans="1:19">
      <c r="A15" s="14"/>
      <c r="B15" s="7"/>
      <c r="C15" s="8"/>
      <c r="D15" s="7"/>
      <c r="E15" s="15"/>
      <c r="F15" s="4"/>
      <c r="H15" s="12"/>
      <c r="I15" s="12"/>
      <c r="J15" s="12"/>
      <c r="K15" s="12"/>
      <c r="L15" s="12"/>
      <c r="M15" s="12"/>
    </row>
    <row r="16" ht="20.1" customHeight="1" spans="1:19">
      <c r="A16" s="14"/>
      <c r="B16" s="7"/>
      <c r="C16" s="8"/>
      <c r="D16" s="7"/>
      <c r="E16" s="15"/>
      <c r="F16" s="4"/>
      <c r="H16" s="12"/>
      <c r="I16" s="12"/>
      <c r="J16" s="12"/>
      <c r="K16" s="12"/>
      <c r="L16" s="12"/>
      <c r="M16" s="12"/>
    </row>
    <row r="17" ht="20.1" customHeight="1" spans="1:13">
      <c r="A17" s="14"/>
      <c r="B17" s="16"/>
      <c r="C17" s="17"/>
      <c r="D17" s="13"/>
      <c r="E17" s="15"/>
      <c r="F17" s="14"/>
      <c r="H17" s="12"/>
      <c r="I17" s="12"/>
      <c r="J17" s="12"/>
      <c r="K17" s="12"/>
      <c r="L17" s="12"/>
      <c r="M17" s="12"/>
    </row>
    <row r="18" ht="20.1" customHeight="1" spans="1:13">
      <c r="A18" s="14"/>
      <c r="B18" s="16"/>
      <c r="C18" s="17"/>
      <c r="D18" s="13"/>
      <c r="E18" s="15"/>
      <c r="F18" s="14"/>
      <c r="H18" s="12"/>
      <c r="I18" s="12"/>
      <c r="J18" s="12"/>
      <c r="K18" s="12"/>
      <c r="L18" s="12"/>
      <c r="M18" s="12"/>
    </row>
    <row r="19" ht="20.1" customHeight="1" spans="1:13">
      <c r="A19" s="14"/>
      <c r="B19" s="16"/>
      <c r="C19" s="17"/>
      <c r="D19" s="13"/>
      <c r="E19" s="15"/>
      <c r="F19" s="14"/>
      <c r="H19" s="12"/>
      <c r="I19" s="12"/>
      <c r="J19" s="12"/>
      <c r="K19" s="12"/>
      <c r="L19" s="12"/>
      <c r="M19" s="12"/>
    </row>
    <row r="20" ht="20.1" customHeight="1" spans="1:13">
      <c r="A20" s="14"/>
      <c r="B20" s="16"/>
      <c r="C20" s="17"/>
      <c r="D20" s="13"/>
      <c r="E20" s="15"/>
      <c r="F20" s="14"/>
      <c r="H20" s="12"/>
      <c r="I20" s="12"/>
      <c r="J20" s="12"/>
      <c r="K20" s="12"/>
      <c r="L20" s="12"/>
      <c r="M20" s="12"/>
    </row>
    <row r="21" ht="20.1" customHeight="1" spans="1:13">
      <c r="A21" s="4" t="s">
        <v>831</v>
      </c>
      <c r="B21" s="14" t="s">
        <v>832</v>
      </c>
      <c r="C21" s="1">
        <f>'Cstm Inb'!H11</f>
        <v>0</v>
      </c>
      <c r="D21" s="14" t="s">
        <v>833</v>
      </c>
      <c r="E21" s="18">
        <f>'Cstm Inb'!I11</f>
        <v>0</v>
      </c>
      <c r="F21" s="14" t="s">
        <v>742</v>
      </c>
    </row>
    <row r="22" ht="0.75" customHeight="1" spans="1:13">
      <c r="A22" s="4"/>
      <c r="B22" s="14"/>
      <c r="C22" s="14"/>
      <c r="D22" s="14"/>
      <c r="E22" s="19"/>
      <c r="F22" s="14"/>
    </row>
    <row r="23" ht="99.95" customHeight="1" spans="1:13">
      <c r="A23" s="4" t="s">
        <v>834</v>
      </c>
      <c r="B23" s="9" t="s">
        <v>835</v>
      </c>
      <c r="C23" s="20"/>
      <c r="D23" s="20"/>
      <c r="E23" s="20"/>
      <c r="F23" s="6"/>
    </row>
    <row r="24" ht="60" customHeight="1" spans="1:13">
      <c r="A24" s="21" t="s">
        <v>836</v>
      </c>
      <c r="B24" s="22" t="s">
        <v>837</v>
      </c>
      <c r="C24" s="23"/>
      <c r="D24" s="23"/>
      <c r="E24" s="23"/>
      <c r="F24" s="24"/>
    </row>
    <row r="25" ht="30" customHeight="1" spans="1:13">
      <c r="A25" s="25"/>
      <c r="B25" s="26" t="s">
        <v>838</v>
      </c>
      <c r="C25" s="27"/>
      <c r="D25" s="27"/>
      <c r="E25" s="27"/>
      <c r="F25" s="28"/>
    </row>
    <row r="26" ht="14.25" spans="1:13">
      <c r="A26" s="3"/>
      <c r="B26" s="3"/>
      <c r="C26" s="12"/>
      <c r="D26" s="12"/>
      <c r="E26" s="12"/>
      <c r="F26" s="12"/>
    </row>
    <row r="27" spans="1:13">
      <c r="A27" s="29" t="s">
        <v>839</v>
      </c>
      <c r="B27" s="29"/>
      <c r="C27" s="29"/>
      <c r="D27" s="29"/>
      <c r="E27" s="29"/>
    </row>
    <row r="28" spans="1:13">
      <c r="A28" s="29" t="s">
        <v>840</v>
      </c>
      <c r="B28" s="29"/>
      <c r="C28" s="29"/>
      <c r="D28" s="29"/>
      <c r="E28" s="29"/>
    </row>
  </sheetData>
  <mergeCells count="41">
    <mergeCell ref="A1:F1"/>
    <mergeCell ref="B3:C3"/>
    <mergeCell ref="E3:F3"/>
    <mergeCell ref="B4:C4"/>
    <mergeCell ref="E4:F4"/>
    <mergeCell ref="B5:C5"/>
    <mergeCell ref="E5:F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3:F23"/>
    <mergeCell ref="B24:F24"/>
    <mergeCell ref="B25:F25"/>
    <mergeCell ref="A24:A25"/>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35</vt:i4>
      </vt:variant>
    </vt:vector>
  </HeadingPairs>
  <TitlesOfParts>
    <vt:vector size="35" baseType="lpstr">
      <vt:lpstr>Cstm Rgd</vt:lpstr>
      <vt:lpstr>Cstm Inb</vt:lpstr>
      <vt:lpstr>Cstm Outb</vt:lpstr>
      <vt:lpstr>Cstm Prob</vt:lpstr>
      <vt:lpstr>Gen Inb</vt:lpstr>
      <vt:lpstr>Cgo Inb</vt:lpstr>
      <vt:lpstr>Gen Outb</vt:lpstr>
      <vt:lpstr>Cgo Outb</vt:lpstr>
      <vt:lpstr>Crew Inb</vt:lpstr>
      <vt:lpstr>Immi In</vt:lpstr>
      <vt:lpstr>Crew Dwn</vt:lpstr>
      <vt:lpstr>Crew Outb</vt:lpstr>
      <vt:lpstr>Crew Up</vt:lpstr>
      <vt:lpstr>Shore Pass</vt:lpstr>
      <vt:lpstr>Health Dclr</vt:lpstr>
      <vt:lpstr>Parts A</vt:lpstr>
      <vt:lpstr>Blst Wtr</vt:lpstr>
      <vt:lpstr>Q-Record In</vt:lpstr>
      <vt:lpstr>Q-Record Out</vt:lpstr>
      <vt:lpstr>Q-Inb</vt:lpstr>
      <vt:lpstr>Q-Outb</vt:lpstr>
      <vt:lpstr>Q-Process</vt:lpstr>
      <vt:lpstr>Formalities</vt:lpstr>
      <vt:lpstr>IMO Gen Inb</vt:lpstr>
      <vt:lpstr>IMO Gen Outb</vt:lpstr>
      <vt:lpstr>IMO Cgo Inb</vt:lpstr>
      <vt:lpstr>IMO Cgo Outb</vt:lpstr>
      <vt:lpstr>IMO Crew Inb</vt:lpstr>
      <vt:lpstr>IMO Crew Outb</vt:lpstr>
      <vt:lpstr>Tnng App</vt:lpstr>
      <vt:lpstr>Pre Immi</vt:lpstr>
      <vt:lpstr>Pre MSA</vt:lpstr>
      <vt:lpstr>Pre Cstm</vt:lpstr>
      <vt:lpstr>Receipt</vt:lpstr>
      <vt:lpstr>Mpt Cntr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UA</cp:lastModifiedBy>
  <dcterms:created xsi:type="dcterms:W3CDTF">2006-09-13T11:21:00Z</dcterms:created>
  <cp:lastPrinted>2020-11-24T05:46:00Z</cp:lastPrinted>
  <dcterms:modified xsi:type="dcterms:W3CDTF">2026-08-02T03:59:43Z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2052-12.1.0.26884</vt:lpwstr>
  </property>
  <property fmtid="{D5CDD505-2E9C-101B-9397-08002B2CF9AE}" pid="3" name="ICV">
    <vt:lpwstr>CB11CFAFBA91460689113BAE00B84CB0</vt:lpwstr>
  </property>
  <property fmtid="{D5CDD505-2E9C-101B-9397-08002B2CF9AE}" pid="4" name="CalculationRule">
    <vt:i4>0</vt:i4>
  </property>
</Properties>
</file>