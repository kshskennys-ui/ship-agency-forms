
<file path=[Content_Types].xml><?xml version="1.0" encoding="utf-8"?>
<Types xmlns="http://schemas.openxmlformats.org/package/2006/content-types">
  <Default Extension="vml" ContentType="application/vnd.openxmlformats-officedocument.vmlDrawi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ctrlProps/ctrlProp10.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tabRatio="927" firstSheet="18" activeTab="29"/>
  </bookViews>
  <sheets>
    <sheet name="Cstm Rgd" sheetId="23" r:id="rId1"/>
    <sheet name="Cstm Inb" sheetId="24" r:id="rId2"/>
    <sheet name="Cstm Outb" sheetId="25" r:id="rId3"/>
    <sheet name="Cstm Prob" sheetId="26" r:id="rId4"/>
    <sheet name="Gen Inb" sheetId="1" r:id="rId5"/>
    <sheet name="Cgo Inb" sheetId="3" r:id="rId6"/>
    <sheet name="Gen Outb" sheetId="2" r:id="rId7"/>
    <sheet name="Cgo Outb" sheetId="4" r:id="rId8"/>
    <sheet name="Crew Inb" sheetId="17" r:id="rId9"/>
    <sheet name="Immi In" sheetId="40" r:id="rId10"/>
    <sheet name="Crew Dwn" sheetId="30" r:id="rId11"/>
    <sheet name="Crew Outb" sheetId="31" r:id="rId12"/>
    <sheet name="Crew Up" sheetId="35" r:id="rId13"/>
    <sheet name="Shore Pass" sheetId="39" r:id="rId14"/>
    <sheet name="Health Dclr" sheetId="11" r:id="rId15"/>
    <sheet name="Parts A" sheetId="10" r:id="rId16"/>
    <sheet name="Blst Wtr" sheetId="27" r:id="rId17"/>
    <sheet name="Q-Record In" sheetId="41" r:id="rId18"/>
    <sheet name="Q-Record Out" sheetId="37" r:id="rId19"/>
    <sheet name="Q-Inb" sheetId="14" r:id="rId20"/>
    <sheet name="Q-Outb" sheetId="15" r:id="rId21"/>
    <sheet name="Q-Process" sheetId="34" r:id="rId22"/>
    <sheet name="Formalities" sheetId="28" r:id="rId23"/>
    <sheet name="IMO Gen Inb" sheetId="5" r:id="rId24"/>
    <sheet name="IMO Gen Outb" sheetId="6" r:id="rId25"/>
    <sheet name="IMO Cgo Inb" sheetId="7" r:id="rId26"/>
    <sheet name="IMO Cgo Outb" sheetId="8" r:id="rId27"/>
    <sheet name="IMO Crew Inb" sheetId="9" r:id="rId28"/>
    <sheet name="IMO Crew Outb" sheetId="36" r:id="rId29"/>
    <sheet name="Tnng App" sheetId="18" r:id="rId30"/>
    <sheet name="Pre Immi" sheetId="20" r:id="rId31"/>
    <sheet name="Pre MSA" sheetId="21" r:id="rId32"/>
    <sheet name="Pre Cstm" sheetId="19" r:id="rId33"/>
    <sheet name="Receipt" sheetId="38" r:id="rId34"/>
    <sheet name="Mpt Cntr" sheetId="42" r:id="rId35"/>
  </sheets>
  <externalReferences>
    <externalReference r:id="rId36"/>
  </externalReferences>
  <definedNames>
    <definedName name="_xlnm._FilterDatabase" localSheetId="8" hidden="1">'Crew Inb'!$A$10:$K$32</definedName>
    <definedName name="_xlnm.Print_Area" localSheetId="16">'Blst Wtr'!$A$1:$N$31</definedName>
    <definedName name="_xlnm.Print_Area" localSheetId="5">'Cgo Inb'!$A$1:$G$38</definedName>
    <definedName name="_xlnm.Print_Area" localSheetId="7">'Cgo Outb'!$A$1:$G$38</definedName>
    <definedName name="_xlnm.Print_Area" localSheetId="10">'Crew Dwn'!$B$1:$H$20</definedName>
    <definedName name="_xlnm.Print_Area" localSheetId="8">'Crew Inb'!$A$1:$K$36</definedName>
    <definedName name="_xlnm.Print_Area" localSheetId="11">'Crew Outb'!$A$1:$K$51</definedName>
    <definedName name="_xlnm.Print_Area" localSheetId="12">'Crew Up'!$B$1:$H$20</definedName>
    <definedName name="_xlnm.Print_Area" localSheetId="4">'Gen Inb'!$A$1:$X$39</definedName>
    <definedName name="_xlnm.Print_Area" localSheetId="6">'Gen Outb'!$A$1:$X$50</definedName>
    <definedName name="_xlnm.Print_Area" localSheetId="14">'Health Dclr'!$A$1:$AO$94</definedName>
    <definedName name="_xlnm.Print_Area" localSheetId="27">'IMO Crew Inb'!$A$1:$M$52</definedName>
    <definedName name="_xlnm.Print_Area" localSheetId="28">'IMO Crew Outb'!$A$1:$M$52</definedName>
    <definedName name="_xlnm.Print_Area" localSheetId="23">'IMO Gen Inb'!$A$1:$L$26</definedName>
    <definedName name="_xlnm.Print_Area" localSheetId="24">'IMO Gen Outb'!$A$1:$L$26</definedName>
    <definedName name="_xlnm.Print_Area" localSheetId="17">'Q-Record In'!$A$1:$AD$30</definedName>
    <definedName name="_xlnm.Print_Area" localSheetId="18">'Q-Record Out'!$A$1:$AD$30</definedName>
    <definedName name="_xlnm.Print_Area" localSheetId="29">'Tnng App'!$A$1:$T$53</definedName>
    <definedName name="出入境事由">[1]Sheet2!$B$2:$B$14</definedName>
    <definedName name="国籍">[1]Sheet2!$C$2:$C$284</definedName>
    <definedName name="九十天期_90days">'Tnng App'!$C$35</definedName>
    <definedName name="签证种类">[1]Sheet2!$E$2:$E$21</definedName>
    <definedName name="性别">[1]Sheet2!$F$2:$F$5</definedName>
    <definedName name="证件类别">[1]Sheet2!$G$2:$G$4</definedName>
    <definedName name="职务">[1]Sheet2!$A$2:$A$26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D10" authorId="0">
      <text>
        <r>
          <rPr>
            <b/>
            <sz val="9"/>
            <rFont val="宋体"/>
            <charset val="134"/>
          </rPr>
          <t>作者:</t>
        </r>
        <r>
          <rPr>
            <sz val="9"/>
            <rFont val="宋体"/>
            <charset val="134"/>
          </rPr>
          <t xml:space="preserve">
过境重柜（不显示）</t>
        </r>
      </text>
    </comment>
    <comment ref="E10" authorId="0">
      <text>
        <r>
          <rPr>
            <b/>
            <sz val="9"/>
            <rFont val="宋体"/>
            <charset val="134"/>
          </rPr>
          <t>作者:</t>
        </r>
        <r>
          <rPr>
            <sz val="9"/>
            <rFont val="宋体"/>
            <charset val="134"/>
          </rPr>
          <t xml:space="preserve">
过境重柜（不显示）</t>
        </r>
      </text>
    </comment>
    <comment ref="H10" authorId="0">
      <text>
        <r>
          <rPr>
            <b/>
            <sz val="9"/>
            <rFont val="宋体"/>
            <charset val="134"/>
          </rPr>
          <t>作者:</t>
        </r>
        <r>
          <rPr>
            <sz val="9"/>
            <rFont val="宋体"/>
            <charset val="134"/>
          </rPr>
          <t xml:space="preserve">
过境吉柜（不显示）</t>
        </r>
      </text>
    </comment>
    <comment ref="I10" authorId="0">
      <text>
        <r>
          <rPr>
            <b/>
            <sz val="9"/>
            <rFont val="宋体"/>
            <charset val="134"/>
          </rPr>
          <t>作者:</t>
        </r>
        <r>
          <rPr>
            <sz val="9"/>
            <rFont val="宋体"/>
            <charset val="134"/>
          </rPr>
          <t xml:space="preserve">
过境吉柜（不显示）</t>
        </r>
      </text>
    </comment>
  </commentList>
</comments>
</file>

<file path=xl/comments2.xml><?xml version="1.0" encoding="utf-8"?>
<comments xmlns="http://schemas.openxmlformats.org/spreadsheetml/2006/main">
  <authors>
    <author>作者</author>
  </authors>
  <commentList>
    <comment ref="A1" authorId="0">
      <text>
        <r>
          <rPr>
            <b/>
            <sz val="9"/>
            <rFont val="宋体"/>
            <charset val="134"/>
          </rPr>
          <t>作者:</t>
        </r>
        <r>
          <rPr>
            <sz val="9"/>
            <rFont val="宋体"/>
            <charset val="134"/>
          </rPr>
          <t xml:space="preserve">
船员登记证件的证件号码</t>
        </r>
        <r>
          <rPr>
            <sz val="9"/>
            <rFont val="Tahoma"/>
            <charset val="134"/>
          </rPr>
          <t>.(</t>
        </r>
        <r>
          <rPr>
            <sz val="9"/>
            <rFont val="宋体"/>
            <charset val="134"/>
          </rPr>
          <t>例子</t>
        </r>
        <r>
          <rPr>
            <sz val="9"/>
            <rFont val="Tahoma"/>
            <charset val="134"/>
          </rPr>
          <t>:440106198204139632).</t>
        </r>
        <r>
          <rPr>
            <sz val="9"/>
            <rFont val="宋体"/>
            <charset val="134"/>
          </rPr>
          <t>此项为必填</t>
        </r>
        <r>
          <rPr>
            <sz val="9"/>
            <rFont val="Tahoma"/>
            <charset val="134"/>
          </rPr>
          <t>.</t>
        </r>
      </text>
    </comment>
    <comment ref="B1" authorId="0">
      <text>
        <r>
          <rPr>
            <b/>
            <sz val="9"/>
            <rFont val="宋体"/>
            <charset val="134"/>
          </rPr>
          <t>作者:</t>
        </r>
        <r>
          <rPr>
            <sz val="9"/>
            <rFont val="宋体"/>
            <charset val="134"/>
          </rPr>
          <t xml:space="preserve">
船员登记的证件类别</t>
        </r>
        <r>
          <rPr>
            <sz val="9"/>
            <rFont val="Tahoma"/>
            <charset val="134"/>
          </rPr>
          <t>.</t>
        </r>
        <r>
          <rPr>
            <sz val="9"/>
            <rFont val="宋体"/>
            <charset val="134"/>
          </rPr>
          <t>必须填写海员证、普通护照、港澳通行证</t>
        </r>
        <r>
          <rPr>
            <sz val="9"/>
            <rFont val="Tahoma"/>
            <charset val="134"/>
          </rPr>
          <t>3</t>
        </r>
        <r>
          <rPr>
            <sz val="9"/>
            <rFont val="宋体"/>
            <charset val="134"/>
          </rPr>
          <t>个值的其中一个</t>
        </r>
        <r>
          <rPr>
            <sz val="9"/>
            <rFont val="Tahoma"/>
            <charset val="134"/>
          </rPr>
          <t>.(</t>
        </r>
        <r>
          <rPr>
            <sz val="9"/>
            <rFont val="宋体"/>
            <charset val="134"/>
          </rPr>
          <t>例子</t>
        </r>
        <r>
          <rPr>
            <sz val="9"/>
            <rFont val="Tahoma"/>
            <charset val="134"/>
          </rPr>
          <t>:</t>
        </r>
        <r>
          <rPr>
            <sz val="9"/>
            <rFont val="宋体"/>
            <charset val="134"/>
          </rPr>
          <t>普通护照</t>
        </r>
        <r>
          <rPr>
            <sz val="9"/>
            <rFont val="Tahoma"/>
            <charset val="134"/>
          </rPr>
          <t>).</t>
        </r>
        <r>
          <rPr>
            <sz val="9"/>
            <rFont val="宋体"/>
            <charset val="134"/>
          </rPr>
          <t>此项为必填</t>
        </r>
        <r>
          <rPr>
            <sz val="9"/>
            <rFont val="Tahoma"/>
            <charset val="134"/>
          </rPr>
          <t>.</t>
        </r>
      </text>
    </comment>
    <comment ref="C1" authorId="0">
      <text>
        <r>
          <rPr>
            <b/>
            <sz val="9"/>
            <rFont val="宋体"/>
            <charset val="134"/>
          </rPr>
          <t>作者:</t>
        </r>
        <r>
          <rPr>
            <sz val="9"/>
            <rFont val="宋体"/>
            <charset val="134"/>
          </rPr>
          <t xml:space="preserve">
旅客所属的国籍</t>
        </r>
        <r>
          <rPr>
            <sz val="9"/>
            <rFont val="Tahoma"/>
            <charset val="134"/>
          </rPr>
          <t>.</t>
        </r>
        <r>
          <rPr>
            <sz val="9"/>
            <rFont val="宋体"/>
            <charset val="134"/>
          </rPr>
          <t>必须填写中国、示例国籍、中国澳门三个值的其中一个</t>
        </r>
        <r>
          <rPr>
            <sz val="9"/>
            <rFont val="Tahoma"/>
            <charset val="134"/>
          </rPr>
          <t>.(</t>
        </r>
        <r>
          <rPr>
            <sz val="9"/>
            <rFont val="宋体"/>
            <charset val="134"/>
          </rPr>
          <t>例子</t>
        </r>
        <r>
          <rPr>
            <sz val="9"/>
            <rFont val="Tahoma"/>
            <charset val="134"/>
          </rPr>
          <t>:</t>
        </r>
        <r>
          <rPr>
            <sz val="9"/>
            <rFont val="宋体"/>
            <charset val="134"/>
          </rPr>
          <t>中国</t>
        </r>
        <r>
          <rPr>
            <sz val="9"/>
            <rFont val="Tahoma"/>
            <charset val="134"/>
          </rPr>
          <t>).</t>
        </r>
        <r>
          <rPr>
            <sz val="9"/>
            <rFont val="宋体"/>
            <charset val="134"/>
          </rPr>
          <t>此项为必填</t>
        </r>
        <r>
          <rPr>
            <sz val="9"/>
            <rFont val="Tahoma"/>
            <charset val="134"/>
          </rPr>
          <t>.</t>
        </r>
      </text>
    </comment>
    <comment ref="D1" authorId="0">
      <text>
        <r>
          <rPr>
            <b/>
            <sz val="9"/>
            <rFont val="宋体"/>
            <charset val="134"/>
          </rPr>
          <t>作者:</t>
        </r>
        <r>
          <rPr>
            <sz val="9"/>
            <rFont val="宋体"/>
            <charset val="134"/>
          </rPr>
          <t xml:space="preserve">
船员的姓名</t>
        </r>
        <r>
          <rPr>
            <sz val="9"/>
            <rFont val="Tahoma"/>
            <charset val="134"/>
          </rPr>
          <t>.(</t>
        </r>
        <r>
          <rPr>
            <sz val="9"/>
            <rFont val="宋体"/>
            <charset val="134"/>
          </rPr>
          <t>例子</t>
        </r>
        <r>
          <rPr>
            <sz val="9"/>
            <rFont val="Tahoma"/>
            <charset val="134"/>
          </rPr>
          <t>:</t>
        </r>
        <r>
          <rPr>
            <sz val="9"/>
            <rFont val="宋体"/>
            <charset val="134"/>
          </rPr>
          <t>黄华</t>
        </r>
        <r>
          <rPr>
            <sz val="9"/>
            <rFont val="Tahoma"/>
            <charset val="134"/>
          </rPr>
          <t>).</t>
        </r>
        <r>
          <rPr>
            <sz val="9"/>
            <rFont val="宋体"/>
            <charset val="134"/>
          </rPr>
          <t>此项为必填</t>
        </r>
        <r>
          <rPr>
            <sz val="9"/>
            <rFont val="Tahoma"/>
            <charset val="134"/>
          </rPr>
          <t>.</t>
        </r>
      </text>
    </comment>
    <comment ref="E1" authorId="0">
      <text>
        <r>
          <rPr>
            <b/>
            <sz val="9"/>
            <rFont val="宋体"/>
            <charset val="134"/>
          </rPr>
          <t>作者:</t>
        </r>
        <r>
          <rPr>
            <sz val="9"/>
            <rFont val="宋体"/>
            <charset val="134"/>
          </rPr>
          <t xml:space="preserve">
船员性别</t>
        </r>
        <r>
          <rPr>
            <sz val="9"/>
            <rFont val="Tahoma"/>
            <charset val="134"/>
          </rPr>
          <t>.</t>
        </r>
        <r>
          <rPr>
            <sz val="9"/>
            <rFont val="宋体"/>
            <charset val="134"/>
          </rPr>
          <t>只可以填写男或者女</t>
        </r>
        <r>
          <rPr>
            <sz val="9"/>
            <rFont val="Tahoma"/>
            <charset val="134"/>
          </rPr>
          <t>.(</t>
        </r>
        <r>
          <rPr>
            <sz val="9"/>
            <rFont val="宋体"/>
            <charset val="134"/>
          </rPr>
          <t>例子</t>
        </r>
        <r>
          <rPr>
            <sz val="9"/>
            <rFont val="Tahoma"/>
            <charset val="134"/>
          </rPr>
          <t>:</t>
        </r>
        <r>
          <rPr>
            <sz val="9"/>
            <rFont val="宋体"/>
            <charset val="134"/>
          </rPr>
          <t>男</t>
        </r>
        <r>
          <rPr>
            <sz val="9"/>
            <rFont val="Tahoma"/>
            <charset val="134"/>
          </rPr>
          <t>).</t>
        </r>
        <r>
          <rPr>
            <sz val="9"/>
            <rFont val="宋体"/>
            <charset val="134"/>
          </rPr>
          <t>此项为必填</t>
        </r>
        <r>
          <rPr>
            <sz val="9"/>
            <rFont val="Tahoma"/>
            <charset val="134"/>
          </rPr>
          <t>.</t>
        </r>
      </text>
    </comment>
    <comment ref="F1" authorId="0">
      <text>
        <r>
          <rPr>
            <b/>
            <sz val="9"/>
            <rFont val="宋体"/>
            <charset val="134"/>
          </rPr>
          <t>作者:</t>
        </r>
        <r>
          <rPr>
            <sz val="9"/>
            <rFont val="宋体"/>
            <charset val="134"/>
          </rPr>
          <t xml:space="preserve">
船员的出生日期</t>
        </r>
        <r>
          <rPr>
            <sz val="9"/>
            <rFont val="Tahoma"/>
            <charset val="134"/>
          </rPr>
          <t>.</t>
        </r>
        <r>
          <rPr>
            <sz val="9"/>
            <rFont val="宋体"/>
            <charset val="134"/>
          </rPr>
          <t>必须按照规定格式填写</t>
        </r>
        <r>
          <rPr>
            <sz val="9"/>
            <rFont val="Tahoma"/>
            <charset val="134"/>
          </rPr>
          <t>(</t>
        </r>
        <r>
          <rPr>
            <sz val="9"/>
            <rFont val="宋体"/>
            <charset val="134"/>
          </rPr>
          <t>例子</t>
        </r>
        <r>
          <rPr>
            <sz val="9"/>
            <rFont val="Tahoma"/>
            <charset val="134"/>
          </rPr>
          <t>:2010-08-09).</t>
        </r>
        <r>
          <rPr>
            <sz val="9"/>
            <rFont val="宋体"/>
            <charset val="134"/>
          </rPr>
          <t>此项为必填</t>
        </r>
        <r>
          <rPr>
            <sz val="9"/>
            <rFont val="Tahoma"/>
            <charset val="134"/>
          </rPr>
          <t>.</t>
        </r>
      </text>
    </comment>
    <comment ref="G1" authorId="0">
      <text>
        <r>
          <rPr>
            <b/>
            <sz val="9"/>
            <rFont val="宋体"/>
            <charset val="134"/>
          </rPr>
          <t>作者:</t>
        </r>
        <r>
          <rPr>
            <sz val="9"/>
            <rFont val="宋体"/>
            <charset val="134"/>
          </rPr>
          <t xml:space="preserve">
船员在船上担任的职务</t>
        </r>
        <r>
          <rPr>
            <sz val="9"/>
            <rFont val="Tahoma"/>
            <charset val="134"/>
          </rPr>
          <t>.</t>
        </r>
        <r>
          <rPr>
            <sz val="9"/>
            <rFont val="宋体"/>
            <charset val="134"/>
          </rPr>
          <t>没有可不填</t>
        </r>
        <r>
          <rPr>
            <sz val="9"/>
            <rFont val="Tahoma"/>
            <charset val="134"/>
          </rPr>
          <t>.</t>
        </r>
      </text>
    </comment>
    <comment ref="J1" authorId="0">
      <text>
        <r>
          <rPr>
            <b/>
            <sz val="9"/>
            <rFont val="宋体"/>
            <charset val="134"/>
          </rPr>
          <t>作者:</t>
        </r>
        <r>
          <rPr>
            <sz val="9"/>
            <rFont val="宋体"/>
            <charset val="134"/>
          </rPr>
          <t xml:space="preserve">
船员出入境事由</t>
        </r>
        <r>
          <rPr>
            <sz val="9"/>
            <rFont val="Tahoma"/>
            <charset val="134"/>
          </rPr>
          <t>.</t>
        </r>
        <r>
          <rPr>
            <sz val="9"/>
            <rFont val="宋体"/>
            <charset val="134"/>
          </rPr>
          <t>必须填写“会议</t>
        </r>
        <r>
          <rPr>
            <sz val="9"/>
            <rFont val="Tahoma"/>
            <charset val="134"/>
          </rPr>
          <t>/</t>
        </r>
        <r>
          <rPr>
            <sz val="9"/>
            <rFont val="宋体"/>
            <charset val="134"/>
          </rPr>
          <t>商务、访问、观光</t>
        </r>
        <r>
          <rPr>
            <sz val="9"/>
            <rFont val="Tahoma"/>
            <charset val="134"/>
          </rPr>
          <t>/</t>
        </r>
        <r>
          <rPr>
            <sz val="9"/>
            <rFont val="宋体"/>
            <charset val="134"/>
          </rPr>
          <t>休闲、探亲访友、就业、学习、定居、返回常驻地、其他、服务</t>
        </r>
        <r>
          <rPr>
            <sz val="9"/>
            <rFont val="Tahoma"/>
            <charset val="134"/>
          </rPr>
          <t>(</t>
        </r>
        <r>
          <rPr>
            <sz val="9"/>
            <rFont val="宋体"/>
            <charset val="134"/>
          </rPr>
          <t>员工</t>
        </r>
        <r>
          <rPr>
            <sz val="9"/>
            <rFont val="Tahoma"/>
            <charset val="134"/>
          </rPr>
          <t>)</t>
        </r>
        <r>
          <rPr>
            <sz val="9"/>
            <rFont val="宋体"/>
            <charset val="134"/>
          </rPr>
          <t>、短期出境、定居、旅游”十三个值的其中一个</t>
        </r>
        <r>
          <rPr>
            <sz val="9"/>
            <rFont val="Tahoma"/>
            <charset val="134"/>
          </rPr>
          <t>.(</t>
        </r>
        <r>
          <rPr>
            <sz val="9"/>
            <rFont val="宋体"/>
            <charset val="134"/>
          </rPr>
          <t>例子</t>
        </r>
        <r>
          <rPr>
            <sz val="9"/>
            <rFont val="Tahoma"/>
            <charset val="134"/>
          </rPr>
          <t>:</t>
        </r>
        <r>
          <rPr>
            <sz val="9"/>
            <rFont val="宋体"/>
            <charset val="134"/>
          </rPr>
          <t>服务</t>
        </r>
        <r>
          <rPr>
            <sz val="9"/>
            <rFont val="Tahoma"/>
            <charset val="134"/>
          </rPr>
          <t>(</t>
        </r>
        <r>
          <rPr>
            <sz val="9"/>
            <rFont val="宋体"/>
            <charset val="134"/>
          </rPr>
          <t>员工</t>
        </r>
        <r>
          <rPr>
            <sz val="9"/>
            <rFont val="Tahoma"/>
            <charset val="134"/>
          </rPr>
          <t>)).</t>
        </r>
        <r>
          <rPr>
            <sz val="9"/>
            <rFont val="宋体"/>
            <charset val="134"/>
          </rPr>
          <t>此项为必填</t>
        </r>
        <r>
          <rPr>
            <sz val="9"/>
            <rFont val="Tahoma"/>
            <charset val="134"/>
          </rPr>
          <t>.</t>
        </r>
      </text>
    </comment>
  </commentList>
</comments>
</file>

<file path=xl/comments3.xml><?xml version="1.0" encoding="utf-8"?>
<comments xmlns="http://schemas.openxmlformats.org/spreadsheetml/2006/main">
  <authors>
    <author>作者</author>
  </authors>
  <commentList>
    <comment ref="A8" authorId="0">
      <text>
        <r>
          <rPr>
            <b/>
            <sz val="9"/>
            <rFont val="宋体"/>
            <charset val="134"/>
          </rPr>
          <t>作者:</t>
        </r>
        <r>
          <rPr>
            <sz val="9"/>
            <rFont val="宋体"/>
            <charset val="134"/>
          </rPr>
          <t xml:space="preserve">
更换船员序号（不显示）</t>
        </r>
      </text>
    </comment>
    <comment ref="A9" authorId="0">
      <text>
        <r>
          <rPr>
            <b/>
            <sz val="9"/>
            <rFont val="宋体"/>
            <charset val="134"/>
          </rPr>
          <t>作者:</t>
        </r>
        <r>
          <rPr>
            <sz val="9"/>
            <rFont val="宋体"/>
            <charset val="134"/>
          </rPr>
          <t xml:space="preserve">
更换船员序号（不显示）</t>
        </r>
      </text>
    </comment>
    <comment ref="A10" authorId="0">
      <text>
        <r>
          <rPr>
            <b/>
            <sz val="9"/>
            <rFont val="宋体"/>
            <charset val="134"/>
          </rPr>
          <t>作者:</t>
        </r>
        <r>
          <rPr>
            <sz val="9"/>
            <rFont val="宋体"/>
            <charset val="134"/>
          </rPr>
          <t xml:space="preserve">
更换船员序号（不显示）</t>
        </r>
      </text>
    </comment>
    <comment ref="A11" authorId="0">
      <text>
        <r>
          <rPr>
            <b/>
            <sz val="9"/>
            <rFont val="宋体"/>
            <charset val="134"/>
          </rPr>
          <t>作者:</t>
        </r>
        <r>
          <rPr>
            <sz val="9"/>
            <rFont val="宋体"/>
            <charset val="134"/>
          </rPr>
          <t xml:space="preserve">
更换船员序号（不显示）</t>
        </r>
      </text>
    </comment>
    <comment ref="A12" authorId="0">
      <text>
        <r>
          <rPr>
            <b/>
            <sz val="9"/>
            <rFont val="宋体"/>
            <charset val="134"/>
          </rPr>
          <t>作者:</t>
        </r>
        <r>
          <rPr>
            <sz val="9"/>
            <rFont val="宋体"/>
            <charset val="134"/>
          </rPr>
          <t xml:space="preserve">
更换船员序号（不显示）</t>
        </r>
      </text>
    </comment>
    <comment ref="A13" authorId="0">
      <text>
        <r>
          <rPr>
            <b/>
            <sz val="9"/>
            <rFont val="宋体"/>
            <charset val="134"/>
          </rPr>
          <t>作者:</t>
        </r>
        <r>
          <rPr>
            <sz val="9"/>
            <rFont val="宋体"/>
            <charset val="134"/>
          </rPr>
          <t xml:space="preserve">
更换船员序号（不显示）</t>
        </r>
      </text>
    </comment>
    <comment ref="A14" authorId="0">
      <text>
        <r>
          <rPr>
            <b/>
            <sz val="9"/>
            <rFont val="宋体"/>
            <charset val="134"/>
          </rPr>
          <t>作者:</t>
        </r>
        <r>
          <rPr>
            <sz val="9"/>
            <rFont val="宋体"/>
            <charset val="134"/>
          </rPr>
          <t xml:space="preserve">
更换船员序号（不显示）</t>
        </r>
      </text>
    </comment>
    <comment ref="A15" authorId="0">
      <text>
        <r>
          <rPr>
            <b/>
            <sz val="9"/>
            <rFont val="宋体"/>
            <charset val="134"/>
          </rPr>
          <t>作者:</t>
        </r>
        <r>
          <rPr>
            <sz val="9"/>
            <rFont val="宋体"/>
            <charset val="134"/>
          </rPr>
          <t xml:space="preserve">
更换船员序号（不显示）</t>
        </r>
      </text>
    </comment>
  </commentList>
</comments>
</file>

<file path=xl/comments4.xml><?xml version="1.0" encoding="utf-8"?>
<comments xmlns="http://schemas.openxmlformats.org/spreadsheetml/2006/main">
  <authors>
    <author>作者</author>
  </authors>
  <commentList>
    <comment ref="A8" authorId="0">
      <text>
        <r>
          <rPr>
            <b/>
            <sz val="9"/>
            <rFont val="宋体"/>
            <charset val="134"/>
          </rPr>
          <t>作者:</t>
        </r>
        <r>
          <rPr>
            <sz val="9"/>
            <rFont val="宋体"/>
            <charset val="134"/>
          </rPr>
          <t xml:space="preserve">
更换船员序号（不显示）</t>
        </r>
      </text>
    </comment>
    <comment ref="A9" authorId="0">
      <text>
        <r>
          <rPr>
            <b/>
            <sz val="9"/>
            <rFont val="宋体"/>
            <charset val="134"/>
          </rPr>
          <t>作者:</t>
        </r>
        <r>
          <rPr>
            <sz val="9"/>
            <rFont val="宋体"/>
            <charset val="134"/>
          </rPr>
          <t xml:space="preserve">
更换船员序号（不显示）</t>
        </r>
      </text>
    </comment>
    <comment ref="A10" authorId="0">
      <text>
        <r>
          <rPr>
            <b/>
            <sz val="9"/>
            <rFont val="宋体"/>
            <charset val="134"/>
          </rPr>
          <t>作者:</t>
        </r>
        <r>
          <rPr>
            <sz val="9"/>
            <rFont val="宋体"/>
            <charset val="134"/>
          </rPr>
          <t xml:space="preserve">
更换船员序号（不显示）</t>
        </r>
      </text>
    </comment>
    <comment ref="A11" authorId="0">
      <text>
        <r>
          <rPr>
            <b/>
            <sz val="9"/>
            <rFont val="宋体"/>
            <charset val="134"/>
          </rPr>
          <t>作者:</t>
        </r>
        <r>
          <rPr>
            <sz val="9"/>
            <rFont val="宋体"/>
            <charset val="134"/>
          </rPr>
          <t xml:space="preserve">
更换船员序号（不显示）</t>
        </r>
      </text>
    </comment>
    <comment ref="A12" authorId="0">
      <text>
        <r>
          <rPr>
            <b/>
            <sz val="9"/>
            <rFont val="宋体"/>
            <charset val="134"/>
          </rPr>
          <t>作者:</t>
        </r>
        <r>
          <rPr>
            <sz val="9"/>
            <rFont val="宋体"/>
            <charset val="134"/>
          </rPr>
          <t xml:space="preserve">
更换船员序号（不显示）</t>
        </r>
      </text>
    </comment>
    <comment ref="A13" authorId="0">
      <text>
        <r>
          <rPr>
            <b/>
            <sz val="9"/>
            <rFont val="宋体"/>
            <charset val="134"/>
          </rPr>
          <t>作者:</t>
        </r>
        <r>
          <rPr>
            <sz val="9"/>
            <rFont val="宋体"/>
            <charset val="134"/>
          </rPr>
          <t xml:space="preserve">
更换船员序号（不显示）</t>
        </r>
      </text>
    </comment>
    <comment ref="A14" authorId="0">
      <text>
        <r>
          <rPr>
            <b/>
            <sz val="9"/>
            <rFont val="宋体"/>
            <charset val="134"/>
          </rPr>
          <t>作者:</t>
        </r>
        <r>
          <rPr>
            <sz val="9"/>
            <rFont val="宋体"/>
            <charset val="134"/>
          </rPr>
          <t xml:space="preserve">
更换船员序号（不显示）</t>
        </r>
      </text>
    </comment>
    <comment ref="A15" authorId="0">
      <text>
        <r>
          <rPr>
            <b/>
            <sz val="9"/>
            <rFont val="宋体"/>
            <charset val="134"/>
          </rPr>
          <t>作者:</t>
        </r>
        <r>
          <rPr>
            <sz val="9"/>
            <rFont val="宋体"/>
            <charset val="134"/>
          </rPr>
          <t xml:space="preserve">
更换船员序号（不显示）</t>
        </r>
      </text>
    </comment>
  </commentList>
</comments>
</file>

<file path=xl/sharedStrings.xml><?xml version="1.0" encoding="utf-8"?>
<sst xmlns="http://schemas.openxmlformats.org/spreadsheetml/2006/main" count="1676" uniqueCount="815">
  <si>
    <t>南沙保税港区</t>
  </si>
  <si>
    <t>进出境运输工具登记表</t>
  </si>
  <si>
    <t>船舶编号：UN</t>
  </si>
  <si>
    <t>船名（中文）：</t>
  </si>
  <si>
    <t>船名（英文）：</t>
  </si>
  <si>
    <t>国籍        ：</t>
  </si>
  <si>
    <t>所属企业    ：</t>
  </si>
  <si>
    <t>进港日期    ：</t>
  </si>
  <si>
    <t>出港日期    ：</t>
  </si>
  <si>
    <t>船舶进境情况</t>
  </si>
  <si>
    <t>航线</t>
  </si>
  <si>
    <t>上航次</t>
  </si>
  <si>
    <t>南沙新港</t>
  </si>
  <si>
    <t>——</t>
  </si>
  <si>
    <t>本航次</t>
  </si>
  <si>
    <t>船员人数</t>
  </si>
  <si>
    <t>中国籍</t>
  </si>
  <si>
    <t>外国籍</t>
  </si>
  <si>
    <t>载货情况</t>
  </si>
  <si>
    <t>进口货物</t>
  </si>
  <si>
    <t>转关货物</t>
  </si>
  <si>
    <t>转运货物</t>
  </si>
  <si>
    <t>空柜</t>
  </si>
  <si>
    <t>船舶吨位</t>
  </si>
  <si>
    <t>总吨位</t>
  </si>
  <si>
    <t>净吨位</t>
  </si>
  <si>
    <t>吨税执照</t>
  </si>
  <si>
    <t>海关关封</t>
  </si>
  <si>
    <t>字第</t>
  </si>
  <si>
    <t>号</t>
  </si>
  <si>
    <t>联检时间</t>
  </si>
  <si>
    <t>联检地点</t>
  </si>
  <si>
    <t>经办人员</t>
  </si>
  <si>
    <t>烟酒情况</t>
  </si>
  <si>
    <t>烟数量</t>
  </si>
  <si>
    <t>酒数量</t>
  </si>
  <si>
    <t>是否加封</t>
  </si>
  <si>
    <t>单证附录：</t>
  </si>
  <si>
    <t xml:space="preserve">   （一）总申报单；</t>
  </si>
  <si>
    <t xml:space="preserve">   （六）吨税复印件；</t>
  </si>
  <si>
    <t xml:space="preserve">   （二）货物申报单；</t>
  </si>
  <si>
    <t xml:space="preserve">   （七）船舶舱单；</t>
  </si>
  <si>
    <t xml:space="preserve">   （三）船员名单；</t>
  </si>
  <si>
    <t xml:space="preserve">   （八）其他（请列明）；</t>
  </si>
  <si>
    <t xml:space="preserve">   （四）船员物品清单；</t>
  </si>
  <si>
    <t xml:space="preserve">   ____________________________</t>
  </si>
  <si>
    <t xml:space="preserve">   （五）船舶物品清单；</t>
  </si>
  <si>
    <t>船舶出境情况</t>
  </si>
  <si>
    <t>出口货物</t>
  </si>
  <si>
    <r>
      <rPr>
        <sz val="16"/>
        <color indexed="8"/>
        <rFont val="黑体"/>
        <charset val="134"/>
      </rPr>
      <t>（</t>
    </r>
    <r>
      <rPr>
        <sz val="14"/>
        <color indexed="8"/>
        <rFont val="楷体_GB2312"/>
        <charset val="134"/>
      </rPr>
      <t>南沙保税港区</t>
    </r>
    <r>
      <rPr>
        <sz val="16"/>
        <color indexed="8"/>
        <rFont val="黑体"/>
        <charset val="134"/>
      </rPr>
      <t>）</t>
    </r>
    <r>
      <rPr>
        <sz val="14"/>
        <color indexed="8"/>
        <rFont val="楷体_GB2312"/>
        <charset val="134"/>
      </rPr>
      <t>2012</t>
    </r>
    <r>
      <rPr>
        <sz val="16"/>
        <color indexed="8"/>
        <rFont val="黑体"/>
        <charset val="134"/>
      </rPr>
      <t>字第</t>
    </r>
  </si>
  <si>
    <t>待处理问题登记：</t>
  </si>
  <si>
    <t>IMO Convention on Facilitation of International Maritime Traffic</t>
  </si>
  <si>
    <r>
      <rPr>
        <b/>
        <sz val="18"/>
        <rFont val="宋体"/>
        <charset val="134"/>
      </rPr>
      <t>总</t>
    </r>
    <r>
      <rPr>
        <b/>
        <sz val="18"/>
        <rFont val="Times New Roman"/>
        <charset val="134"/>
      </rPr>
      <t xml:space="preserve">   </t>
    </r>
    <r>
      <rPr>
        <b/>
        <sz val="18"/>
        <rFont val="宋体"/>
        <charset val="134"/>
      </rPr>
      <t>申</t>
    </r>
    <r>
      <rPr>
        <b/>
        <sz val="18"/>
        <rFont val="Times New Roman"/>
        <charset val="134"/>
      </rPr>
      <t xml:space="preserve">   </t>
    </r>
    <r>
      <rPr>
        <b/>
        <sz val="18"/>
        <rFont val="宋体"/>
        <charset val="134"/>
      </rPr>
      <t>报</t>
    </r>
    <r>
      <rPr>
        <b/>
        <sz val="18"/>
        <rFont val="Times New Roman"/>
        <charset val="134"/>
      </rPr>
      <t xml:space="preserve">   </t>
    </r>
    <r>
      <rPr>
        <b/>
        <sz val="18"/>
        <rFont val="宋体"/>
        <charset val="134"/>
      </rPr>
      <t>单</t>
    </r>
  </si>
  <si>
    <t>GENERAL DECLARATION</t>
  </si>
  <si>
    <r>
      <rPr>
        <sz val="8"/>
        <rFont val="宋体"/>
        <charset val="134"/>
      </rPr>
      <t>编号</t>
    </r>
    <r>
      <rPr>
        <sz val="8"/>
        <rFont val="Times New Roman"/>
        <charset val="134"/>
      </rPr>
      <t>:</t>
    </r>
  </si>
  <si>
    <t>V</t>
  </si>
  <si>
    <t>抵港</t>
  </si>
  <si>
    <t>离港</t>
  </si>
  <si>
    <t>No.</t>
  </si>
  <si>
    <t>Arrival</t>
  </si>
  <si>
    <t>Departure</t>
  </si>
  <si>
    <r>
      <rPr>
        <sz val="9"/>
        <rFont val="Times New Roman"/>
        <charset val="134"/>
      </rPr>
      <t>1.</t>
    </r>
    <r>
      <rPr>
        <sz val="9"/>
        <rFont val="宋体"/>
        <charset val="134"/>
      </rPr>
      <t>船舶名称及种类</t>
    </r>
  </si>
  <si>
    <t xml:space="preserve">环球01 </t>
  </si>
  <si>
    <r>
      <rPr>
        <sz val="9"/>
        <rFont val="Times New Roman"/>
        <charset val="134"/>
      </rPr>
      <t>2.</t>
    </r>
    <r>
      <rPr>
        <sz val="9"/>
        <rFont val="宋体"/>
        <charset val="134"/>
      </rPr>
      <t>抵</t>
    </r>
    <r>
      <rPr>
        <sz val="9"/>
        <rFont val="Times New Roman"/>
        <charset val="134"/>
      </rPr>
      <t>/</t>
    </r>
    <r>
      <rPr>
        <sz val="9"/>
        <rFont val="宋体"/>
        <charset val="134"/>
      </rPr>
      <t>离港口</t>
    </r>
    <r>
      <rPr>
        <sz val="9"/>
        <rFont val="Times New Roman"/>
        <charset val="134"/>
      </rPr>
      <t xml:space="preserve">             </t>
    </r>
  </si>
  <si>
    <r>
      <rPr>
        <sz val="9"/>
        <rFont val="Times New Roman"/>
        <charset val="134"/>
      </rPr>
      <t>3.</t>
    </r>
    <r>
      <rPr>
        <sz val="8.5"/>
        <rFont val="宋体"/>
        <charset val="134"/>
      </rPr>
      <t>抵</t>
    </r>
    <r>
      <rPr>
        <sz val="8.5"/>
        <rFont val="Times New Roman"/>
        <charset val="134"/>
      </rPr>
      <t>/</t>
    </r>
    <r>
      <rPr>
        <sz val="8.5"/>
        <rFont val="宋体"/>
        <charset val="134"/>
      </rPr>
      <t>离日期及时间</t>
    </r>
    <r>
      <rPr>
        <sz val="8.5"/>
        <rFont val="Times New Roman"/>
        <charset val="134"/>
      </rPr>
      <t xml:space="preserve">    </t>
    </r>
  </si>
  <si>
    <t xml:space="preserve"> Name and description of ship</t>
  </si>
  <si>
    <t>GLOBAO 01</t>
  </si>
  <si>
    <t xml:space="preserve"> Port of arrival/departure</t>
  </si>
  <si>
    <t>NANSHA NEW PORT</t>
  </si>
  <si>
    <t xml:space="preserve"> Date-time of arrival/departure</t>
  </si>
  <si>
    <r>
      <rPr>
        <sz val="9"/>
        <rFont val="Times New Roman"/>
        <charset val="134"/>
      </rPr>
      <t>4.</t>
    </r>
    <r>
      <rPr>
        <sz val="9"/>
        <rFont val="宋体"/>
        <charset val="134"/>
      </rPr>
      <t>船舶国籍</t>
    </r>
  </si>
  <si>
    <r>
      <rPr>
        <sz val="9"/>
        <rFont val="Times New Roman"/>
        <charset val="134"/>
      </rPr>
      <t>5.</t>
    </r>
    <r>
      <rPr>
        <sz val="9"/>
        <rFont val="宋体"/>
        <charset val="134"/>
      </rPr>
      <t>船长姓名</t>
    </r>
    <r>
      <rPr>
        <sz val="9"/>
        <rFont val="Times New Roman"/>
        <charset val="134"/>
      </rPr>
      <t xml:space="preserve">               </t>
    </r>
  </si>
  <si>
    <t>张宏</t>
  </si>
  <si>
    <r>
      <rPr>
        <sz val="9"/>
        <rFont val="Times New Roman"/>
        <charset val="134"/>
      </rPr>
      <t>6.</t>
    </r>
    <r>
      <rPr>
        <sz val="9"/>
        <rFont val="宋体"/>
        <charset val="134"/>
      </rPr>
      <t>驶来港</t>
    </r>
    <r>
      <rPr>
        <sz val="9"/>
        <rFont val="Times New Roman"/>
        <charset val="134"/>
      </rPr>
      <t>/</t>
    </r>
    <r>
      <rPr>
        <sz val="9"/>
        <rFont val="宋体"/>
        <charset val="134"/>
      </rPr>
      <t>目的地</t>
    </r>
    <r>
      <rPr>
        <sz val="9"/>
        <rFont val="Times New Roman"/>
        <charset val="134"/>
      </rPr>
      <t xml:space="preserve">                                                      </t>
    </r>
    <r>
      <rPr>
        <sz val="12"/>
        <rFont val="Times New Roman"/>
        <charset val="134"/>
      </rPr>
      <t xml:space="preserve">     </t>
    </r>
  </si>
  <si>
    <t>俄罗斯东方港</t>
  </si>
  <si>
    <t>丹戎帕拉帕斯</t>
  </si>
  <si>
    <t>马来西亚</t>
  </si>
  <si>
    <t xml:space="preserve"> Nationality of ship</t>
  </si>
  <si>
    <t xml:space="preserve"> Name of master</t>
  </si>
  <si>
    <t xml:space="preserve"> Port arrived from/port of destination                   </t>
  </si>
  <si>
    <t>VOSTOCHNIY</t>
  </si>
  <si>
    <t>TANJUNG PELEPAS</t>
  </si>
  <si>
    <t>MALAYSIA</t>
  </si>
  <si>
    <r>
      <rPr>
        <sz val="9"/>
        <rFont val="Times New Roman"/>
        <charset val="134"/>
      </rPr>
      <t>7.</t>
    </r>
    <r>
      <rPr>
        <sz val="9"/>
        <rFont val="宋体"/>
        <charset val="134"/>
      </rPr>
      <t>登记证书</t>
    </r>
    <r>
      <rPr>
        <sz val="9"/>
        <rFont val="Times New Roman"/>
        <charset val="134"/>
      </rPr>
      <t xml:space="preserve"> Certificate of registry</t>
    </r>
  </si>
  <si>
    <t>IMO:1234567</t>
  </si>
  <si>
    <r>
      <rPr>
        <sz val="9"/>
        <rFont val="Times New Roman"/>
        <charset val="134"/>
      </rPr>
      <t>8.</t>
    </r>
    <r>
      <rPr>
        <sz val="9"/>
        <rFont val="宋体"/>
        <charset val="134"/>
      </rPr>
      <t>船舶代理名称及地址</t>
    </r>
  </si>
  <si>
    <t>新加坡</t>
  </si>
  <si>
    <t>57106-25</t>
  </si>
  <si>
    <t xml:space="preserve"> Name and address of ship's agent</t>
  </si>
  <si>
    <r>
      <rPr>
        <sz val="11"/>
        <color theme="1"/>
        <rFont val="宋体"/>
        <charset val="134"/>
        <scheme val="minor"/>
      </rPr>
      <t>S</t>
    </r>
    <r>
      <rPr>
        <sz val="11"/>
        <color theme="1"/>
        <rFont val="宋体"/>
        <charset val="134"/>
        <scheme val="minor"/>
      </rPr>
      <t>INGAPORE</t>
    </r>
  </si>
  <si>
    <r>
      <rPr>
        <sz val="9"/>
        <rFont val="Times New Roman"/>
        <charset val="134"/>
      </rPr>
      <t>9.</t>
    </r>
    <r>
      <rPr>
        <sz val="9"/>
        <rFont val="宋体"/>
        <charset val="134"/>
      </rPr>
      <t>总吨位</t>
    </r>
    <r>
      <rPr>
        <sz val="9"/>
        <rFont val="Times New Roman"/>
        <charset val="134"/>
      </rPr>
      <t xml:space="preserve">                         </t>
    </r>
  </si>
  <si>
    <r>
      <rPr>
        <sz val="9"/>
        <rFont val="Times New Roman"/>
        <charset val="134"/>
      </rPr>
      <t>10.</t>
    </r>
    <r>
      <rPr>
        <sz val="9"/>
        <rFont val="宋体"/>
        <charset val="134"/>
      </rPr>
      <t>净吨位</t>
    </r>
    <r>
      <rPr>
        <sz val="9"/>
        <rFont val="Times New Roman"/>
        <charset val="134"/>
      </rPr>
      <t xml:space="preserve"> </t>
    </r>
  </si>
  <si>
    <r>
      <rPr>
        <sz val="9"/>
        <rFont val="Times New Roman"/>
        <charset val="134"/>
      </rPr>
      <t xml:space="preserve">                  </t>
    </r>
    <r>
      <rPr>
        <sz val="12"/>
        <rFont val="Times New Roman"/>
        <charset val="134"/>
      </rPr>
      <t xml:space="preserve"> </t>
    </r>
  </si>
  <si>
    <t>示例船务代理有限公司</t>
  </si>
  <si>
    <t>联系人</t>
  </si>
  <si>
    <t>香港</t>
  </si>
  <si>
    <t xml:space="preserve"> Gross tonnage</t>
  </si>
  <si>
    <t xml:space="preserve"> Net tonnage</t>
  </si>
  <si>
    <t>140522199711260050</t>
  </si>
  <si>
    <r>
      <rPr>
        <sz val="11"/>
        <color theme="1"/>
        <rFont val="宋体"/>
        <charset val="134"/>
        <scheme val="minor"/>
      </rPr>
      <t>H</t>
    </r>
    <r>
      <rPr>
        <sz val="11"/>
        <color theme="1"/>
        <rFont val="宋体"/>
        <charset val="134"/>
        <scheme val="minor"/>
      </rPr>
      <t>ONGKONG</t>
    </r>
  </si>
  <si>
    <r>
      <rPr>
        <sz val="9"/>
        <rFont val="Times New Roman"/>
        <charset val="134"/>
      </rPr>
      <t>11.</t>
    </r>
    <r>
      <rPr>
        <sz val="9"/>
        <rFont val="宋体"/>
        <charset val="134"/>
      </rPr>
      <t>在港泊位</t>
    </r>
    <r>
      <rPr>
        <sz val="9"/>
        <rFont val="Times New Roman"/>
        <charset val="134"/>
      </rPr>
      <t xml:space="preserve">                                                                 </t>
    </r>
  </si>
  <si>
    <t>一期   W</t>
  </si>
  <si>
    <t>巴生港</t>
  </si>
  <si>
    <t xml:space="preserve"> Position of the ship in the port(berth of station)</t>
  </si>
  <si>
    <r>
      <rPr>
        <sz val="11"/>
        <color theme="1"/>
        <rFont val="宋体"/>
        <charset val="134"/>
        <scheme val="minor"/>
      </rPr>
      <t>P</t>
    </r>
    <r>
      <rPr>
        <sz val="11"/>
        <color theme="1"/>
        <rFont val="宋体"/>
        <charset val="134"/>
        <scheme val="minor"/>
      </rPr>
      <t>ORT KLANG</t>
    </r>
  </si>
  <si>
    <r>
      <rPr>
        <sz val="9"/>
        <rFont val="Times New Roman"/>
        <charset val="134"/>
      </rPr>
      <t>12.</t>
    </r>
    <r>
      <rPr>
        <sz val="9"/>
        <rFont val="宋体"/>
        <charset val="134"/>
      </rPr>
      <t>航次摘要</t>
    </r>
    <r>
      <rPr>
        <sz val="9"/>
        <rFont val="Times New Roman"/>
        <charset val="134"/>
      </rPr>
      <t>(</t>
    </r>
    <r>
      <rPr>
        <sz val="9"/>
        <rFont val="宋体"/>
        <charset val="134"/>
      </rPr>
      <t>先后挂靠港口、并在即将卸下留存货物的港名下划线标注）</t>
    </r>
  </si>
  <si>
    <t xml:space="preserve"> Berth particulars of voyage(previous and subsequent ports of call:underline where remaining cargo will be discharged)</t>
  </si>
  <si>
    <t>舟山</t>
  </si>
  <si>
    <t>ZHOUSHAN</t>
  </si>
  <si>
    <r>
      <rPr>
        <sz val="9"/>
        <rFont val="Times New Roman"/>
        <charset val="134"/>
      </rPr>
      <t>13.</t>
    </r>
    <r>
      <rPr>
        <sz val="9"/>
        <rFont val="宋体"/>
        <charset val="134"/>
      </rPr>
      <t>货物摘要说明</t>
    </r>
  </si>
  <si>
    <t xml:space="preserve"> Brief description of the cargo</t>
  </si>
  <si>
    <t>总重量：</t>
  </si>
  <si>
    <t>吨</t>
  </si>
  <si>
    <t xml:space="preserve"> </t>
  </si>
  <si>
    <t>进口柜：</t>
  </si>
  <si>
    <t>总共：</t>
  </si>
  <si>
    <t>TEU</t>
  </si>
  <si>
    <t>，</t>
  </si>
  <si>
    <t>吨；</t>
  </si>
  <si>
    <t>过境柜：</t>
  </si>
  <si>
    <r>
      <rPr>
        <sz val="9"/>
        <rFont val="Times New Roman"/>
        <charset val="134"/>
      </rPr>
      <t>14.</t>
    </r>
    <r>
      <rPr>
        <sz val="9"/>
        <rFont val="宋体"/>
        <charset val="134"/>
      </rPr>
      <t>船员人数</t>
    </r>
    <r>
      <rPr>
        <sz val="9"/>
        <rFont val="Times New Roman"/>
        <charset val="134"/>
      </rPr>
      <t>(</t>
    </r>
    <r>
      <rPr>
        <sz val="9"/>
        <rFont val="宋体"/>
        <charset val="134"/>
      </rPr>
      <t>含船长</t>
    </r>
    <r>
      <rPr>
        <sz val="9"/>
        <rFont val="Times New Roman"/>
        <charset val="134"/>
      </rPr>
      <t xml:space="preserve">)      </t>
    </r>
  </si>
  <si>
    <r>
      <rPr>
        <sz val="9"/>
        <rFont val="Times New Roman"/>
        <charset val="134"/>
      </rPr>
      <t>15.</t>
    </r>
    <r>
      <rPr>
        <sz val="9"/>
        <rFont val="宋体"/>
        <charset val="134"/>
      </rPr>
      <t>旅客人数</t>
    </r>
  </si>
  <si>
    <r>
      <rPr>
        <b/>
        <sz val="12"/>
        <rFont val="宋体"/>
        <charset val="134"/>
      </rPr>
      <t>n</t>
    </r>
    <r>
      <rPr>
        <b/>
        <sz val="12"/>
        <rFont val="宋体"/>
        <charset val="134"/>
      </rPr>
      <t>il</t>
    </r>
  </si>
  <si>
    <r>
      <rPr>
        <sz val="11"/>
        <rFont val="Times New Roman"/>
        <charset val="134"/>
      </rPr>
      <t>16.</t>
    </r>
    <r>
      <rPr>
        <sz val="11"/>
        <rFont val="宋体"/>
        <charset val="134"/>
      </rPr>
      <t>备</t>
    </r>
    <r>
      <rPr>
        <sz val="11"/>
        <rFont val="Times New Roman"/>
        <charset val="134"/>
      </rPr>
      <t xml:space="preserve">     </t>
    </r>
    <r>
      <rPr>
        <sz val="11"/>
        <rFont val="宋体"/>
        <charset val="134"/>
      </rPr>
      <t>注</t>
    </r>
  </si>
  <si>
    <t>无武器</t>
  </si>
  <si>
    <t>船员国籍分布：</t>
  </si>
  <si>
    <t xml:space="preserve"> Number of crew(incl. Master)</t>
  </si>
  <si>
    <t xml:space="preserve"> Number of Passengers</t>
  </si>
  <si>
    <t xml:space="preserve"> Remarks</t>
  </si>
  <si>
    <t>No Weapen</t>
  </si>
  <si>
    <t>中国19名</t>
  </si>
  <si>
    <r>
      <rPr>
        <sz val="9"/>
        <rFont val="宋体"/>
        <charset val="134"/>
      </rPr>
      <t>附件</t>
    </r>
    <r>
      <rPr>
        <sz val="9"/>
        <rFont val="Times New Roman"/>
        <charset val="134"/>
      </rPr>
      <t>(</t>
    </r>
    <r>
      <rPr>
        <sz val="9"/>
        <rFont val="宋体"/>
        <charset val="134"/>
      </rPr>
      <t>标明份数</t>
    </r>
    <r>
      <rPr>
        <sz val="9"/>
        <rFont val="Times New Roman"/>
        <charset val="134"/>
      </rPr>
      <t>)</t>
    </r>
  </si>
  <si>
    <t>船舶呼号：</t>
  </si>
  <si>
    <t>3E9028</t>
  </si>
  <si>
    <t>Attached documents(indicate number of copies)</t>
  </si>
  <si>
    <r>
      <rPr>
        <sz val="11"/>
        <rFont val="Times New Roman"/>
        <charset val="134"/>
      </rPr>
      <t>MMSI</t>
    </r>
    <r>
      <rPr>
        <sz val="11"/>
        <rFont val="宋体"/>
        <charset val="134"/>
      </rPr>
      <t>：</t>
    </r>
  </si>
  <si>
    <r>
      <rPr>
        <sz val="9"/>
        <rFont val="Times New Roman"/>
        <charset val="134"/>
      </rPr>
      <t>17.</t>
    </r>
    <r>
      <rPr>
        <sz val="9"/>
        <rFont val="宋体"/>
        <charset val="134"/>
      </rPr>
      <t>货物申报单</t>
    </r>
  </si>
  <si>
    <r>
      <rPr>
        <sz val="9"/>
        <rFont val="Times New Roman"/>
        <charset val="134"/>
      </rPr>
      <t>18.</t>
    </r>
    <r>
      <rPr>
        <sz val="9"/>
        <rFont val="宋体"/>
        <charset val="134"/>
      </rPr>
      <t>船用物品申报单</t>
    </r>
  </si>
  <si>
    <t>船公司：</t>
  </si>
  <si>
    <t>东方致远航运有限公司</t>
  </si>
  <si>
    <t xml:space="preserve"> Cargo Declaration</t>
  </si>
  <si>
    <t xml:space="preserve"> Ship's Stord Declaration</t>
  </si>
  <si>
    <t>航次：进/出</t>
  </si>
  <si>
    <t>2608S</t>
  </si>
  <si>
    <r>
      <rPr>
        <sz val="9"/>
        <rFont val="Times New Roman"/>
        <charset val="134"/>
      </rPr>
      <t>19.</t>
    </r>
    <r>
      <rPr>
        <sz val="9"/>
        <rFont val="宋体"/>
        <charset val="134"/>
      </rPr>
      <t>船员名单</t>
    </r>
    <r>
      <rPr>
        <sz val="9"/>
        <rFont val="Times New Roman"/>
        <charset val="134"/>
      </rPr>
      <t>.</t>
    </r>
  </si>
  <si>
    <r>
      <rPr>
        <sz val="9"/>
        <rFont val="Times New Roman"/>
        <charset val="134"/>
      </rPr>
      <t>20.</t>
    </r>
    <r>
      <rPr>
        <sz val="9"/>
        <rFont val="宋体"/>
        <charset val="134"/>
      </rPr>
      <t>旅客名单</t>
    </r>
  </si>
  <si>
    <t>nil</t>
  </si>
  <si>
    <r>
      <rPr>
        <sz val="9"/>
        <rFont val="Times New Roman"/>
        <charset val="134"/>
      </rPr>
      <t>21.</t>
    </r>
    <r>
      <rPr>
        <sz val="9"/>
        <rFont val="宋体"/>
        <charset val="134"/>
      </rPr>
      <t>船长或其代理人签名、日期</t>
    </r>
  </si>
  <si>
    <t xml:space="preserve"> Crew List</t>
  </si>
  <si>
    <t xml:space="preserve"> Passenger List</t>
  </si>
  <si>
    <t xml:space="preserve"> Date and signature by master,authorized agent or officer</t>
  </si>
  <si>
    <r>
      <rPr>
        <sz val="9"/>
        <rFont val="Times New Roman"/>
        <charset val="134"/>
      </rPr>
      <t>22.</t>
    </r>
    <r>
      <rPr>
        <sz val="9"/>
        <rFont val="宋体"/>
        <charset val="134"/>
      </rPr>
      <t>船员物品申报单</t>
    </r>
    <r>
      <rPr>
        <sz val="9"/>
        <rFont val="Times New Roman"/>
        <charset val="134"/>
      </rPr>
      <t xml:space="preserve">* </t>
    </r>
  </si>
  <si>
    <r>
      <rPr>
        <sz val="9"/>
        <rFont val="Times New Roman"/>
        <charset val="134"/>
      </rPr>
      <t>23.</t>
    </r>
    <r>
      <rPr>
        <sz val="9"/>
        <rFont val="宋体"/>
        <charset val="134"/>
      </rPr>
      <t>航海健康申报书</t>
    </r>
  </si>
  <si>
    <t xml:space="preserve"> Crew's Effects Declaration</t>
  </si>
  <si>
    <t xml:space="preserve"> Maritime Declaration of Health</t>
  </si>
  <si>
    <t>检查机关签注</t>
  </si>
  <si>
    <t>For official use</t>
  </si>
  <si>
    <r>
      <rPr>
        <b/>
        <sz val="14"/>
        <rFont val="Times New Roman"/>
        <charset val="134"/>
      </rPr>
      <t xml:space="preserve">               </t>
    </r>
    <r>
      <rPr>
        <b/>
        <sz val="14"/>
        <rFont val="宋体"/>
        <charset val="134"/>
      </rPr>
      <t>货</t>
    </r>
    <r>
      <rPr>
        <b/>
        <sz val="14"/>
        <rFont val="Times New Roman"/>
        <charset val="134"/>
      </rPr>
      <t xml:space="preserve"> </t>
    </r>
    <r>
      <rPr>
        <b/>
        <sz val="14"/>
        <rFont val="宋体"/>
        <charset val="134"/>
      </rPr>
      <t>物</t>
    </r>
    <r>
      <rPr>
        <b/>
        <sz val="14"/>
        <rFont val="Times New Roman"/>
        <charset val="134"/>
      </rPr>
      <t xml:space="preserve"> </t>
    </r>
    <r>
      <rPr>
        <b/>
        <sz val="14"/>
        <rFont val="宋体"/>
        <charset val="134"/>
      </rPr>
      <t>申</t>
    </r>
    <r>
      <rPr>
        <b/>
        <sz val="14"/>
        <rFont val="Times New Roman"/>
        <charset val="134"/>
      </rPr>
      <t xml:space="preserve"> </t>
    </r>
    <r>
      <rPr>
        <b/>
        <sz val="14"/>
        <rFont val="宋体"/>
        <charset val="134"/>
      </rPr>
      <t>报</t>
    </r>
    <r>
      <rPr>
        <b/>
        <sz val="14"/>
        <rFont val="Times New Roman"/>
        <charset val="134"/>
      </rPr>
      <t xml:space="preserve"> </t>
    </r>
    <r>
      <rPr>
        <b/>
        <sz val="14"/>
        <rFont val="宋体"/>
        <charset val="134"/>
      </rPr>
      <t>单</t>
    </r>
  </si>
  <si>
    <t xml:space="preserve">             CARGO DECLARATION</t>
  </si>
  <si>
    <r>
      <rPr>
        <sz val="11"/>
        <rFont val="Times New Roman"/>
        <charset val="134"/>
      </rPr>
      <t xml:space="preserve">    </t>
    </r>
  </si>
  <si>
    <t>编号</t>
  </si>
  <si>
    <t xml:space="preserve">    离港</t>
  </si>
  <si>
    <r>
      <rPr>
        <sz val="10"/>
        <rFont val="宋体"/>
        <charset val="134"/>
      </rPr>
      <t>第</t>
    </r>
    <r>
      <rPr>
        <sz val="10"/>
        <rFont val="Times New Roman"/>
        <charset val="134"/>
      </rPr>
      <t xml:space="preserve">         </t>
    </r>
    <r>
      <rPr>
        <sz val="10"/>
        <rFont val="宋体"/>
        <charset val="134"/>
      </rPr>
      <t>页</t>
    </r>
  </si>
  <si>
    <r>
      <rPr>
        <sz val="8"/>
        <rFont val="Times New Roman"/>
        <charset val="134"/>
      </rPr>
      <t>No</t>
    </r>
    <r>
      <rPr>
        <b/>
        <sz val="8"/>
        <rFont val="Times New Roman"/>
        <charset val="134"/>
      </rPr>
      <t>.</t>
    </r>
  </si>
  <si>
    <t xml:space="preserve">   Arrival</t>
  </si>
  <si>
    <t xml:space="preserve">        Departure</t>
  </si>
  <si>
    <t xml:space="preserve">     Page No.</t>
  </si>
  <si>
    <r>
      <rPr>
        <sz val="10"/>
        <rFont val="Times New Roman"/>
        <charset val="134"/>
      </rPr>
      <t xml:space="preserve">1. </t>
    </r>
    <r>
      <rPr>
        <sz val="10"/>
        <rFont val="宋体"/>
        <charset val="134"/>
      </rPr>
      <t>船</t>
    </r>
    <r>
      <rPr>
        <sz val="10"/>
        <rFont val="Times New Roman"/>
        <charset val="134"/>
      </rPr>
      <t xml:space="preserve">           </t>
    </r>
    <r>
      <rPr>
        <sz val="10"/>
        <rFont val="宋体"/>
        <charset val="134"/>
      </rPr>
      <t>名</t>
    </r>
    <r>
      <rPr>
        <sz val="10"/>
        <rFont val="Times New Roman"/>
        <charset val="134"/>
      </rPr>
      <t xml:space="preserve">                                     </t>
    </r>
    <r>
      <rPr>
        <sz val="12"/>
        <rFont val="Times New Roman"/>
        <charset val="134"/>
      </rPr>
      <t xml:space="preserve">  </t>
    </r>
  </si>
  <si>
    <r>
      <rPr>
        <sz val="10"/>
        <rFont val="Times New Roman"/>
        <charset val="134"/>
      </rPr>
      <t xml:space="preserve">2. </t>
    </r>
    <r>
      <rPr>
        <sz val="10"/>
        <rFont val="宋体"/>
        <charset val="134"/>
      </rPr>
      <t>申报港</t>
    </r>
  </si>
  <si>
    <t xml:space="preserve">    Name of ship                        </t>
  </si>
  <si>
    <t xml:space="preserve">    Port where report is made</t>
  </si>
  <si>
    <r>
      <rPr>
        <sz val="10"/>
        <rFont val="Times New Roman"/>
        <charset val="134"/>
      </rPr>
      <t xml:space="preserve">3. </t>
    </r>
    <r>
      <rPr>
        <sz val="10"/>
        <rFont val="宋体"/>
        <charset val="134"/>
      </rPr>
      <t>船舶国籍</t>
    </r>
  </si>
  <si>
    <r>
      <rPr>
        <sz val="10"/>
        <rFont val="Times New Roman"/>
        <charset val="134"/>
      </rPr>
      <t xml:space="preserve">4. </t>
    </r>
    <r>
      <rPr>
        <sz val="10"/>
        <rFont val="宋体"/>
        <charset val="134"/>
      </rPr>
      <t>船长姓名</t>
    </r>
  </si>
  <si>
    <r>
      <rPr>
        <sz val="10"/>
        <rFont val="Times New Roman"/>
        <charset val="134"/>
      </rPr>
      <t xml:space="preserve">5. </t>
    </r>
    <r>
      <rPr>
        <sz val="10"/>
        <rFont val="宋体"/>
        <charset val="134"/>
      </rPr>
      <t>装卸港</t>
    </r>
  </si>
  <si>
    <t xml:space="preserve">    Nationality of ship</t>
  </si>
  <si>
    <t xml:space="preserve">    Name of master</t>
  </si>
  <si>
    <t xml:space="preserve">    Port of loading/Port of discharge</t>
  </si>
  <si>
    <r>
      <rPr>
        <sz val="10"/>
        <rFont val="Times New Roman"/>
        <charset val="134"/>
      </rPr>
      <t xml:space="preserve">6. </t>
    </r>
    <r>
      <rPr>
        <sz val="10"/>
        <rFont val="宋体"/>
        <charset val="134"/>
      </rPr>
      <t>标记及号码</t>
    </r>
  </si>
  <si>
    <r>
      <rPr>
        <sz val="10"/>
        <rFont val="Times New Roman"/>
        <charset val="134"/>
      </rPr>
      <t xml:space="preserve">7. </t>
    </r>
    <r>
      <rPr>
        <sz val="10"/>
        <rFont val="宋体"/>
        <charset val="134"/>
      </rPr>
      <t>包件的种类和数量</t>
    </r>
  </si>
  <si>
    <r>
      <rPr>
        <sz val="10"/>
        <rFont val="Times New Roman"/>
        <charset val="134"/>
      </rPr>
      <t xml:space="preserve">8. </t>
    </r>
    <r>
      <rPr>
        <sz val="10"/>
        <rFont val="宋体"/>
        <charset val="134"/>
      </rPr>
      <t>毛</t>
    </r>
    <r>
      <rPr>
        <sz val="10"/>
        <rFont val="Times New Roman"/>
        <charset val="134"/>
      </rPr>
      <t xml:space="preserve">      </t>
    </r>
    <r>
      <rPr>
        <sz val="10"/>
        <rFont val="宋体"/>
        <charset val="134"/>
      </rPr>
      <t>重</t>
    </r>
  </si>
  <si>
    <r>
      <rPr>
        <sz val="10"/>
        <rFont val="Times New Roman"/>
        <charset val="134"/>
      </rPr>
      <t xml:space="preserve">9. </t>
    </r>
    <r>
      <rPr>
        <sz val="10"/>
        <rFont val="宋体"/>
        <charset val="134"/>
      </rPr>
      <t>单</t>
    </r>
    <r>
      <rPr>
        <sz val="10"/>
        <rFont val="Times New Roman"/>
        <charset val="134"/>
      </rPr>
      <t xml:space="preserve">      </t>
    </r>
    <r>
      <rPr>
        <sz val="10"/>
        <rFont val="宋体"/>
        <charset val="134"/>
      </rPr>
      <t>位</t>
    </r>
  </si>
  <si>
    <t xml:space="preserve">    Marks and Nos.</t>
  </si>
  <si>
    <t xml:space="preserve">    Number and kind of packages, description of goods</t>
  </si>
  <si>
    <t xml:space="preserve">  Gross weight</t>
  </si>
  <si>
    <t xml:space="preserve">     measurement</t>
  </si>
  <si>
    <r>
      <rPr>
        <sz val="9"/>
        <rFont val="Times New Roman"/>
        <charset val="134"/>
      </rPr>
      <t xml:space="preserve">10. </t>
    </r>
    <r>
      <rPr>
        <sz val="9"/>
        <rFont val="宋体"/>
        <charset val="134"/>
      </rPr>
      <t>船长或其代理人签名、日期</t>
    </r>
  </si>
  <si>
    <t xml:space="preserve">       Date and signature by master, authorized agent or officer</t>
  </si>
  <si>
    <t>中华人民共和国海事局监制</t>
  </si>
  <si>
    <r>
      <rPr>
        <sz val="8"/>
        <rFont val="Times New Roman"/>
        <charset val="134"/>
      </rPr>
      <t>98</t>
    </r>
    <r>
      <rPr>
        <sz val="8"/>
        <rFont val="宋体"/>
        <charset val="134"/>
      </rPr>
      <t>版本</t>
    </r>
    <r>
      <rPr>
        <sz val="8"/>
        <rFont val="Times New Roman"/>
        <charset val="134"/>
      </rPr>
      <t xml:space="preserve">   </t>
    </r>
    <r>
      <rPr>
        <sz val="8"/>
        <rFont val="宋体"/>
        <charset val="134"/>
      </rPr>
      <t>仿造必究</t>
    </r>
  </si>
  <si>
    <r>
      <rPr>
        <sz val="12"/>
        <rFont val="Times New Roman"/>
        <charset val="134"/>
      </rPr>
      <t>1.</t>
    </r>
    <r>
      <rPr>
        <sz val="12"/>
        <rFont val="宋体"/>
        <charset val="134"/>
      </rPr>
      <t>船舶名称及种类</t>
    </r>
  </si>
  <si>
    <r>
      <rPr>
        <sz val="12"/>
        <rFont val="Times New Roman"/>
        <charset val="134"/>
      </rPr>
      <t>2.</t>
    </r>
    <r>
      <rPr>
        <sz val="12"/>
        <rFont val="宋体"/>
        <charset val="134"/>
      </rPr>
      <t>抵</t>
    </r>
    <r>
      <rPr>
        <sz val="12"/>
        <rFont val="Times New Roman"/>
        <charset val="134"/>
      </rPr>
      <t>/</t>
    </r>
    <r>
      <rPr>
        <sz val="12"/>
        <rFont val="宋体"/>
        <charset val="134"/>
      </rPr>
      <t>离港口</t>
    </r>
    <r>
      <rPr>
        <sz val="12"/>
        <rFont val="Times New Roman"/>
        <charset val="134"/>
      </rPr>
      <t xml:space="preserve">             </t>
    </r>
  </si>
  <si>
    <r>
      <rPr>
        <sz val="11"/>
        <rFont val="Times New Roman"/>
        <charset val="134"/>
      </rPr>
      <t>3.</t>
    </r>
    <r>
      <rPr>
        <sz val="11"/>
        <rFont val="宋体"/>
        <charset val="134"/>
      </rPr>
      <t>抵</t>
    </r>
    <r>
      <rPr>
        <sz val="11"/>
        <rFont val="Times New Roman"/>
        <charset val="134"/>
      </rPr>
      <t>/</t>
    </r>
    <r>
      <rPr>
        <sz val="11"/>
        <rFont val="宋体"/>
        <charset val="134"/>
      </rPr>
      <t>离日期及时间</t>
    </r>
    <r>
      <rPr>
        <sz val="11"/>
        <rFont val="Times New Roman"/>
        <charset val="134"/>
      </rPr>
      <t xml:space="preserve">    </t>
    </r>
  </si>
  <si>
    <r>
      <rPr>
        <sz val="12"/>
        <rFont val="Times New Roman"/>
        <charset val="134"/>
      </rPr>
      <t>4.</t>
    </r>
    <r>
      <rPr>
        <sz val="12"/>
        <rFont val="宋体"/>
        <charset val="134"/>
      </rPr>
      <t>船舶国籍</t>
    </r>
  </si>
  <si>
    <r>
      <rPr>
        <sz val="12"/>
        <rFont val="Times New Roman"/>
        <charset val="134"/>
      </rPr>
      <t>5.</t>
    </r>
    <r>
      <rPr>
        <sz val="12"/>
        <rFont val="宋体"/>
        <charset val="134"/>
      </rPr>
      <t>船长姓名</t>
    </r>
    <r>
      <rPr>
        <sz val="12"/>
        <rFont val="Times New Roman"/>
        <charset val="134"/>
      </rPr>
      <t xml:space="preserve">               </t>
    </r>
  </si>
  <si>
    <r>
      <rPr>
        <sz val="12"/>
        <rFont val="Times New Roman"/>
        <charset val="134"/>
      </rPr>
      <t>6.</t>
    </r>
    <r>
      <rPr>
        <sz val="12"/>
        <rFont val="宋体"/>
        <charset val="134"/>
      </rPr>
      <t>驶来港</t>
    </r>
    <r>
      <rPr>
        <sz val="12"/>
        <rFont val="Times New Roman"/>
        <charset val="134"/>
      </rPr>
      <t>/</t>
    </r>
    <r>
      <rPr>
        <sz val="12"/>
        <rFont val="宋体"/>
        <charset val="134"/>
      </rPr>
      <t>目的地</t>
    </r>
    <r>
      <rPr>
        <sz val="12"/>
        <rFont val="Times New Roman"/>
        <charset val="134"/>
      </rPr>
      <t xml:space="preserve">                                                           </t>
    </r>
  </si>
  <si>
    <t>示例国籍</t>
  </si>
  <si>
    <t>HONGKONG</t>
  </si>
  <si>
    <r>
      <rPr>
        <sz val="12"/>
        <rFont val="Times New Roman"/>
        <charset val="134"/>
      </rPr>
      <t>7.</t>
    </r>
    <r>
      <rPr>
        <sz val="12"/>
        <rFont val="宋体"/>
        <charset val="134"/>
      </rPr>
      <t>登记证书（港口、日期、号码）</t>
    </r>
  </si>
  <si>
    <r>
      <rPr>
        <sz val="12"/>
        <rFont val="Times New Roman"/>
        <charset val="134"/>
      </rPr>
      <t>8.</t>
    </r>
    <r>
      <rPr>
        <sz val="12"/>
        <rFont val="宋体"/>
        <charset val="134"/>
      </rPr>
      <t>船舶代理名称及地址</t>
    </r>
  </si>
  <si>
    <t xml:space="preserve"> Certificate of registry(port;date;number)</t>
  </si>
  <si>
    <r>
      <rPr>
        <sz val="12"/>
        <rFont val="Times New Roman"/>
        <charset val="134"/>
      </rPr>
      <t>9.</t>
    </r>
    <r>
      <rPr>
        <sz val="12"/>
        <rFont val="宋体"/>
        <charset val="134"/>
      </rPr>
      <t>总吨位</t>
    </r>
    <r>
      <rPr>
        <sz val="12"/>
        <rFont val="Times New Roman"/>
        <charset val="134"/>
      </rPr>
      <t xml:space="preserve">                         </t>
    </r>
  </si>
  <si>
    <r>
      <rPr>
        <sz val="12"/>
        <rFont val="Times New Roman"/>
        <charset val="134"/>
      </rPr>
      <t>10.</t>
    </r>
    <r>
      <rPr>
        <sz val="12"/>
        <rFont val="宋体"/>
        <charset val="134"/>
      </rPr>
      <t>净吨位</t>
    </r>
    <r>
      <rPr>
        <sz val="12"/>
        <rFont val="Times New Roman"/>
        <charset val="134"/>
      </rPr>
      <t xml:space="preserve"> </t>
    </r>
  </si>
  <si>
    <t>曾康达</t>
  </si>
  <si>
    <r>
      <rPr>
        <sz val="12"/>
        <rFont val="Times New Roman"/>
        <charset val="134"/>
      </rPr>
      <t>11.</t>
    </r>
    <r>
      <rPr>
        <sz val="12"/>
        <rFont val="宋体"/>
        <charset val="134"/>
      </rPr>
      <t>在港泊位</t>
    </r>
    <r>
      <rPr>
        <sz val="12"/>
        <rFont val="Times New Roman"/>
        <charset val="134"/>
      </rPr>
      <t xml:space="preserve">                                                                 </t>
    </r>
  </si>
  <si>
    <r>
      <rPr>
        <sz val="12"/>
        <rFont val="Times New Roman"/>
        <charset val="134"/>
      </rPr>
      <t>12.</t>
    </r>
    <r>
      <rPr>
        <sz val="12"/>
        <rFont val="宋体"/>
        <charset val="134"/>
      </rPr>
      <t>航次摘要</t>
    </r>
    <r>
      <rPr>
        <sz val="12"/>
        <rFont val="Times New Roman"/>
        <charset val="134"/>
      </rPr>
      <t>(</t>
    </r>
    <r>
      <rPr>
        <sz val="12"/>
        <rFont val="宋体"/>
        <charset val="134"/>
      </rPr>
      <t>先后挂靠港口、并在即将卸下留存货物的港名下划线标注）</t>
    </r>
  </si>
  <si>
    <t>出口柜：</t>
  </si>
  <si>
    <t>菲律宾11名</t>
  </si>
  <si>
    <t>V2CO6</t>
  </si>
  <si>
    <t>乌克兰2名</t>
  </si>
  <si>
    <t>俄罗斯4名</t>
  </si>
  <si>
    <t>德翔航运</t>
  </si>
  <si>
    <t>20024SI/20024S</t>
  </si>
  <si>
    <t>P</t>
  </si>
  <si>
    <t>IMO  CREW  LIST</t>
  </si>
  <si>
    <t xml:space="preserve"> Page No.</t>
  </si>
  <si>
    <t>1 of 1</t>
  </si>
  <si>
    <t xml:space="preserve"> 1.1  Name and type of ship</t>
  </si>
  <si>
    <t xml:space="preserve"> 2.   Port of arrival/departure</t>
  </si>
  <si>
    <t xml:space="preserve"> 3.  Date of arrival/departure</t>
  </si>
  <si>
    <t xml:space="preserve"> 1.2  IMO number</t>
  </si>
  <si>
    <t xml:space="preserve"> 1.3  Call sign</t>
  </si>
  <si>
    <t xml:space="preserve"> 4.  Flag state of ship</t>
  </si>
  <si>
    <t xml:space="preserve"> 5.   Last port of call</t>
  </si>
  <si>
    <t xml:space="preserve"> 11.1 Nature and No. of identity docment (seamen's passport)</t>
  </si>
  <si>
    <t xml:space="preserve"> 6. No</t>
  </si>
  <si>
    <t xml:space="preserve"> 7.1  Family name, given names</t>
  </si>
  <si>
    <t>7.2  M/F</t>
  </si>
  <si>
    <t xml:space="preserve"> 8. Rank or rating</t>
  </si>
  <si>
    <t xml:space="preserve"> 9.  Nationality</t>
  </si>
  <si>
    <t xml:space="preserve"> 10.  Date and place of birth</t>
  </si>
  <si>
    <t>IMO  Convention  of  Facilitation  of  International  Maritime  Traffic</t>
  </si>
  <si>
    <t>涂潜</t>
  </si>
  <si>
    <t>M</t>
  </si>
  <si>
    <t>Master</t>
  </si>
  <si>
    <t>Montenegro</t>
  </si>
  <si>
    <t>TEST0001</t>
  </si>
  <si>
    <t>名单版本是正确的</t>
  </si>
  <si>
    <t>FERNANDEZ REYNALDO JR</t>
  </si>
  <si>
    <t>Chief Officer</t>
  </si>
  <si>
    <t>Ukraine</t>
  </si>
  <si>
    <t>S</t>
  </si>
  <si>
    <t>TEST0002</t>
  </si>
  <si>
    <t>Second Officer</t>
  </si>
  <si>
    <t>Filipino</t>
  </si>
  <si>
    <t>TEST0003</t>
  </si>
  <si>
    <t>赵六</t>
  </si>
  <si>
    <t>Third Officer</t>
  </si>
  <si>
    <t>TEST0004</t>
  </si>
  <si>
    <t>钱七</t>
  </si>
  <si>
    <t>Chief Engineer</t>
  </si>
  <si>
    <t>TEST0005</t>
  </si>
  <si>
    <t>孙八</t>
  </si>
  <si>
    <t>Second Engineer</t>
  </si>
  <si>
    <t>TEST0006</t>
  </si>
  <si>
    <t>周九</t>
  </si>
  <si>
    <t>Junior Engineer</t>
  </si>
  <si>
    <t>TEST0007</t>
  </si>
  <si>
    <t>吴十</t>
  </si>
  <si>
    <t xml:space="preserve"> Junior Electrician</t>
  </si>
  <si>
    <t>TEST0008</t>
  </si>
  <si>
    <t>郑一</t>
  </si>
  <si>
    <t>Bosun</t>
  </si>
  <si>
    <t>TEST0009</t>
  </si>
  <si>
    <t>王一</t>
  </si>
  <si>
    <t>Able Seaman</t>
  </si>
  <si>
    <t>TEST0010</t>
  </si>
  <si>
    <t>李一</t>
  </si>
  <si>
    <t>TEST0011</t>
  </si>
  <si>
    <t>赵一</t>
  </si>
  <si>
    <t>TEST0012</t>
  </si>
  <si>
    <t>陈一</t>
  </si>
  <si>
    <t>Ordinary Seaman</t>
  </si>
  <si>
    <t>TEST0013</t>
  </si>
  <si>
    <t>刘一</t>
  </si>
  <si>
    <t>TEST0014</t>
  </si>
  <si>
    <t>杨一</t>
  </si>
  <si>
    <t>Fitter</t>
  </si>
  <si>
    <t>TEST0015</t>
  </si>
  <si>
    <t>黄一</t>
  </si>
  <si>
    <t>Oiler</t>
  </si>
  <si>
    <t>TEST0016</t>
  </si>
  <si>
    <t>周一</t>
  </si>
  <si>
    <t>Wiper</t>
  </si>
  <si>
    <t>TEST0017</t>
  </si>
  <si>
    <t>吴一</t>
  </si>
  <si>
    <t>TEST0018</t>
  </si>
  <si>
    <t>徐一</t>
  </si>
  <si>
    <t>Chief Cook</t>
  </si>
  <si>
    <t>TEST0019</t>
  </si>
  <si>
    <t>孙一</t>
  </si>
  <si>
    <t>Messboy</t>
  </si>
  <si>
    <t>TEST0020</t>
  </si>
  <si>
    <t>12. Date and signature by master, authorized by agent or officer</t>
  </si>
  <si>
    <t>Signed</t>
  </si>
  <si>
    <t>Date</t>
  </si>
  <si>
    <t>IMO FAL</t>
  </si>
  <si>
    <t>Form 5</t>
  </si>
  <si>
    <t>C97</t>
  </si>
  <si>
    <t>证件号码</t>
  </si>
  <si>
    <t>证件类别</t>
  </si>
  <si>
    <t>国籍地区</t>
  </si>
  <si>
    <t>姓名</t>
  </si>
  <si>
    <t>性别</t>
  </si>
  <si>
    <t>出生日期</t>
  </si>
  <si>
    <t>职务</t>
  </si>
  <si>
    <t>签证种类</t>
  </si>
  <si>
    <t>有效期</t>
  </si>
  <si>
    <t>入出境事由</t>
  </si>
  <si>
    <t>人员类别</t>
  </si>
  <si>
    <t>印度</t>
  </si>
  <si>
    <t>船长</t>
  </si>
  <si>
    <t>菲律宾</t>
  </si>
  <si>
    <t xml:space="preserve">大副 </t>
  </si>
  <si>
    <t>缅甸</t>
  </si>
  <si>
    <t xml:space="preserve">二副 </t>
  </si>
  <si>
    <t>三副</t>
  </si>
  <si>
    <t>甲板实习生</t>
  </si>
  <si>
    <t xml:space="preserve"> 轮机长</t>
  </si>
  <si>
    <t>中国</t>
  </si>
  <si>
    <t xml:space="preserve">大管轮 </t>
  </si>
  <si>
    <t>乌克兰</t>
  </si>
  <si>
    <t>二管轮</t>
  </si>
  <si>
    <t>巴基斯坦</t>
  </si>
  <si>
    <t xml:space="preserve">三管轮 </t>
  </si>
  <si>
    <t>电工</t>
  </si>
  <si>
    <t>孟加拉国</t>
  </si>
  <si>
    <t>铜匠</t>
  </si>
  <si>
    <t>斯里兰卡</t>
  </si>
  <si>
    <t>水手长</t>
  </si>
  <si>
    <t>一水</t>
  </si>
  <si>
    <t>二水</t>
  </si>
  <si>
    <t>加油</t>
  </si>
  <si>
    <t>抹油</t>
  </si>
  <si>
    <r>
      <rPr>
        <b/>
        <sz val="18"/>
        <rFont val="宋体"/>
        <charset val="134"/>
      </rPr>
      <t>船</t>
    </r>
    <r>
      <rPr>
        <b/>
        <sz val="18"/>
        <rFont val="Times New Roman"/>
        <charset val="134"/>
      </rPr>
      <t xml:space="preserve">  </t>
    </r>
    <r>
      <rPr>
        <b/>
        <sz val="18"/>
        <rFont val="宋体"/>
        <charset val="134"/>
      </rPr>
      <t>员</t>
    </r>
    <r>
      <rPr>
        <b/>
        <sz val="18"/>
        <rFont val="Times New Roman"/>
        <charset val="134"/>
      </rPr>
      <t xml:space="preserve">  </t>
    </r>
    <r>
      <rPr>
        <b/>
        <sz val="18"/>
        <rFont val="宋体"/>
        <charset val="134"/>
      </rPr>
      <t>更</t>
    </r>
    <r>
      <rPr>
        <b/>
        <sz val="18"/>
        <rFont val="Times New Roman"/>
        <charset val="134"/>
      </rPr>
      <t xml:space="preserve">  </t>
    </r>
    <r>
      <rPr>
        <b/>
        <sz val="18"/>
        <rFont val="宋体"/>
        <charset val="134"/>
      </rPr>
      <t>动</t>
    </r>
    <r>
      <rPr>
        <b/>
        <sz val="18"/>
        <rFont val="Times New Roman"/>
        <charset val="134"/>
      </rPr>
      <t xml:space="preserve">  </t>
    </r>
    <r>
      <rPr>
        <b/>
        <sz val="18"/>
        <rFont val="宋体"/>
        <charset val="134"/>
      </rPr>
      <t>报</t>
    </r>
    <r>
      <rPr>
        <b/>
        <sz val="18"/>
        <rFont val="Times New Roman"/>
        <charset val="134"/>
      </rPr>
      <t xml:space="preserve">  </t>
    </r>
    <r>
      <rPr>
        <b/>
        <sz val="18"/>
        <rFont val="宋体"/>
        <charset val="134"/>
      </rPr>
      <t>告</t>
    </r>
    <r>
      <rPr>
        <b/>
        <sz val="18"/>
        <rFont val="Times New Roman"/>
        <charset val="134"/>
      </rPr>
      <t xml:space="preserve">  </t>
    </r>
    <r>
      <rPr>
        <b/>
        <sz val="18"/>
        <rFont val="宋体"/>
        <charset val="134"/>
      </rPr>
      <t>单</t>
    </r>
  </si>
  <si>
    <t>REPORT  OF  CREW  REPLACEMENT</t>
  </si>
  <si>
    <r>
      <rPr>
        <sz val="14"/>
        <rFont val="宋体"/>
        <charset val="134"/>
      </rPr>
      <t>船</t>
    </r>
    <r>
      <rPr>
        <sz val="14"/>
        <rFont val="Times New Roman"/>
        <charset val="134"/>
      </rPr>
      <t xml:space="preserve">      </t>
    </r>
    <r>
      <rPr>
        <sz val="14"/>
        <rFont val="宋体"/>
        <charset val="134"/>
      </rPr>
      <t>名</t>
    </r>
  </si>
  <si>
    <r>
      <rPr>
        <sz val="14"/>
        <rFont val="宋体"/>
        <charset val="134"/>
      </rPr>
      <t>国</t>
    </r>
    <r>
      <rPr>
        <sz val="14"/>
        <rFont val="Times New Roman"/>
        <charset val="134"/>
      </rPr>
      <t xml:space="preserve">        </t>
    </r>
    <r>
      <rPr>
        <sz val="14"/>
        <rFont val="宋体"/>
        <charset val="134"/>
      </rPr>
      <t>籍</t>
    </r>
  </si>
  <si>
    <t>M.V.</t>
  </si>
  <si>
    <t>Nationality</t>
  </si>
  <si>
    <r>
      <rPr>
        <sz val="11"/>
        <rFont val="宋体"/>
        <charset val="134"/>
      </rPr>
      <t>姓</t>
    </r>
    <r>
      <rPr>
        <sz val="11"/>
        <rFont val="Times New Roman"/>
        <charset val="134"/>
      </rPr>
      <t xml:space="preserve">       </t>
    </r>
    <r>
      <rPr>
        <sz val="11"/>
        <rFont val="宋体"/>
        <charset val="134"/>
      </rPr>
      <t>名</t>
    </r>
  </si>
  <si>
    <r>
      <rPr>
        <sz val="11"/>
        <rFont val="宋体"/>
        <charset val="134"/>
      </rPr>
      <t>国</t>
    </r>
    <r>
      <rPr>
        <sz val="11"/>
        <rFont val="Times New Roman"/>
        <charset val="134"/>
      </rPr>
      <t xml:space="preserve">       </t>
    </r>
    <r>
      <rPr>
        <sz val="11"/>
        <rFont val="宋体"/>
        <charset val="134"/>
      </rPr>
      <t>籍</t>
    </r>
  </si>
  <si>
    <r>
      <rPr>
        <sz val="11"/>
        <rFont val="宋体"/>
        <charset val="134"/>
      </rPr>
      <t>职别</t>
    </r>
  </si>
  <si>
    <t>护照/海员证字号</t>
  </si>
  <si>
    <r>
      <rPr>
        <sz val="11"/>
        <rFont val="宋体"/>
        <charset val="134"/>
      </rPr>
      <t>更动原因</t>
    </r>
  </si>
  <si>
    <t>Name of  Replacement</t>
  </si>
  <si>
    <t>Date of Birth</t>
  </si>
  <si>
    <t>Rank</t>
  </si>
  <si>
    <t>Passport Number/
Seaman's Number</t>
  </si>
  <si>
    <t>Reason of Replacement</t>
  </si>
  <si>
    <t>MARIGON JUNE AGREDA</t>
  </si>
  <si>
    <t>轮机长</t>
  </si>
  <si>
    <r>
      <rPr>
        <b/>
        <sz val="10"/>
        <rFont val="宋体"/>
        <charset val="134"/>
      </rPr>
      <t>护照</t>
    </r>
    <r>
      <rPr>
        <b/>
        <sz val="10"/>
        <rFont val="Times New Roman"/>
        <charset val="134"/>
      </rPr>
      <t>/TEST0001</t>
    </r>
  </si>
  <si>
    <t>离船</t>
  </si>
  <si>
    <r>
      <rPr>
        <sz val="12"/>
        <color indexed="8"/>
        <rFont val="宋体"/>
        <charset val="134"/>
      </rPr>
      <t>船</t>
    </r>
    <r>
      <rPr>
        <sz val="12"/>
        <color indexed="8"/>
        <rFont val="Times New Roman"/>
        <charset val="134"/>
      </rPr>
      <t xml:space="preserve"> </t>
    </r>
    <r>
      <rPr>
        <sz val="12"/>
        <color indexed="8"/>
        <rFont val="宋体"/>
        <charset val="134"/>
      </rPr>
      <t>长</t>
    </r>
    <r>
      <rPr>
        <sz val="12"/>
        <color indexed="8"/>
        <rFont val="Times New Roman"/>
        <charset val="134"/>
      </rPr>
      <t xml:space="preserve"> </t>
    </r>
    <r>
      <rPr>
        <sz val="12"/>
        <color indexed="8"/>
        <rFont val="宋体"/>
        <charset val="134"/>
      </rPr>
      <t>签</t>
    </r>
    <r>
      <rPr>
        <sz val="12"/>
        <color indexed="8"/>
        <rFont val="Times New Roman"/>
        <charset val="134"/>
      </rPr>
      <t xml:space="preserve"> </t>
    </r>
    <r>
      <rPr>
        <sz val="12"/>
        <color indexed="8"/>
        <rFont val="宋体"/>
        <charset val="134"/>
      </rPr>
      <t>名</t>
    </r>
  </si>
  <si>
    <t>Signature of Master:</t>
  </si>
  <si>
    <t>Example Shipping Agency Co., Ltd.</t>
  </si>
  <si>
    <r>
      <rPr>
        <sz val="14"/>
        <color indexed="8"/>
        <rFont val="宋体"/>
        <charset val="134"/>
      </rPr>
      <t>日</t>
    </r>
    <r>
      <rPr>
        <sz val="14"/>
        <rFont val="Times New Roman"/>
        <charset val="134"/>
      </rPr>
      <t xml:space="preserve">  </t>
    </r>
    <r>
      <rPr>
        <sz val="14"/>
        <color indexed="8"/>
        <rFont val="宋体"/>
        <charset val="134"/>
      </rPr>
      <t>期</t>
    </r>
  </si>
  <si>
    <t>Date:</t>
  </si>
  <si>
    <t>12.BODY
TEMPERATURE</t>
  </si>
  <si>
    <t>于洪涛</t>
  </si>
  <si>
    <t>李四</t>
  </si>
  <si>
    <t>TEST0008</t>
  </si>
  <si>
    <t>王五</t>
  </si>
  <si>
    <t>DIACHENKO VASYL</t>
  </si>
  <si>
    <t>TEST0009</t>
  </si>
  <si>
    <t>TEST0010</t>
  </si>
  <si>
    <t>王五</t>
  </si>
  <si>
    <t>F</t>
  </si>
  <si>
    <t>SUPERNUMERARY</t>
  </si>
  <si>
    <t>FILIPINO</t>
  </si>
  <si>
    <t>SAN MIGUEL BULACAN</t>
  </si>
  <si>
    <t>TEST0011</t>
  </si>
  <si>
    <t>交通运营单位：示例船务代理有限公司</t>
  </si>
  <si>
    <t xml:space="preserve">移交时间：                        </t>
  </si>
  <si>
    <t xml:space="preserve">移交人：                          </t>
  </si>
  <si>
    <t>检验检疫机构：南沙海关</t>
  </si>
  <si>
    <t xml:space="preserve">移交时间：                   </t>
  </si>
  <si>
    <t xml:space="preserve">移交人：                     </t>
  </si>
  <si>
    <t>APPLICATION FOR LANDING PERMIT</t>
  </si>
  <si>
    <t>TO:</t>
  </si>
  <si>
    <t>NANSHA</t>
  </si>
  <si>
    <t>Immigration Inspection Station</t>
  </si>
  <si>
    <t>There are</t>
  </si>
  <si>
    <t>crew members on board my ship in this</t>
  </si>
  <si>
    <t>voyage. Among them</t>
  </si>
  <si>
    <t>persons request to apply for landing</t>
  </si>
  <si>
    <t xml:space="preserve">permit. </t>
  </si>
  <si>
    <t>Ship's  Name</t>
  </si>
  <si>
    <t>Captain's  Signature</t>
  </si>
  <si>
    <r>
      <rPr>
        <b/>
        <sz val="10"/>
        <rFont val="Times New Roman"/>
        <charset val="134"/>
      </rPr>
      <t xml:space="preserve">ENTRY-EXIT INSPECTION AND QUARANTINE OF THE PEOPLES REPUBLIC OF CHINA
</t>
    </r>
    <r>
      <rPr>
        <b/>
        <sz val="18"/>
        <rFont val="Times New Roman"/>
        <charset val="134"/>
      </rPr>
      <t>MERITIME DECLARATION OF HEALTH</t>
    </r>
    <r>
      <rPr>
        <b/>
        <sz val="10"/>
        <rFont val="Times New Roman"/>
        <charset val="134"/>
      </rPr>
      <t xml:space="preserve">
To be completed and submitted to the competent authorities of Inspection
and Quarantine by the master of  Entry-exit ships</t>
    </r>
  </si>
  <si>
    <t xml:space="preserve">Submitted at the port of </t>
  </si>
  <si>
    <t>Name of ship or inland navigation vessel</t>
  </si>
  <si>
    <t>IMO No</t>
  </si>
  <si>
    <t>Master's name</t>
  </si>
  <si>
    <t>Entry ship:arriving from</t>
  </si>
  <si>
    <t>Arrival date and time:</t>
  </si>
  <si>
    <t>Exit ship:sailing to</t>
  </si>
  <si>
    <t>Departure date and time:</t>
  </si>
  <si>
    <t>Gross tonnage(ship)</t>
  </si>
  <si>
    <t>Is there ballasting water on board? Yes</t>
  </si>
  <si>
    <t>Any radioactive cargo on board? Yes</t>
  </si>
  <si>
    <t>√</t>
  </si>
  <si>
    <t>No</t>
  </si>
  <si>
    <t>food and drinking water loading ports?</t>
  </si>
  <si>
    <t>SINGAPORE</t>
  </si>
  <si>
    <t>Valid Sanitation Control Exemption/Control Certificate carried on board? Yes</t>
  </si>
  <si>
    <t>Issued at</t>
  </si>
  <si>
    <t>date</t>
  </si>
  <si>
    <t>Has ship/vessel visited an affected area identified by the World Health Organization? Yes</t>
  </si>
  <si>
    <t>If yes, Port and date of visit</t>
  </si>
  <si>
    <t>List ports of call from commencement of voyage with dates of departure,or within past four weeks,whichever is shorter:</t>
  </si>
  <si>
    <t>As Per ATTACHED PORT OF CALL ATTACHED</t>
  </si>
  <si>
    <t>Upon request of the competent authority at the port of arrival,list crew members,passengers or other persons who have joined ship/ves</t>
  </si>
  <si>
    <t>sel since international voyage began or within past four weeks,whichever is shorter,including all port/countries visited in this period</t>
  </si>
  <si>
    <t>(add additional names to the attached schedule):</t>
  </si>
  <si>
    <t>(1)</t>
  </si>
  <si>
    <t>Name</t>
  </si>
  <si>
    <t>NIL</t>
  </si>
  <si>
    <r>
      <rPr>
        <sz val="9"/>
        <rFont val="Times New Roman"/>
        <charset val="134"/>
      </rPr>
      <t>joined from:</t>
    </r>
    <r>
      <rPr>
        <sz val="9"/>
        <rFont val="宋体"/>
        <charset val="134"/>
      </rPr>
      <t>①</t>
    </r>
  </si>
  <si>
    <t>②</t>
  </si>
  <si>
    <t>③</t>
  </si>
  <si>
    <t>(2)</t>
  </si>
  <si>
    <t>(3)</t>
  </si>
  <si>
    <t>Number of crew members on board</t>
  </si>
  <si>
    <t>Number of passengers on board</t>
  </si>
  <si>
    <t>Health questions</t>
  </si>
  <si>
    <t>Has any person died on board during the voyage otherwise than as a result of accident?</t>
  </si>
  <si>
    <t>Yes</t>
  </si>
  <si>
    <t>If yes,state particulars in attached schedule. Total No. of deaths</t>
  </si>
  <si>
    <t>.</t>
  </si>
  <si>
    <t>Is there on board or has there been during the international voyage any case of disease</t>
  </si>
  <si>
    <t>which you suspect to be of an infectious nature?</t>
  </si>
  <si>
    <t xml:space="preserve">If yes,state particulars in attached schedule. </t>
  </si>
  <si>
    <t>Has the total number of ill passengers during the voyage been greater than normal/expected?</t>
  </si>
  <si>
    <t>How many ill persons?</t>
  </si>
  <si>
    <t>person(s)</t>
  </si>
  <si>
    <t>(4)</t>
  </si>
  <si>
    <t>Is there any ill person on board now?</t>
  </si>
  <si>
    <t>(5)</t>
  </si>
  <si>
    <t>Was a medical practitioner consulted?</t>
  </si>
  <si>
    <t>(6)</t>
  </si>
  <si>
    <t xml:space="preserve">If yes,state particulars of medical treatment or advice provided in attached schedule. </t>
  </si>
  <si>
    <t>Are you aware of any vondition on board which may lead to infection or spread of disease?</t>
  </si>
  <si>
    <t>(7)</t>
  </si>
  <si>
    <t>Has any sanitary measure(e.g. quarantine,isolation,disinfection or decontamination) been applied on board?</t>
  </si>
  <si>
    <t>If yes,specify type,place and date</t>
  </si>
  <si>
    <t>(8)</t>
  </si>
  <si>
    <t>Have any stowaways been found on board?</t>
  </si>
  <si>
    <t>If yes,where did they join the ship(if known)?</t>
  </si>
  <si>
    <t>(9)</t>
  </si>
  <si>
    <t>Is there a sick animal or pet on board?</t>
  </si>
  <si>
    <t>(10)</t>
  </si>
  <si>
    <t>Have the crew and passengers had any the certificate of vaccination?</t>
  </si>
  <si>
    <t>If have,how many?</t>
  </si>
  <si>
    <t>(11)</t>
  </si>
  <si>
    <t>Have the crew and passengers had any the certificate of health examination for international traveler?</t>
  </si>
  <si>
    <t>Note: In the absence of a surgeon,the master should regard the following symptoms as grounds for suspecting the existence of a disease of an infectious nature:</t>
  </si>
  <si>
    <t>(a)fever,persisting for several days or accompanied by(i) prostration; (ii) decreased consciousness;(iii)glandular swelling; (iv) jaundice;</t>
  </si>
  <si>
    <t>(v) cough or shortness of breath; (vi) unusual bleeding; (vii) paralysis.</t>
  </si>
  <si>
    <t>(b)with or without fever: (i) any acute skin rash or eruption; (ii) severe vomiting (other than sea sickness); (iii) severe diarrhoea; or (iv) re-</t>
  </si>
  <si>
    <t xml:space="preserve">    current convulsions.</t>
  </si>
  <si>
    <t>I hereby declare that the particulars and answers to the questions given in this Declaration of Health (including the schedule) are true</t>
  </si>
  <si>
    <t>and correct to the best of my knowledge and belief.</t>
  </si>
  <si>
    <t>Signature of Captain</t>
  </si>
  <si>
    <t>Countersignature of Ship's surgeon (if carried)</t>
  </si>
  <si>
    <t>[1-4E(2008.1.1)*1]</t>
  </si>
  <si>
    <t>上海首领</t>
  </si>
  <si>
    <t>利比里亚</t>
  </si>
  <si>
    <t>集装箱轮</t>
  </si>
  <si>
    <t>LIBERIA</t>
  </si>
  <si>
    <t>Container</t>
  </si>
  <si>
    <t>IMO:1234567</t>
  </si>
  <si>
    <t>10086/782</t>
  </si>
  <si>
    <t>5LKM2</t>
  </si>
  <si>
    <t>740 KW</t>
  </si>
  <si>
    <t>TS LINE</t>
  </si>
  <si>
    <t>N/A</t>
  </si>
  <si>
    <t>SSCEC</t>
  </si>
  <si>
    <t>PORT KLANG</t>
  </si>
  <si>
    <t>YES</t>
  </si>
  <si>
    <t>Cotonou</t>
  </si>
  <si>
    <t>NO</t>
  </si>
  <si>
    <t>中  华  人  民  共  和  国  出  入  境  检  验  检  疫</t>
  </si>
  <si>
    <t>ENTRY-EXIT  INSPECTION  AND  QUARANTINE  OF  THE PEOPLE'S  REPUBLIC  OF  CHINA</t>
  </si>
  <si>
    <t>压  舱  水  申  报  单</t>
  </si>
  <si>
    <t>BALLAST    WATER    REPORTING    FORM</t>
  </si>
  <si>
    <t>船名</t>
  </si>
  <si>
    <t>国籍</t>
  </si>
  <si>
    <t>到达港口</t>
  </si>
  <si>
    <t>到达日期</t>
  </si>
  <si>
    <t>Name of Ship</t>
  </si>
  <si>
    <t>Arrival Port</t>
  </si>
  <si>
    <t>Arrival Date</t>
  </si>
  <si>
    <t>船舶所有人</t>
  </si>
  <si>
    <t>船舶代理人</t>
  </si>
  <si>
    <t>压舱水总量（吨）</t>
  </si>
  <si>
    <t>压舱水池总数</t>
  </si>
  <si>
    <t>Manager</t>
  </si>
  <si>
    <t>Agent</t>
  </si>
  <si>
    <t>Total Ballast on Board (tonnes)</t>
  </si>
  <si>
    <t>Total Number of Ballast Tanks</t>
  </si>
  <si>
    <t>是否需要在中国某一港口排放压舱水？</t>
  </si>
  <si>
    <t>是 Yes</t>
  </si>
  <si>
    <t>Do you intend discharging any ballast water in a Chinese port?</t>
  </si>
  <si>
    <t>否 No</t>
  </si>
  <si>
    <t>压舱水箱/舱
Ballast Tanks/
Holds</t>
  </si>
  <si>
    <t>压舱水来源
BW Source</t>
  </si>
  <si>
    <t>压舱水更换(最近三次) BW Exchange (Last Three Exchange) 使用方法 Method used：清空 Empty / 灌注 Refill □ / 灌流 Flow Through □</t>
  </si>
  <si>
    <t>预计在中国港口排放压舱水情况
Best Estimate of BW Discharge in Chinese Ports</t>
  </si>
  <si>
    <t>装载日期
Date of Uptake</t>
  </si>
  <si>
    <t>装载地点
Location of Uptake</t>
  </si>
  <si>
    <t>装载量(吨)
Vol.taken Up(tons)</t>
  </si>
  <si>
    <t>更换日期
Date of Exchange</t>
  </si>
  <si>
    <t>起始点
Start Point</t>
  </si>
  <si>
    <t>终止点
End Point</t>
  </si>
  <si>
    <t>更换量(吨)
Vol.Exchange (tons)</t>
  </si>
  <si>
    <t>更换百分比(%)
Exch. Percent</t>
  </si>
  <si>
    <t>排放港口
Ports</t>
  </si>
  <si>
    <t>排放日期
Date</t>
  </si>
  <si>
    <t>排放量
Vol. (tons)</t>
  </si>
  <si>
    <t>经度
LAT</t>
  </si>
  <si>
    <t>纬度
LONG</t>
  </si>
  <si>
    <t>船长签名</t>
  </si>
  <si>
    <t>日期</t>
  </si>
  <si>
    <t>Signature of Master</t>
  </si>
  <si>
    <t>出/入境船舶检验检疫记录单</t>
  </si>
  <si>
    <t>报检编号：</t>
  </si>
  <si>
    <t>检疫地点：</t>
  </si>
  <si>
    <t>类别</t>
  </si>
  <si>
    <t xml:space="preserve"> 客轮</t>
  </si>
  <si>
    <t xml:space="preserve"> 货轮</t>
  </si>
  <si>
    <t xml:space="preserve"> 其他</t>
  </si>
  <si>
    <t>旅客人数</t>
  </si>
  <si>
    <t>总吨</t>
  </si>
  <si>
    <t>净吨</t>
  </si>
  <si>
    <t>启运/目的港</t>
  </si>
  <si>
    <t>启运/抵港日期</t>
  </si>
  <si>
    <t>停靠港</t>
  </si>
  <si>
    <t>载货种类</t>
  </si>
  <si>
    <t>集装箱</t>
  </si>
  <si>
    <t>总数/重量</t>
  </si>
  <si>
    <t>装柜</t>
  </si>
  <si>
    <t>40'重:</t>
  </si>
  <si>
    <t>20'重:</t>
  </si>
  <si>
    <t>40'吉:</t>
  </si>
  <si>
    <t>20'吉:</t>
  </si>
  <si>
    <t>卸柜</t>
  </si>
  <si>
    <t>货物是否已作熏蒸处理</t>
  </si>
  <si>
    <t>是</t>
  </si>
  <si>
    <t>否</t>
  </si>
  <si>
    <t>是否有植物性包装材料</t>
  </si>
  <si>
    <t>自</t>
  </si>
  <si>
    <t>至</t>
  </si>
  <si>
    <t>装载货物名称</t>
  </si>
  <si>
    <t>途经疫区类别</t>
  </si>
  <si>
    <t>鼠  疫</t>
  </si>
  <si>
    <t>霍  乱</t>
  </si>
  <si>
    <t xml:space="preserve">  黄  热  病</t>
  </si>
  <si>
    <t xml:space="preserve"> 非  洲  猪  瘟</t>
  </si>
  <si>
    <t>口蹄疫</t>
  </si>
  <si>
    <t>疯牛病</t>
  </si>
  <si>
    <t xml:space="preserve">  其他动植物病虫害疫区</t>
  </si>
  <si>
    <t xml:space="preserve"> 其他烈性传染病</t>
  </si>
  <si>
    <t>船员/旅客健康情况</t>
  </si>
  <si>
    <t>船员/旅客因病变动情况</t>
  </si>
  <si>
    <t>无</t>
  </si>
  <si>
    <t>压舱水情况</t>
  </si>
  <si>
    <t>有</t>
  </si>
  <si>
    <t>是否在本港排放</t>
  </si>
  <si>
    <t>食品装载港</t>
  </si>
  <si>
    <t>饮用水装载港</t>
  </si>
  <si>
    <t xml:space="preserve">    良  好</t>
  </si>
  <si>
    <t xml:space="preserve">    一  般</t>
  </si>
  <si>
    <t xml:space="preserve">        差</t>
  </si>
  <si>
    <t xml:space="preserve">    其  他</t>
  </si>
  <si>
    <t xml:space="preserve"> 伴侣动物和/或鸟类</t>
  </si>
  <si>
    <t xml:space="preserve">  有</t>
  </si>
  <si>
    <t>来自</t>
  </si>
  <si>
    <t xml:space="preserve"> 否</t>
  </si>
  <si>
    <t xml:space="preserve"> 水果和/或蔬菜</t>
  </si>
  <si>
    <t xml:space="preserve"> 花卉盆景</t>
  </si>
  <si>
    <t xml:space="preserve"> 肉类、香肠、熏肉/家禽产品 </t>
  </si>
  <si>
    <t xml:space="preserve"> 其他类</t>
  </si>
  <si>
    <t xml:space="preserve"> 船舶卫生证书情况</t>
  </si>
  <si>
    <t>有效</t>
  </si>
  <si>
    <t>过期</t>
  </si>
  <si>
    <t>签发港及日期</t>
  </si>
  <si>
    <t>20  年  月  日</t>
  </si>
  <si>
    <t xml:space="preserve"> 健康证书及预防接种情况</t>
  </si>
  <si>
    <t xml:space="preserve"> 免予/卫生控制措施证书</t>
  </si>
  <si>
    <t xml:space="preserve"> 检疫情况及处理措施：</t>
  </si>
  <si>
    <t xml:space="preserve"> 检疫人员：</t>
  </si>
  <si>
    <t>登轮时间：</t>
  </si>
  <si>
    <t>年</t>
  </si>
  <si>
    <t>月</t>
  </si>
  <si>
    <t>日</t>
  </si>
  <si>
    <t>时</t>
  </si>
  <si>
    <t>分</t>
  </si>
  <si>
    <t xml:space="preserve"> 审    核：</t>
  </si>
  <si>
    <t>签证时间：</t>
  </si>
  <si>
    <t>7532 吨</t>
  </si>
  <si>
    <t>良好</t>
  </si>
  <si>
    <t>船舶卫生状况</t>
  </si>
  <si>
    <t xml:space="preserve">            交通运输工具入境检疫签证申请单</t>
  </si>
  <si>
    <t>APPLICATION FORM OF QUARANTINE INSPECTION ON</t>
  </si>
  <si>
    <t>IMPORT OF CONVEYANCE</t>
  </si>
  <si>
    <t>编号：</t>
  </si>
  <si>
    <t>中华人民共和国南沙出入境检验检疫局：</t>
  </si>
  <si>
    <t>NANSHA Entry-Exit inspection and Quarantine Bureau of the People’s Republic of China:</t>
  </si>
  <si>
    <r>
      <rPr>
        <sz val="12"/>
        <color indexed="8"/>
        <rFont val="宋体"/>
        <charset val="134"/>
      </rPr>
      <t>现向贵局申请本交通工具入境检疫</t>
    </r>
    <r>
      <rPr>
        <sz val="12"/>
        <color indexed="8"/>
        <rFont val="Times New Roman"/>
        <charset val="134"/>
      </rPr>
      <t>,</t>
    </r>
    <r>
      <rPr>
        <sz val="12"/>
        <color indexed="8"/>
        <rFont val="宋体"/>
        <charset val="134"/>
      </rPr>
      <t>并根据检查结果发给入境检疫证。</t>
    </r>
  </si>
  <si>
    <t>I hereby apply for a quarantine inspection of import on my conveyance and issue a quarantine</t>
  </si>
  <si>
    <t>certificate for import of conveyance on the basis of the inspection results.</t>
  </si>
  <si>
    <t>交通工具名称及号码</t>
  </si>
  <si>
    <t>Name &amp; No. of Conveyance</t>
  </si>
  <si>
    <r>
      <rPr>
        <b/>
        <sz val="10.5"/>
        <color indexed="8"/>
        <rFont val="宋体"/>
        <charset val="134"/>
      </rPr>
      <t>登记号</t>
    </r>
    <r>
      <rPr>
        <b/>
        <sz val="10.5"/>
        <color indexed="8"/>
        <rFont val="Times New Roman"/>
        <charset val="134"/>
      </rPr>
      <t>/IMO</t>
    </r>
    <r>
      <rPr>
        <b/>
        <sz val="10.5"/>
        <color indexed="8"/>
        <rFont val="宋体"/>
        <charset val="134"/>
      </rPr>
      <t>编号</t>
    </r>
  </si>
  <si>
    <t>所有人</t>
  </si>
  <si>
    <t>示例船公司中国航运</t>
  </si>
  <si>
    <t>Registration/IMO No.</t>
  </si>
  <si>
    <t>Owner of Conveyance</t>
  </si>
  <si>
    <t>MSK</t>
  </si>
  <si>
    <r>
      <rPr>
        <b/>
        <sz val="10.5"/>
        <color indexed="8"/>
        <rFont val="宋体"/>
        <charset val="134"/>
      </rPr>
      <t>启运港</t>
    </r>
    <r>
      <rPr>
        <b/>
        <sz val="10.5"/>
        <color indexed="8"/>
        <rFont val="Times New Roman"/>
        <charset val="134"/>
      </rPr>
      <t>/</t>
    </r>
    <r>
      <rPr>
        <b/>
        <sz val="10.5"/>
        <color indexed="8"/>
        <rFont val="宋体"/>
        <charset val="134"/>
      </rPr>
      <t>站</t>
    </r>
  </si>
  <si>
    <r>
      <rPr>
        <b/>
        <sz val="10.5"/>
        <color indexed="8"/>
        <rFont val="宋体"/>
        <charset val="134"/>
      </rPr>
      <t>途中停靠港</t>
    </r>
    <r>
      <rPr>
        <b/>
        <sz val="10.5"/>
        <color indexed="8"/>
        <rFont val="Times New Roman"/>
        <charset val="134"/>
      </rPr>
      <t>/</t>
    </r>
    <r>
      <rPr>
        <b/>
        <sz val="10.5"/>
        <color indexed="8"/>
        <rFont val="宋体"/>
        <charset val="134"/>
      </rPr>
      <t>站</t>
    </r>
  </si>
  <si>
    <t>Port/Station of Departure</t>
  </si>
  <si>
    <t>Port/Station of Call</t>
  </si>
  <si>
    <r>
      <rPr>
        <b/>
        <sz val="10.5"/>
        <color indexed="8"/>
        <rFont val="宋体"/>
        <charset val="134"/>
      </rPr>
      <t>到达港</t>
    </r>
    <r>
      <rPr>
        <b/>
        <sz val="10.5"/>
        <color indexed="8"/>
        <rFont val="Times New Roman"/>
        <charset val="134"/>
      </rPr>
      <t>/</t>
    </r>
    <r>
      <rPr>
        <b/>
        <sz val="10.5"/>
        <color indexed="8"/>
        <rFont val="宋体"/>
        <charset val="134"/>
      </rPr>
      <t>站</t>
    </r>
  </si>
  <si>
    <t>到港日期及时间</t>
  </si>
  <si>
    <t>Port/Station of Arrival</t>
  </si>
  <si>
    <t>Date and Time of Arrival</t>
  </si>
  <si>
    <r>
      <rPr>
        <b/>
        <sz val="10.5"/>
        <color indexed="8"/>
        <rFont val="宋体"/>
        <charset val="134"/>
      </rPr>
      <t>仓</t>
    </r>
    <r>
      <rPr>
        <b/>
        <sz val="10.5"/>
        <color indexed="8"/>
        <rFont val="Times New Roman"/>
        <charset val="134"/>
      </rPr>
      <t>/</t>
    </r>
    <r>
      <rPr>
        <b/>
        <sz val="10.5"/>
        <color indexed="8"/>
        <rFont val="宋体"/>
        <charset val="134"/>
      </rPr>
      <t>箱节数</t>
    </r>
  </si>
  <si>
    <t>Gross Tons</t>
  </si>
  <si>
    <t>Quantity of Cabins/Carriages</t>
  </si>
  <si>
    <t>——20人——</t>
  </si>
  <si>
    <t>代理人</t>
  </si>
  <si>
    <t>Crew member</t>
  </si>
  <si>
    <t>TWENTY  PERSONS</t>
  </si>
  <si>
    <t>Agent of Conveyance</t>
  </si>
  <si>
    <t>联系人</t>
  </si>
  <si>
    <t>联系电话</t>
  </si>
  <si>
    <t>Telephone</t>
  </si>
  <si>
    <r>
      <rPr>
        <b/>
        <sz val="10.5"/>
        <color indexed="8"/>
        <rFont val="Times New Roman"/>
        <charset val="134"/>
      </rPr>
      <t>*</t>
    </r>
    <r>
      <rPr>
        <b/>
        <sz val="10.5"/>
        <color indexed="8"/>
        <rFont val="宋体"/>
        <charset val="134"/>
      </rPr>
      <t>签字</t>
    </r>
  </si>
  <si>
    <r>
      <rPr>
        <sz val="10.5"/>
        <color indexed="8"/>
        <rFont val="Times New Roman"/>
        <charset val="134"/>
      </rPr>
      <t xml:space="preserve"> </t>
    </r>
    <r>
      <rPr>
        <b/>
        <sz val="10.5"/>
        <color indexed="8"/>
        <rFont val="宋体"/>
        <charset val="134"/>
      </rPr>
      <t>申请日期及时间</t>
    </r>
  </si>
  <si>
    <t>Captain Signature</t>
  </si>
  <si>
    <t>Date and Time of Application</t>
  </si>
  <si>
    <t>附随单据</t>
  </si>
  <si>
    <t>船员名单 □</t>
  </si>
  <si>
    <t>载货清单 □</t>
  </si>
  <si>
    <t>食品仓存货清单 □</t>
  </si>
  <si>
    <t>Bills Attached</t>
  </si>
  <si>
    <t>Name List of Crew</t>
  </si>
  <si>
    <t>List of Goods</t>
  </si>
  <si>
    <t>List of Reserved Foods</t>
  </si>
  <si>
    <t>*签字栏应由船长、机长或车长签字</t>
  </si>
  <si>
    <t xml:space="preserve">    广东出入境检验检疫局制</t>
  </si>
  <si>
    <t xml:space="preserve">            交通运输工具出境检疫签证申请单</t>
  </si>
  <si>
    <t>EXPORT OF CONVEYANCE</t>
  </si>
  <si>
    <r>
      <rPr>
        <sz val="12"/>
        <color indexed="8"/>
        <rFont val="宋体"/>
        <charset val="134"/>
      </rPr>
      <t>现向贵局申请本交通工具出境检疫</t>
    </r>
    <r>
      <rPr>
        <sz val="12"/>
        <color indexed="8"/>
        <rFont val="Times New Roman"/>
        <charset val="134"/>
      </rPr>
      <t>,</t>
    </r>
    <r>
      <rPr>
        <sz val="12"/>
        <color indexed="8"/>
        <rFont val="宋体"/>
        <charset val="134"/>
      </rPr>
      <t>并根据检查结果发给出境检疫证。</t>
    </r>
  </si>
  <si>
    <t>I hereby apply for a quarantine inspection of export on my conveyance and issue a quarantine</t>
  </si>
  <si>
    <t>certificate for export of conveyance on the basis of the inspection results.</t>
  </si>
  <si>
    <t>离港日期及时间</t>
  </si>
  <si>
    <t>Date and Time of Departure</t>
  </si>
  <si>
    <t>龙穴岛办事处</t>
  </si>
  <si>
    <t>船舶检疫工作流程登记表</t>
  </si>
  <si>
    <t>检务计收费</t>
  </si>
  <si>
    <t>受理报检</t>
  </si>
  <si>
    <t>日    期</t>
  </si>
  <si>
    <t xml:space="preserve"> 船舶检疫：￥</t>
  </si>
  <si>
    <t xml:space="preserve"> 签发证：￥</t>
  </si>
  <si>
    <t xml:space="preserve"> 其他：￥</t>
  </si>
  <si>
    <t>；</t>
  </si>
  <si>
    <t>合计：￥              （元）</t>
  </si>
  <si>
    <t>收费人</t>
  </si>
  <si>
    <t>审核人：</t>
  </si>
  <si>
    <t>20   年   月   日</t>
  </si>
  <si>
    <t>说明：因航行港澳船舶通过自动应答系统自行打印出（入）境检疫证，港澳进行出（入）境报检无需填写以下表格。</t>
  </si>
  <si>
    <t>签发人：</t>
  </si>
  <si>
    <t>备    注</t>
  </si>
  <si>
    <t>经办人：</t>
  </si>
  <si>
    <t>出（入）境检疫证/卫生证/卫生控制证书印刷号</t>
  </si>
  <si>
    <t>批准人：</t>
  </si>
  <si>
    <t>说明：</t>
  </si>
  <si>
    <t>本表加附在报检面单之后</t>
  </si>
  <si>
    <t>示例船务代理有限公司</t>
  </si>
  <si>
    <t>IN</t>
  </si>
  <si>
    <t>OUT</t>
  </si>
  <si>
    <t xml:space="preserve">   </t>
  </si>
  <si>
    <t>护照</t>
  </si>
  <si>
    <t>MESSMAN</t>
  </si>
  <si>
    <t>MANILA</t>
  </si>
  <si>
    <t>金额：1000</t>
  </si>
  <si>
    <t>船舶吨税执照申请书</t>
  </si>
  <si>
    <t>Application for Tonnage Dues Certificate</t>
  </si>
  <si>
    <r>
      <rPr>
        <sz val="12"/>
        <rFont val="Times New Roman"/>
        <charset val="134"/>
      </rPr>
      <t>IMO</t>
    </r>
    <r>
      <rPr>
        <sz val="12"/>
        <rFont val="宋体"/>
        <charset val="134"/>
      </rPr>
      <t>：</t>
    </r>
  </si>
  <si>
    <r>
      <rPr>
        <sz val="10"/>
        <rFont val="Times New Roman"/>
        <charset val="134"/>
      </rPr>
      <t xml:space="preserve">         </t>
    </r>
    <r>
      <rPr>
        <sz val="10"/>
        <rFont val="宋体"/>
        <charset val="134"/>
      </rPr>
      <t>按照《中华人民共和国船舶吨税暂行办法》的规定，检同有关证件（包括国籍证书、吨位证书、或当地</t>
    </r>
  </si>
  <si>
    <t>港务机关的证明文件），开具下列事项，请予完成纳船舶吨税，并发给船舶吨税执照。</t>
  </si>
  <si>
    <t xml:space="preserve">        In compliance with the provisions of the Provisional Regulations Governing the collection of Tonnage </t>
  </si>
  <si>
    <t xml:space="preserve">Dues of the People's Republic of China, I hereby submit the following particulars together with the relevant </t>
  </si>
  <si>
    <t xml:space="preserve">documents (including the Certificate of Nationality, the Tonnage Measurement Certificate or supporting </t>
  </si>
  <si>
    <t xml:space="preserve">documents issued by the Harbour Authorities concerned) with the request for the issue of a Tonnage Dues </t>
  </si>
  <si>
    <t>Certificate upon payment of Tonnage Dues.</t>
  </si>
  <si>
    <t>1.</t>
  </si>
  <si>
    <t>长福轮</t>
  </si>
  <si>
    <t>2.</t>
  </si>
  <si>
    <t>船舶类型</t>
  </si>
  <si>
    <t>Ship's Name</t>
  </si>
  <si>
    <t>EVER BLESS</t>
  </si>
  <si>
    <t>Ship's description</t>
  </si>
  <si>
    <t>3.</t>
  </si>
  <si>
    <t>中国台湾</t>
  </si>
  <si>
    <t>4.</t>
  </si>
  <si>
    <t>TAIWAN,CHINA</t>
  </si>
  <si>
    <t>Net Tonnage</t>
  </si>
  <si>
    <t>5.</t>
  </si>
  <si>
    <t>抵口日期</t>
  </si>
  <si>
    <t>6.</t>
  </si>
  <si>
    <t>租用关系</t>
  </si>
  <si>
    <t>其他</t>
  </si>
  <si>
    <t>Arrival Time</t>
  </si>
  <si>
    <t>Charter Relation</t>
  </si>
  <si>
    <t>7.</t>
  </si>
  <si>
    <t>按九十天期或三十天期（由申请人选定一种）</t>
  </si>
  <si>
    <t>Tonnage Dues Certificate valid for 90days / 30 days ( As prefered by the applicant )</t>
  </si>
  <si>
    <r>
      <rPr>
        <b/>
        <sz val="14"/>
        <color rgb="FF0000FF"/>
        <rFont val="宋体"/>
        <charset val="134"/>
      </rPr>
      <t>九十天期（</t>
    </r>
    <r>
      <rPr>
        <b/>
        <sz val="14"/>
        <color rgb="FF0000FF"/>
        <rFont val="Times New Roman"/>
        <charset val="134"/>
      </rPr>
      <t>90days</t>
    </r>
    <r>
      <rPr>
        <b/>
        <sz val="14"/>
        <color rgb="FF0000FF"/>
        <rFont val="宋体"/>
        <charset val="134"/>
      </rPr>
      <t>）</t>
    </r>
  </si>
  <si>
    <r>
      <rPr>
        <sz val="11"/>
        <color theme="1"/>
        <rFont val="宋体"/>
        <charset val="134"/>
      </rPr>
      <t>兹证明上列各项申报正确无论承担法律责任</t>
    </r>
    <r>
      <rPr>
        <sz val="12"/>
        <rFont val="Times New Roman"/>
        <charset val="134"/>
      </rPr>
      <t xml:space="preserve">             </t>
    </r>
  </si>
  <si>
    <r>
      <rPr>
        <sz val="11"/>
        <color theme="1"/>
        <rFont val="宋体"/>
        <charset val="134"/>
      </rPr>
      <t>此</t>
    </r>
    <r>
      <rPr>
        <sz val="12"/>
        <rFont val="Times New Roman"/>
        <charset val="134"/>
      </rPr>
      <t xml:space="preserve">      </t>
    </r>
    <r>
      <rPr>
        <sz val="11"/>
        <color indexed="8"/>
        <rFont val="宋体"/>
        <charset val="134"/>
      </rPr>
      <t>致</t>
    </r>
  </si>
  <si>
    <r>
      <rPr>
        <sz val="11"/>
        <color theme="1"/>
        <rFont val="宋体"/>
        <charset val="134"/>
      </rPr>
      <t>中华人民共和国南沙海关</t>
    </r>
    <r>
      <rPr>
        <sz val="12"/>
        <rFont val="Times New Roman"/>
        <charset val="134"/>
      </rPr>
      <t xml:space="preserve">               </t>
    </r>
  </si>
  <si>
    <t>I hereby declare that all the particulars given in this Application are true and correct. I will</t>
  </si>
  <si>
    <t>take the relevant responsibility.</t>
  </si>
  <si>
    <t xml:space="preserve">To </t>
  </si>
  <si>
    <t>Customs of the People's Republic of China</t>
  </si>
  <si>
    <r>
      <rPr>
        <sz val="11"/>
        <color theme="1"/>
        <rFont val="宋体"/>
        <charset val="134"/>
      </rPr>
      <t>代理：</t>
    </r>
    <r>
      <rPr>
        <sz val="12"/>
        <rFont val="Times New Roman"/>
        <charset val="134"/>
      </rPr>
      <t>(</t>
    </r>
    <r>
      <rPr>
        <sz val="11"/>
        <color indexed="8"/>
        <rFont val="宋体"/>
        <charset val="134"/>
      </rPr>
      <t>签名盖章</t>
    </r>
    <r>
      <rPr>
        <sz val="12"/>
        <rFont val="Times New Roman"/>
        <charset val="134"/>
      </rPr>
      <t>)</t>
    </r>
  </si>
  <si>
    <r>
      <rPr>
        <sz val="11"/>
        <color theme="1"/>
        <rFont val="宋体"/>
        <charset val="134"/>
      </rPr>
      <t>船长：</t>
    </r>
    <r>
      <rPr>
        <sz val="12"/>
        <rFont val="Times New Roman"/>
        <charset val="134"/>
      </rPr>
      <t>(</t>
    </r>
    <r>
      <rPr>
        <sz val="11"/>
        <color indexed="8"/>
        <rFont val="宋体"/>
        <charset val="134"/>
      </rPr>
      <t>签名盖章</t>
    </r>
    <r>
      <rPr>
        <sz val="12"/>
        <rFont val="Times New Roman"/>
        <charset val="134"/>
      </rPr>
      <t>)</t>
    </r>
  </si>
  <si>
    <t>Ship's agent(signature)</t>
  </si>
  <si>
    <t>Ship's captain(signature)</t>
  </si>
  <si>
    <r>
      <rPr>
        <sz val="11"/>
        <color theme="1"/>
        <rFont val="宋体"/>
        <charset val="134"/>
      </rPr>
      <t>日期</t>
    </r>
    <r>
      <rPr>
        <sz val="12"/>
        <rFont val="Times New Roman"/>
        <charset val="134"/>
      </rPr>
      <t xml:space="preserve">  </t>
    </r>
  </si>
  <si>
    <t>GUANGZHOU UNITED INTERNATIONAL</t>
  </si>
  <si>
    <t>OCEAN SHIPPING AGENCY LTD.</t>
  </si>
  <si>
    <r>
      <rPr>
        <sz val="10"/>
        <color indexed="63"/>
        <rFont val="宋体"/>
        <charset val="134"/>
      </rPr>
      <t>地址：广州市南沙区万顷沙镇龙穴大道南海港大厦</t>
    </r>
    <r>
      <rPr>
        <sz val="10"/>
        <color indexed="63"/>
        <rFont val="Times New Roman"/>
        <charset val="134"/>
      </rPr>
      <t>613</t>
    </r>
    <r>
      <rPr>
        <sz val="10"/>
        <color indexed="63"/>
        <rFont val="宋体"/>
        <charset val="134"/>
      </rPr>
      <t>室</t>
    </r>
  </si>
  <si>
    <t>邮编：511462</t>
  </si>
  <si>
    <r>
      <rPr>
        <sz val="10"/>
        <color indexed="63"/>
        <rFont val="宋体"/>
        <charset val="134"/>
      </rPr>
      <t>电话：（</t>
    </r>
    <r>
      <rPr>
        <sz val="10"/>
        <color indexed="63"/>
        <rFont val="Times New Roman"/>
        <charset val="134"/>
      </rPr>
      <t>8620</t>
    </r>
    <r>
      <rPr>
        <sz val="10"/>
        <color indexed="63"/>
        <rFont val="宋体"/>
        <charset val="134"/>
      </rPr>
      <t>）</t>
    </r>
    <r>
      <rPr>
        <sz val="10"/>
        <color indexed="63"/>
        <rFont val="Times New Roman"/>
        <charset val="134"/>
      </rPr>
      <t>13800000000</t>
    </r>
  </si>
  <si>
    <t>传真：（8620）13800000000</t>
  </si>
  <si>
    <r>
      <rPr>
        <sz val="10"/>
        <color indexed="63"/>
        <rFont val="宋体"/>
        <charset val="134"/>
      </rPr>
      <t>邮箱：</t>
    </r>
    <r>
      <rPr>
        <b/>
        <sz val="10"/>
        <color indexed="63"/>
        <rFont val="Times New Roman"/>
        <charset val="134"/>
      </rPr>
      <t>example@example.com</t>
    </r>
  </si>
  <si>
    <t>致南沙边防检查站：</t>
  </si>
  <si>
    <r>
      <rPr>
        <sz val="12"/>
        <color indexed="8"/>
        <rFont val="宋体"/>
        <charset val="134"/>
      </rPr>
      <t>兹有我司代理集装箱轮</t>
    </r>
  </si>
  <si>
    <t>将由</t>
  </si>
  <si>
    <t>开来，</t>
  </si>
  <si>
    <t xml:space="preserve">计划于 </t>
  </si>
  <si>
    <t>时靠泊南沙</t>
  </si>
  <si>
    <t>号泊位装卸柜；</t>
  </si>
  <si>
    <t>预计于</t>
  </si>
  <si>
    <t>时出口开往</t>
  </si>
  <si>
    <t>由于该轮靠港</t>
  </si>
  <si>
    <t>时间短暂，特此向贵站提前报告！</t>
  </si>
  <si>
    <t>该轮的最新动态我司会及时报告给贵站。敬请给予办理该轮的预检</t>
  </si>
  <si>
    <t>以及进出口手续！谢谢！</t>
  </si>
  <si>
    <t>总吨：</t>
  </si>
  <si>
    <t>净吨：</t>
  </si>
  <si>
    <t>国籍：</t>
  </si>
  <si>
    <t>呼号：</t>
  </si>
  <si>
    <t>MMSI:</t>
  </si>
  <si>
    <t>船员：</t>
  </si>
  <si>
    <t>致南沙海事处：</t>
  </si>
  <si>
    <r>
      <rPr>
        <sz val="11"/>
        <color indexed="8"/>
        <rFont val="宋体"/>
        <charset val="134"/>
      </rPr>
      <t>兹有我司代理集装箱轮</t>
    </r>
  </si>
  <si>
    <t>二期W9</t>
  </si>
  <si>
    <t>致南沙海关船管科：</t>
  </si>
  <si>
    <t>现我司接到船公司通知，该轮将有部分备件交予我司并委托我司转寄到香港。</t>
  </si>
  <si>
    <t>特向贵科报告该情况，望贵科予以办理有关手续。备件清单详见下表：</t>
  </si>
  <si>
    <t>76 x 65 x 54 cm; 160 kg; 2 pcs. valve seats（阀门）</t>
  </si>
  <si>
    <t>200 x 56 x 68 cm; 180 kg; 1 pcs. spindle valve（阀杆、主阀轴）</t>
  </si>
  <si>
    <t>102 x 102 x 55 cm; 200 kg; 2 psc. piston skirts（活塞挡板）</t>
  </si>
  <si>
    <t>100 x 100 x 68 cm; 300 kg; 1 pcs. piston crown（活塞头）</t>
  </si>
  <si>
    <t>吨税有效期至：</t>
  </si>
  <si>
    <r>
      <rPr>
        <sz val="18"/>
        <rFont val="宋体"/>
        <charset val="134"/>
      </rPr>
      <t>借</t>
    </r>
    <r>
      <rPr>
        <sz val="18"/>
        <rFont val="Times New Roman"/>
        <charset val="134"/>
      </rPr>
      <t xml:space="preserve">          </t>
    </r>
    <r>
      <rPr>
        <sz val="18"/>
        <rFont val="宋体"/>
        <charset val="134"/>
      </rPr>
      <t>据</t>
    </r>
  </si>
  <si>
    <t>RECEIPT</t>
  </si>
  <si>
    <r>
      <rPr>
        <sz val="11"/>
        <color theme="1"/>
        <rFont val="宋体"/>
        <charset val="134"/>
      </rPr>
      <t>金</t>
    </r>
    <r>
      <rPr>
        <sz val="12"/>
        <rFont val="Times New Roman"/>
        <charset val="134"/>
      </rPr>
      <t xml:space="preserve">   </t>
    </r>
    <r>
      <rPr>
        <sz val="11"/>
        <color theme="1"/>
        <rFont val="宋体"/>
        <charset val="134"/>
      </rPr>
      <t>额</t>
    </r>
  </si>
  <si>
    <t>R.M.B.</t>
  </si>
  <si>
    <r>
      <rPr>
        <sz val="11"/>
        <color theme="1"/>
        <rFont val="宋体"/>
        <charset val="134"/>
      </rPr>
      <t>日</t>
    </r>
    <r>
      <rPr>
        <sz val="12"/>
        <rFont val="Times New Roman"/>
        <charset val="134"/>
      </rPr>
      <t xml:space="preserve">  </t>
    </r>
    <r>
      <rPr>
        <sz val="11"/>
        <color theme="1"/>
        <rFont val="宋体"/>
        <charset val="134"/>
      </rPr>
      <t>期</t>
    </r>
  </si>
  <si>
    <t>U S D</t>
  </si>
  <si>
    <t>21TH DEC., 2011</t>
  </si>
  <si>
    <r>
      <rPr>
        <sz val="11"/>
        <color theme="1"/>
        <rFont val="宋体"/>
        <charset val="134"/>
      </rPr>
      <t>今</t>
    </r>
    <r>
      <rPr>
        <sz val="12"/>
        <rFont val="Times New Roman"/>
        <charset val="134"/>
      </rPr>
      <t xml:space="preserve">   </t>
    </r>
    <r>
      <rPr>
        <sz val="11"/>
        <color theme="1"/>
        <rFont val="宋体"/>
        <charset val="134"/>
      </rPr>
      <t>收</t>
    </r>
    <r>
      <rPr>
        <sz val="12"/>
        <rFont val="Times New Roman"/>
        <charset val="134"/>
      </rPr>
      <t xml:space="preserve">   </t>
    </r>
    <r>
      <rPr>
        <sz val="11"/>
        <color theme="1"/>
        <rFont val="宋体"/>
        <charset val="134"/>
      </rPr>
      <t>到</t>
    </r>
    <r>
      <rPr>
        <sz val="12"/>
        <rFont val="Times New Roman"/>
        <charset val="134"/>
      </rPr>
      <t xml:space="preserve">   </t>
    </r>
    <r>
      <rPr>
        <sz val="11"/>
        <color theme="1"/>
        <rFont val="宋体"/>
        <charset val="134"/>
      </rPr>
      <t>广</t>
    </r>
    <r>
      <rPr>
        <sz val="12"/>
        <rFont val="Times New Roman"/>
        <charset val="134"/>
      </rPr>
      <t xml:space="preserve">   </t>
    </r>
    <r>
      <rPr>
        <sz val="11"/>
        <color theme="1"/>
        <rFont val="宋体"/>
        <charset val="134"/>
      </rPr>
      <t>州</t>
    </r>
    <r>
      <rPr>
        <sz val="12"/>
        <rFont val="Times New Roman"/>
        <charset val="134"/>
      </rPr>
      <t xml:space="preserve">   </t>
    </r>
    <r>
      <rPr>
        <sz val="11"/>
        <color theme="1"/>
        <rFont val="宋体"/>
        <charset val="134"/>
      </rPr>
      <t>联</t>
    </r>
    <r>
      <rPr>
        <sz val="12"/>
        <rFont val="Times New Roman"/>
        <charset val="134"/>
      </rPr>
      <t xml:space="preserve">   </t>
    </r>
    <r>
      <rPr>
        <sz val="11"/>
        <color theme="1"/>
        <rFont val="宋体"/>
        <charset val="134"/>
      </rPr>
      <t>合</t>
    </r>
    <r>
      <rPr>
        <sz val="12"/>
        <rFont val="Times New Roman"/>
        <charset val="134"/>
      </rPr>
      <t xml:space="preserve">   </t>
    </r>
    <r>
      <rPr>
        <sz val="11"/>
        <color theme="1"/>
        <rFont val="宋体"/>
        <charset val="134"/>
      </rPr>
      <t>国</t>
    </r>
    <r>
      <rPr>
        <sz val="12"/>
        <rFont val="Times New Roman"/>
        <charset val="134"/>
      </rPr>
      <t xml:space="preserve">   </t>
    </r>
    <r>
      <rPr>
        <sz val="11"/>
        <color theme="1"/>
        <rFont val="宋体"/>
        <charset val="134"/>
      </rPr>
      <t>际</t>
    </r>
    <r>
      <rPr>
        <sz val="12"/>
        <rFont val="Times New Roman"/>
        <charset val="134"/>
      </rPr>
      <t xml:space="preserve">   </t>
    </r>
    <r>
      <rPr>
        <sz val="11"/>
        <color theme="1"/>
        <rFont val="宋体"/>
        <charset val="134"/>
      </rPr>
      <t>船</t>
    </r>
    <r>
      <rPr>
        <sz val="12"/>
        <rFont val="Times New Roman"/>
        <charset val="134"/>
      </rPr>
      <t xml:space="preserve">   </t>
    </r>
    <r>
      <rPr>
        <sz val="11"/>
        <color theme="1"/>
        <rFont val="宋体"/>
        <charset val="134"/>
      </rPr>
      <t>舶</t>
    </r>
    <r>
      <rPr>
        <sz val="12"/>
        <rFont val="Times New Roman"/>
        <charset val="134"/>
      </rPr>
      <t xml:space="preserve">   </t>
    </r>
    <r>
      <rPr>
        <sz val="11"/>
        <color theme="1"/>
        <rFont val="宋体"/>
        <charset val="134"/>
      </rPr>
      <t>代</t>
    </r>
    <r>
      <rPr>
        <sz val="12"/>
        <rFont val="Times New Roman"/>
        <charset val="134"/>
      </rPr>
      <t xml:space="preserve">   </t>
    </r>
    <r>
      <rPr>
        <sz val="11"/>
        <color theme="1"/>
        <rFont val="宋体"/>
        <charset val="134"/>
      </rPr>
      <t>理</t>
    </r>
    <r>
      <rPr>
        <sz val="12"/>
        <rFont val="Times New Roman"/>
        <charset val="134"/>
      </rPr>
      <t xml:space="preserve">   </t>
    </r>
    <r>
      <rPr>
        <sz val="11"/>
        <color theme="1"/>
        <rFont val="宋体"/>
        <charset val="134"/>
      </rPr>
      <t>有</t>
    </r>
    <r>
      <rPr>
        <sz val="12"/>
        <rFont val="Times New Roman"/>
        <charset val="134"/>
      </rPr>
      <t xml:space="preserve">   </t>
    </r>
    <r>
      <rPr>
        <sz val="11"/>
        <color theme="1"/>
        <rFont val="宋体"/>
        <charset val="134"/>
      </rPr>
      <t>限</t>
    </r>
    <r>
      <rPr>
        <sz val="12"/>
        <rFont val="Times New Roman"/>
        <charset val="134"/>
      </rPr>
      <t xml:space="preserve">   </t>
    </r>
    <r>
      <rPr>
        <sz val="11"/>
        <color theme="1"/>
        <rFont val="宋体"/>
        <charset val="134"/>
      </rPr>
      <t>公</t>
    </r>
    <r>
      <rPr>
        <sz val="12"/>
        <rFont val="Times New Roman"/>
        <charset val="134"/>
      </rPr>
      <t xml:space="preserve">   </t>
    </r>
    <r>
      <rPr>
        <sz val="11"/>
        <color theme="1"/>
        <rFont val="宋体"/>
        <charset val="134"/>
      </rPr>
      <t>司</t>
    </r>
  </si>
  <si>
    <t>Received From Messrs. Guangzhou United International Ocean Shipping Agency Ltd.</t>
  </si>
  <si>
    <r>
      <rPr>
        <sz val="11"/>
        <color theme="1"/>
        <rFont val="宋体"/>
        <charset val="134"/>
      </rPr>
      <t>人</t>
    </r>
    <r>
      <rPr>
        <sz val="12"/>
        <rFont val="Times New Roman"/>
        <charset val="134"/>
      </rPr>
      <t xml:space="preserve">  </t>
    </r>
    <r>
      <rPr>
        <sz val="11"/>
        <color theme="1"/>
        <rFont val="宋体"/>
        <charset val="134"/>
      </rPr>
      <t>民</t>
    </r>
    <r>
      <rPr>
        <sz val="12"/>
        <rFont val="Times New Roman"/>
        <charset val="134"/>
      </rPr>
      <t xml:space="preserve">  </t>
    </r>
    <r>
      <rPr>
        <sz val="11"/>
        <color theme="1"/>
        <rFont val="宋体"/>
        <charset val="134"/>
      </rPr>
      <t>币</t>
    </r>
  </si>
  <si>
    <t>R.M.B.( in words)</t>
  </si>
  <si>
    <t>FIFTY THOUSAND YUAN ONLY</t>
  </si>
  <si>
    <r>
      <rPr>
        <sz val="11"/>
        <color theme="1"/>
        <rFont val="宋体"/>
        <charset val="134"/>
      </rPr>
      <t>外</t>
    </r>
    <r>
      <rPr>
        <sz val="12"/>
        <rFont val="Times New Roman"/>
        <charset val="134"/>
      </rPr>
      <t xml:space="preserve">  </t>
    </r>
    <r>
      <rPr>
        <sz val="11"/>
        <color theme="1"/>
        <rFont val="宋体"/>
        <charset val="134"/>
      </rPr>
      <t>汇</t>
    </r>
    <r>
      <rPr>
        <sz val="12"/>
        <rFont val="Times New Roman"/>
        <charset val="134"/>
      </rPr>
      <t xml:space="preserve">  </t>
    </r>
    <r>
      <rPr>
        <sz val="11"/>
        <color theme="1"/>
        <rFont val="宋体"/>
        <charset val="134"/>
      </rPr>
      <t>券</t>
    </r>
  </si>
  <si>
    <t>U.S.D.( in words)</t>
  </si>
  <si>
    <t>TEN THOUSAND DOLLARS ONLY</t>
  </si>
  <si>
    <r>
      <rPr>
        <sz val="11"/>
        <color theme="1"/>
        <rFont val="宋体"/>
        <charset val="134"/>
      </rPr>
      <t>请</t>
    </r>
    <r>
      <rPr>
        <sz val="12"/>
        <rFont val="Times New Roman"/>
        <charset val="134"/>
      </rPr>
      <t xml:space="preserve"> </t>
    </r>
    <r>
      <rPr>
        <sz val="11"/>
        <color theme="1"/>
        <rFont val="宋体"/>
        <charset val="134"/>
      </rPr>
      <t>借</t>
    </r>
    <r>
      <rPr>
        <sz val="12"/>
        <rFont val="Times New Roman"/>
        <charset val="134"/>
      </rPr>
      <t xml:space="preserve"> </t>
    </r>
    <r>
      <rPr>
        <sz val="11"/>
        <color theme="1"/>
        <rFont val="宋体"/>
        <charset val="134"/>
      </rPr>
      <t>入</t>
    </r>
    <r>
      <rPr>
        <sz val="12"/>
        <rFont val="Times New Roman"/>
        <charset val="134"/>
      </rPr>
      <t xml:space="preserve"> </t>
    </r>
    <r>
      <rPr>
        <sz val="11"/>
        <color theme="1"/>
        <rFont val="宋体"/>
        <charset val="134"/>
      </rPr>
      <t>船</t>
    </r>
    <r>
      <rPr>
        <sz val="12"/>
        <rFont val="Times New Roman"/>
        <charset val="134"/>
      </rPr>
      <t xml:space="preserve"> </t>
    </r>
    <r>
      <rPr>
        <sz val="11"/>
        <color theme="1"/>
        <rFont val="宋体"/>
        <charset val="134"/>
      </rPr>
      <t>方</t>
    </r>
    <r>
      <rPr>
        <sz val="12"/>
        <rFont val="Times New Roman"/>
        <charset val="134"/>
      </rPr>
      <t xml:space="preserve"> </t>
    </r>
    <r>
      <rPr>
        <sz val="11"/>
        <color theme="1"/>
        <rFont val="宋体"/>
        <charset val="134"/>
      </rPr>
      <t>帐</t>
    </r>
    <r>
      <rPr>
        <sz val="12"/>
        <rFont val="Times New Roman"/>
        <charset val="134"/>
      </rPr>
      <t xml:space="preserve"> </t>
    </r>
    <r>
      <rPr>
        <sz val="11"/>
        <color theme="1"/>
        <rFont val="宋体"/>
        <charset val="134"/>
      </rPr>
      <t>户</t>
    </r>
  </si>
  <si>
    <t>Please debit Ship's account.</t>
  </si>
  <si>
    <r>
      <rPr>
        <sz val="11"/>
        <color theme="1"/>
        <rFont val="宋体"/>
        <charset val="134"/>
      </rPr>
      <t>船</t>
    </r>
    <r>
      <rPr>
        <sz val="12"/>
        <rFont val="Times New Roman"/>
        <charset val="134"/>
      </rPr>
      <t xml:space="preserve">    </t>
    </r>
    <r>
      <rPr>
        <sz val="11"/>
        <color theme="1"/>
        <rFont val="宋体"/>
        <charset val="134"/>
      </rPr>
      <t>长</t>
    </r>
  </si>
  <si>
    <t>Master:</t>
  </si>
  <si>
    <r>
      <rPr>
        <sz val="11"/>
        <color theme="1"/>
        <rFont val="宋体"/>
        <charset val="134"/>
      </rPr>
      <t>船</t>
    </r>
    <r>
      <rPr>
        <sz val="12"/>
        <rFont val="Times New Roman"/>
        <charset val="134"/>
      </rPr>
      <t xml:space="preserve">    </t>
    </r>
    <r>
      <rPr>
        <sz val="11"/>
        <color theme="1"/>
        <rFont val="宋体"/>
        <charset val="134"/>
      </rPr>
      <t>名</t>
    </r>
  </si>
  <si>
    <t>S/S</t>
  </si>
  <si>
    <t>保税港区船管科空集装箱调出申请表</t>
  </si>
  <si>
    <t>船舶名称</t>
  </si>
  <si>
    <t>船编</t>
  </si>
  <si>
    <t>船舶代理公司</t>
  </si>
  <si>
    <t>船舶进境日期</t>
  </si>
  <si>
    <t>调出日期</t>
  </si>
  <si>
    <t>调出至</t>
  </si>
  <si>
    <t>吉柜查验场</t>
  </si>
  <si>
    <t>序号</t>
  </si>
  <si>
    <t>规格</t>
  </si>
  <si>
    <t>柜号</t>
  </si>
  <si>
    <t>备注</t>
  </si>
  <si>
    <t>详见舱单</t>
  </si>
  <si>
    <t>合计</t>
  </si>
  <si>
    <t>20"</t>
  </si>
  <si>
    <t>40"</t>
  </si>
  <si>
    <t>船舶公司确认</t>
  </si>
  <si>
    <r>
      <rPr>
        <sz val="12"/>
        <rFont val="宋体"/>
        <charset val="134"/>
      </rPr>
      <t xml:space="preserve">签章：                                                </t>
    </r>
    <r>
      <rPr>
        <sz val="11"/>
        <color theme="1"/>
        <rFont val="宋体"/>
        <charset val="134"/>
      </rPr>
      <t xml:space="preserve">    </t>
    </r>
    <r>
      <rPr>
        <sz val="12"/>
        <rFont val="宋体"/>
        <charset val="134"/>
      </rPr>
      <t xml:space="preserve">      </t>
    </r>
    <r>
      <rPr>
        <sz val="12"/>
        <rFont val="宋体"/>
        <charset val="134"/>
      </rPr>
      <t xml:space="preserve">             </t>
    </r>
    <r>
      <rPr>
        <sz val="12"/>
        <rFont val="宋体"/>
        <charset val="134"/>
      </rPr>
      <t>日期：</t>
    </r>
  </si>
  <si>
    <t>海关审核</t>
  </si>
  <si>
    <t xml:space="preserve"> 经办:                             复核：</t>
  </si>
  <si>
    <t>日期：</t>
  </si>
  <si>
    <t xml:space="preserve">  注：1、提交此表时，应同时提交空集装箱进境舱单、理货报告等资料备查；</t>
  </si>
  <si>
    <t xml:space="preserve">      2、调拨集装箱较多不能全部录入时，可另外制作清单附件交海关审核。</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</si>
</sst>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Red]\-&quot;￥&quot;#,##0.00"/>
    <numFmt numFmtId="177" formatCode="&quot;US$&quot;#,##0.00_);\(&quot;US$&quot;#,##0.00\)"/>
    <numFmt numFmtId="178" formatCode="yyyy&quot;年&quot;m&quot;月&quot;d&quot;日&quot;;@"/>
    <numFmt numFmtId="179" formatCode="h:mm;@"/>
    <numFmt numFmtId="180" formatCode="0_);[Red]\(0\)"/>
    <numFmt numFmtId="181" formatCode="0_ "/>
    <numFmt numFmtId="182" formatCode="yyyymmdd"/>
    <numFmt numFmtId="183" formatCode="#,##0_ "/>
    <numFmt numFmtId="184" formatCode="0.00_ "/>
  </numFmts>
  <fonts count="218">
    <font>
      <sz val="11"/>
      <color theme="1"/>
      <name val="宋体"/>
      <charset val="134"/>
      <scheme val="minor"/>
    </font>
    <font>
      <b/>
      <sz val="22"/>
      <name val="宋体"/>
      <charset val="134"/>
    </font>
    <font>
      <b/>
      <sz val="12"/>
      <name val="宋体"/>
      <charset val="134"/>
    </font>
    <font>
      <sz val="12"/>
      <name val="宋体"/>
      <charset val="134"/>
    </font>
    <font>
      <sz val="18"/>
      <name val="宋体"/>
      <charset val="134"/>
    </font>
    <font>
      <u/>
      <sz val="18"/>
      <name val="Times New Roman"/>
      <charset val="134"/>
    </font>
    <font>
      <sz val="13"/>
      <name val="Times New Roman"/>
      <charset val="134"/>
    </font>
    <font>
      <b/>
      <sz val="12"/>
      <name val="Times New Roman"/>
      <charset val="134"/>
    </font>
    <font>
      <sz val="11"/>
      <name val="Times New Roman"/>
      <charset val="134"/>
    </font>
    <font>
      <sz val="11"/>
      <name val="宋体"/>
      <charset val="134"/>
    </font>
    <font>
      <b/>
      <sz val="11"/>
      <name val="Times New Roman"/>
      <charset val="134"/>
    </font>
    <font>
      <sz val="12"/>
      <name val="Times New Roman"/>
      <charset val="134"/>
    </font>
    <font>
      <b/>
      <sz val="16"/>
      <color indexed="8"/>
      <name val="宋体"/>
      <charset val="134"/>
    </font>
    <font>
      <b/>
      <sz val="14"/>
      <color indexed="8"/>
      <name val="Calibri"/>
      <charset val="134"/>
    </font>
    <font>
      <b/>
      <sz val="16"/>
      <color indexed="8"/>
      <name val="Calibri"/>
      <charset val="134"/>
    </font>
    <font>
      <sz val="10"/>
      <color indexed="63"/>
      <name val="宋体"/>
      <charset val="134"/>
    </font>
    <font>
      <sz val="10"/>
      <color indexed="8"/>
      <name val="宋体"/>
      <charset val="134"/>
    </font>
    <font>
      <b/>
      <sz val="14"/>
      <color indexed="8"/>
      <name val="黑体"/>
      <charset val="134"/>
    </font>
    <font>
      <sz val="12"/>
      <color indexed="8"/>
      <name val="宋体"/>
      <charset val="134"/>
    </font>
    <font>
      <sz val="8"/>
      <color indexed="8"/>
      <name val="宋体"/>
      <charset val="134"/>
    </font>
    <font>
      <b/>
      <sz val="14"/>
      <color indexed="8"/>
      <name val="宋体"/>
      <charset val="134"/>
    </font>
    <font>
      <b/>
      <sz val="14"/>
      <color indexed="12"/>
      <name val="宋体"/>
      <charset val="134"/>
    </font>
    <font>
      <sz val="11"/>
      <color indexed="8"/>
      <name val="宋体"/>
      <charset val="134"/>
    </font>
    <font>
      <sz val="11"/>
      <color indexed="12"/>
      <name val="宋体"/>
      <charset val="134"/>
    </font>
    <font>
      <sz val="11"/>
      <color theme="1"/>
      <name val="宋体"/>
      <charset val="134"/>
    </font>
    <font>
      <sz val="9"/>
      <name val="宋体"/>
      <charset val="134"/>
    </font>
    <font>
      <sz val="9"/>
      <color indexed="8"/>
      <name val="宋体"/>
      <charset val="134"/>
    </font>
    <font>
      <b/>
      <sz val="10.5"/>
      <color indexed="8"/>
      <name val="宋体"/>
      <charset val="134"/>
    </font>
    <font>
      <b/>
      <sz val="11"/>
      <color indexed="8"/>
      <name val="宋体"/>
      <charset val="134"/>
    </font>
    <font>
      <sz val="10"/>
      <name val="宋体"/>
      <charset val="134"/>
    </font>
    <font>
      <b/>
      <sz val="14"/>
      <name val="宋体"/>
      <charset val="134"/>
    </font>
    <font>
      <sz val="14"/>
      <name val="宋体"/>
      <charset val="134"/>
    </font>
    <font>
      <b/>
      <sz val="10"/>
      <name val="Times New Roman"/>
      <charset val="134"/>
    </font>
    <font>
      <b/>
      <sz val="10"/>
      <name val="宋体"/>
      <charset val="134"/>
    </font>
    <font>
      <sz val="10"/>
      <name val="Times New Roman"/>
      <charset val="134"/>
    </font>
    <font>
      <b/>
      <sz val="13"/>
      <name val="宋体"/>
      <charset val="134"/>
    </font>
    <font>
      <b/>
      <sz val="14"/>
      <color rgb="FF0000FF"/>
      <name val="宋体"/>
      <charset val="134"/>
    </font>
    <font>
      <b/>
      <sz val="11"/>
      <color indexed="8"/>
      <name val="Times New Roman"/>
      <charset val="134"/>
    </font>
    <font>
      <sz val="11"/>
      <color indexed="8"/>
      <name val="Times New Roman"/>
      <charset val="134"/>
    </font>
    <font>
      <b/>
      <sz val="12"/>
      <color indexed="8"/>
      <name val="Times New Roman"/>
      <charset val="134"/>
    </font>
    <font>
      <b/>
      <sz val="10"/>
      <color indexed="8"/>
      <name val="Times New Roman"/>
      <charset val="134"/>
    </font>
    <font>
      <sz val="7"/>
      <color indexed="8"/>
      <name val="Times New Roman"/>
      <charset val="134"/>
    </font>
    <font>
      <sz val="6"/>
      <color indexed="8"/>
      <name val="Times New Roman"/>
      <charset val="134"/>
    </font>
    <font>
      <sz val="8"/>
      <color indexed="8"/>
      <name val="Times New Roman"/>
      <charset val="134"/>
    </font>
    <font>
      <sz val="10"/>
      <color indexed="8"/>
      <name val="Times New Roman"/>
      <charset val="134"/>
    </font>
    <font>
      <b/>
      <sz val="8"/>
      <color indexed="8"/>
      <name val="Times New Roman"/>
      <charset val="134"/>
    </font>
    <font>
      <b/>
      <sz val="16"/>
      <color indexed="8"/>
      <name val="Times New Roman"/>
      <charset val="134"/>
    </font>
    <font>
      <b/>
      <sz val="14"/>
      <color indexed="8"/>
      <name val="Times New Roman"/>
      <charset val="134"/>
    </font>
    <font>
      <b/>
      <sz val="12"/>
      <color indexed="8"/>
      <name val="楷体_GB2312"/>
      <charset val="134"/>
    </font>
    <font>
      <b/>
      <sz val="8"/>
      <color rgb="FF0000FF"/>
      <name val="Times New Roman"/>
      <charset val="134"/>
    </font>
    <font>
      <sz val="8"/>
      <color theme="1"/>
      <name val="Times New Roman"/>
      <charset val="134"/>
    </font>
    <font>
      <b/>
      <sz val="8"/>
      <color rgb="FF0000FF"/>
      <name val="宋体"/>
      <charset val="134"/>
    </font>
    <font>
      <sz val="12"/>
      <color indexed="8"/>
      <name val="Times New Roman"/>
      <charset val="134"/>
    </font>
    <font>
      <i/>
      <sz val="12"/>
      <color indexed="8"/>
      <name val="华文行楷"/>
      <charset val="134"/>
    </font>
    <font>
      <i/>
      <sz val="18"/>
      <color indexed="8"/>
      <name val="华文行楷"/>
      <charset val="134"/>
    </font>
    <font>
      <i/>
      <sz val="16"/>
      <color indexed="8"/>
      <name val="Georgia"/>
      <charset val="134"/>
    </font>
    <font>
      <i/>
      <sz val="12"/>
      <color indexed="8"/>
      <name val="Georgia"/>
      <charset val="134"/>
    </font>
    <font>
      <i/>
      <sz val="16"/>
      <color indexed="8"/>
      <name val="Times New Roman"/>
      <charset val="134"/>
    </font>
    <font>
      <i/>
      <sz val="18"/>
      <color indexed="8"/>
      <name val="Georgia"/>
      <charset val="134"/>
    </font>
    <font>
      <b/>
      <sz val="20"/>
      <color indexed="8"/>
      <name val="宋体"/>
      <charset val="134"/>
    </font>
    <font>
      <b/>
      <sz val="18"/>
      <color indexed="8"/>
      <name val="宋体"/>
      <charset val="134"/>
    </font>
    <font>
      <sz val="16"/>
      <color indexed="8"/>
      <name val="Times New Roman"/>
      <charset val="134"/>
    </font>
    <font>
      <sz val="10.5"/>
      <color indexed="8"/>
      <name val="宋体"/>
      <charset val="134"/>
    </font>
    <font>
      <b/>
      <sz val="15"/>
      <color indexed="8"/>
      <name val="宋体"/>
      <charset val="134"/>
    </font>
    <font>
      <b/>
      <sz val="10.5"/>
      <color indexed="8"/>
      <name val="Times New Roman"/>
      <charset val="134"/>
    </font>
    <font>
      <sz val="11"/>
      <color indexed="8"/>
      <name val="楷体_GB2312"/>
      <charset val="134"/>
    </font>
    <font>
      <b/>
      <sz val="9"/>
      <color indexed="8"/>
      <name val="Times New Roman"/>
      <charset val="134"/>
    </font>
    <font>
      <sz val="9"/>
      <color indexed="8"/>
      <name val="Times New Roman"/>
      <charset val="134"/>
    </font>
    <font>
      <b/>
      <sz val="7.5"/>
      <color indexed="8"/>
      <name val="Times New Roman"/>
      <charset val="134"/>
    </font>
    <font>
      <sz val="8"/>
      <color indexed="8"/>
      <name val="楷体_GB2312"/>
      <charset val="134"/>
    </font>
    <font>
      <sz val="10.5"/>
      <color indexed="8"/>
      <name val="Times New Roman"/>
      <charset val="134"/>
    </font>
    <font>
      <sz val="20"/>
      <color indexed="8"/>
      <name val="宋体"/>
      <charset val="134"/>
    </font>
    <font>
      <b/>
      <sz val="10"/>
      <color indexed="8"/>
      <name val="宋体"/>
      <charset val="134"/>
    </font>
    <font>
      <sz val="14"/>
      <color indexed="8"/>
      <name val="hakuyocaoshu7000"/>
      <charset val="134"/>
    </font>
    <font>
      <sz val="8"/>
      <color indexed="8"/>
      <name val="hakuyocaoshu7000"/>
      <charset val="134"/>
    </font>
    <font>
      <sz val="14"/>
      <color rgb="FF0000FF"/>
      <name val="hakuyocaoshu7000"/>
      <charset val="134"/>
    </font>
    <font>
      <sz val="12"/>
      <color indexed="8"/>
      <name val="hakuyocaoshu7000"/>
      <charset val="134"/>
    </font>
    <font>
      <sz val="12"/>
      <color indexed="8"/>
      <name val="华文行楷"/>
      <charset val="134"/>
    </font>
    <font>
      <sz val="14"/>
      <color indexed="8"/>
      <name val="宋体"/>
      <charset val="134"/>
    </font>
    <font>
      <sz val="10"/>
      <color indexed="8"/>
      <name val="Arial Unicode MS"/>
      <charset val="134"/>
    </font>
    <font>
      <sz val="10"/>
      <color indexed="8"/>
      <name val="华文行楷"/>
      <charset val="134"/>
    </font>
    <font>
      <sz val="8"/>
      <color indexed="8"/>
      <name val="Arial Unicode MS"/>
      <charset val="134"/>
    </font>
    <font>
      <b/>
      <sz val="12"/>
      <color indexed="8"/>
      <name val="黑体"/>
      <charset val="134"/>
    </font>
    <font>
      <sz val="8"/>
      <name val="Times New Roman"/>
      <charset val="134"/>
    </font>
    <font>
      <sz val="8"/>
      <name val="宋体"/>
      <charset val="134"/>
    </font>
    <font>
      <sz val="6"/>
      <name val="Times New Roman"/>
      <charset val="134"/>
    </font>
    <font>
      <b/>
      <sz val="14"/>
      <name val="Times New Roman"/>
      <charset val="134"/>
    </font>
    <font>
      <sz val="9"/>
      <name val="Times New Roman"/>
      <charset val="134"/>
    </font>
    <font>
      <b/>
      <sz val="8"/>
      <name val="Times New Roman"/>
      <charset val="134"/>
    </font>
    <font>
      <b/>
      <sz val="9"/>
      <name val="Times New Roman"/>
      <charset val="134"/>
    </font>
    <font>
      <b/>
      <sz val="6"/>
      <name val="Times New Roman"/>
      <charset val="134"/>
    </font>
    <font>
      <b/>
      <sz val="6"/>
      <name val="宋体"/>
      <charset val="134"/>
    </font>
    <font>
      <b/>
      <sz val="9"/>
      <name val="宋体"/>
      <charset val="134"/>
    </font>
    <font>
      <b/>
      <sz val="7"/>
      <name val="Times New Roman"/>
      <charset val="134"/>
    </font>
    <font>
      <sz val="9"/>
      <color indexed="12"/>
      <name val="Times New Roman"/>
      <charset val="134"/>
    </font>
    <font>
      <b/>
      <sz val="9"/>
      <color indexed="12"/>
      <name val="Times New Roman"/>
      <charset val="134"/>
    </font>
    <font>
      <b/>
      <sz val="8"/>
      <name val="宋体"/>
      <charset val="134"/>
    </font>
    <font>
      <sz val="7"/>
      <name val="Times New Roman"/>
      <charset val="134"/>
    </font>
    <font>
      <sz val="7"/>
      <name val="宋体"/>
      <charset val="134"/>
    </font>
    <font>
      <sz val="20"/>
      <name val="Times New Roman"/>
      <charset val="134"/>
    </font>
    <font>
      <sz val="16"/>
      <name val="Times New Roman"/>
      <charset val="134"/>
    </font>
    <font>
      <b/>
      <sz val="18"/>
      <name val="Times New Roman"/>
      <charset val="134"/>
    </font>
    <font>
      <b/>
      <sz val="18"/>
      <name val="宋体"/>
      <charset val="134"/>
    </font>
    <font>
      <sz val="16"/>
      <name val="宋体"/>
      <charset val="134"/>
    </font>
    <font>
      <b/>
      <sz val="18"/>
      <color rgb="FF0000FF"/>
      <name val="宋体"/>
      <charset val="134"/>
    </font>
    <font>
      <b/>
      <sz val="16"/>
      <name val="Times New Roman"/>
      <charset val="134"/>
    </font>
    <font>
      <sz val="14"/>
      <color indexed="8"/>
      <name val="Times New Roman"/>
      <charset val="134"/>
    </font>
    <font>
      <sz val="14"/>
      <color indexed="9"/>
      <name val="Times New Roman"/>
      <charset val="134"/>
    </font>
    <font>
      <sz val="18"/>
      <name val="Times New Roman"/>
      <charset val="134"/>
    </font>
    <font>
      <sz val="14"/>
      <name val="Times New Roman"/>
      <charset val="134"/>
    </font>
    <font>
      <b/>
      <sz val="11"/>
      <name val="宋体"/>
      <charset val="134"/>
    </font>
    <font>
      <sz val="11"/>
      <color theme="1"/>
      <name val="Times New Roman"/>
      <charset val="134"/>
    </font>
    <font>
      <sz val="14"/>
      <color theme="1"/>
      <name val="Times New Roman"/>
      <charset val="134"/>
    </font>
    <font>
      <b/>
      <i/>
      <sz val="10"/>
      <name val="Times New Roman"/>
      <charset val="134"/>
    </font>
    <font>
      <b/>
      <i/>
      <sz val="10"/>
      <color indexed="8"/>
      <name val="Times New Roman"/>
      <charset val="134"/>
    </font>
    <font>
      <b/>
      <i/>
      <sz val="8"/>
      <color indexed="8"/>
      <name val="Times New Roman"/>
      <charset val="134"/>
    </font>
    <font>
      <sz val="8"/>
      <color theme="1"/>
      <name val="宋体"/>
      <charset val="134"/>
    </font>
    <font>
      <sz val="10"/>
      <color theme="1"/>
      <name val="Times New Roman"/>
      <charset val="134"/>
    </font>
    <font>
      <b/>
      <sz val="18"/>
      <color theme="1"/>
      <name val="宋体"/>
      <charset val="134"/>
    </font>
    <font>
      <b/>
      <sz val="20"/>
      <color theme="1"/>
      <name val="Times New Roman"/>
      <charset val="134"/>
    </font>
    <font>
      <sz val="7"/>
      <color theme="1"/>
      <name val="Times New Roman"/>
      <charset val="134"/>
    </font>
    <font>
      <b/>
      <sz val="16"/>
      <color theme="1"/>
      <name val="Times New Roman"/>
      <charset val="134"/>
    </font>
    <font>
      <sz val="16"/>
      <color theme="1"/>
      <name val="Times New Roman"/>
      <charset val="134"/>
    </font>
    <font>
      <b/>
      <sz val="18"/>
      <color theme="1"/>
      <name val="Times New Roman"/>
      <charset val="134"/>
    </font>
    <font>
      <b/>
      <sz val="14"/>
      <color theme="1"/>
      <name val="Times New Roman"/>
      <charset val="134"/>
    </font>
    <font>
      <sz val="16"/>
      <color theme="1"/>
      <name val="宋体"/>
      <charset val="134"/>
      <scheme val="minor"/>
    </font>
    <font>
      <b/>
      <i/>
      <sz val="9"/>
      <name val="Times New Roman"/>
      <charset val="134"/>
    </font>
    <font>
      <b/>
      <sz val="10"/>
      <color theme="1"/>
      <name val="Arial"/>
      <charset val="134"/>
    </font>
    <font>
      <sz val="14"/>
      <color theme="1"/>
      <name val="Arial"/>
      <charset val="134"/>
    </font>
    <font>
      <sz val="11"/>
      <color theme="1"/>
      <name val="Arial"/>
      <charset val="134"/>
    </font>
    <font>
      <b/>
      <i/>
      <sz val="10"/>
      <name val="Arial"/>
      <charset val="134"/>
    </font>
    <font>
      <b/>
      <sz val="6"/>
      <color theme="1"/>
      <name val="Times New Roman"/>
      <charset val="134"/>
    </font>
    <font>
      <sz val="14"/>
      <color theme="1"/>
      <name val="宋体"/>
      <charset val="134"/>
    </font>
    <font>
      <b/>
      <sz val="6"/>
      <color indexed="8"/>
      <name val="Times New Roman"/>
      <charset val="134"/>
    </font>
    <font>
      <sz val="11"/>
      <color indexed="9"/>
      <name val="Times New Roman"/>
      <charset val="134"/>
    </font>
    <font>
      <b/>
      <sz val="11"/>
      <color theme="0"/>
      <name val="宋体"/>
      <charset val="134"/>
      <scheme val="minor"/>
    </font>
    <font>
      <b/>
      <sz val="11"/>
      <color theme="1"/>
      <name val="宋体"/>
      <charset val="134"/>
      <scheme val="minor"/>
    </font>
    <font>
      <b/>
      <sz val="12"/>
      <color theme="1"/>
      <name val="Times New Roman"/>
      <charset val="134"/>
    </font>
    <font>
      <b/>
      <i/>
      <sz val="10"/>
      <color theme="1"/>
      <name val="Times New Roman"/>
      <charset val="134"/>
    </font>
    <font>
      <b/>
      <i/>
      <sz val="8"/>
      <color theme="1"/>
      <name val="Times New Roman"/>
      <charset val="134"/>
    </font>
    <font>
      <sz val="10"/>
      <color rgb="FFFF0000"/>
      <name val="Times New Roman"/>
      <charset val="134"/>
    </font>
    <font>
      <b/>
      <sz val="20"/>
      <color rgb="FFFF0000"/>
      <name val="Times New Roman"/>
      <charset val="134"/>
    </font>
    <font>
      <sz val="7"/>
      <color rgb="FFFF0000"/>
      <name val="Times New Roman"/>
      <charset val="134"/>
    </font>
    <font>
      <b/>
      <sz val="16"/>
      <color rgb="FFFF0000"/>
      <name val="Times New Roman"/>
      <charset val="134"/>
    </font>
    <font>
      <sz val="8"/>
      <color rgb="FFFF0000"/>
      <name val="Times New Roman"/>
      <charset val="134"/>
    </font>
    <font>
      <b/>
      <sz val="18"/>
      <color rgb="FFFF0000"/>
      <name val="Times New Roman"/>
      <charset val="134"/>
    </font>
    <font>
      <sz val="8"/>
      <color rgb="FFFF0000"/>
      <name val="宋体"/>
      <charset val="134"/>
    </font>
    <font>
      <b/>
      <i/>
      <sz val="9"/>
      <color theme="1"/>
      <name val="Times New Roman"/>
      <charset val="134"/>
    </font>
    <font>
      <sz val="9"/>
      <color theme="1"/>
      <name val="Times New Roman"/>
      <charset val="134"/>
    </font>
    <font>
      <b/>
      <i/>
      <sz val="10"/>
      <color theme="1"/>
      <name val="Arial"/>
      <charset val="134"/>
    </font>
    <font>
      <sz val="24"/>
      <name val="宋体"/>
      <charset val="134"/>
    </font>
    <font>
      <b/>
      <sz val="15"/>
      <name val="Times New Roman"/>
      <charset val="134"/>
    </font>
    <font>
      <b/>
      <sz val="15"/>
      <name val="宋体"/>
      <charset val="134"/>
    </font>
    <font>
      <sz val="15"/>
      <name val="Times New Roman"/>
      <charset val="134"/>
    </font>
    <font>
      <sz val="15"/>
      <name val="宋体"/>
      <charset val="134"/>
    </font>
    <font>
      <b/>
      <sz val="16"/>
      <name val="宋体"/>
      <charset val="134"/>
    </font>
    <font>
      <b/>
      <sz val="20"/>
      <color indexed="12"/>
      <name val="Times New Roman"/>
      <charset val="134"/>
    </font>
    <font>
      <sz val="6"/>
      <name val="宋体"/>
      <charset val="134"/>
    </font>
    <font>
      <b/>
      <sz val="16"/>
      <color rgb="FF0000FF"/>
      <name val="宋体"/>
      <charset val="134"/>
    </font>
    <font>
      <b/>
      <sz val="16"/>
      <color indexed="12"/>
      <name val="Times New Roman"/>
      <charset val="134"/>
    </font>
    <font>
      <b/>
      <sz val="20"/>
      <name val="Times New Roman"/>
      <charset val="134"/>
    </font>
    <font>
      <b/>
      <sz val="20"/>
      <name val="宋体"/>
      <charset val="134"/>
    </font>
    <font>
      <b/>
      <sz val="12"/>
      <color indexed="8"/>
      <name val="宋体"/>
      <charset val="134"/>
    </font>
    <font>
      <b/>
      <sz val="20"/>
      <color rgb="FF0000FF"/>
      <name val="宋体"/>
      <charset val="134"/>
    </font>
    <font>
      <sz val="18"/>
      <color indexed="8"/>
      <name val="宋体"/>
      <charset val="134"/>
    </font>
    <font>
      <sz val="20"/>
      <color theme="1"/>
      <name val="宋体"/>
      <charset val="134"/>
      <scheme val="minor"/>
    </font>
    <font>
      <b/>
      <sz val="16"/>
      <color theme="1"/>
      <name val="宋体"/>
      <charset val="134"/>
      <scheme val="minor"/>
    </font>
    <font>
      <sz val="14"/>
      <color theme="1"/>
      <name val="宋体"/>
      <charset val="134"/>
      <scheme val="minor"/>
    </font>
    <font>
      <b/>
      <sz val="12"/>
      <color theme="1"/>
      <name val="宋体"/>
      <charset val="134"/>
      <scheme val="minor"/>
    </font>
    <font>
      <b/>
      <sz val="14"/>
      <color theme="1"/>
      <name val="宋体"/>
      <charset val="134"/>
      <scheme val="minor"/>
    </font>
    <font>
      <b/>
      <sz val="17"/>
      <name val="宋体"/>
      <charset val="134"/>
    </font>
    <font>
      <sz val="20"/>
      <color rgb="FF0000FF"/>
      <name val="宋体"/>
      <charset val="134"/>
    </font>
    <font>
      <b/>
      <sz val="12"/>
      <color theme="1"/>
      <name val="宋体"/>
      <charset val="134"/>
    </font>
    <font>
      <b/>
      <sz val="16"/>
      <color rgb="FF000000"/>
      <name val="宋体"/>
      <charset val="134"/>
    </font>
    <font>
      <b/>
      <sz val="14"/>
      <color indexed="12"/>
      <name val="Times New Roman"/>
      <charset val="134"/>
    </font>
    <font>
      <sz val="18"/>
      <color theme="1"/>
      <name val="宋体"/>
      <charset val="134"/>
      <scheme val="minor"/>
    </font>
    <font>
      <b/>
      <sz val="16"/>
      <color theme="1"/>
      <name val="宋体"/>
      <charset val="134"/>
    </font>
    <font>
      <sz val="18"/>
      <color indexed="8"/>
      <name val="黑体"/>
      <charset val="134"/>
    </font>
    <font>
      <sz val="11"/>
      <color indexed="8"/>
      <name val="黑体"/>
      <charset val="134"/>
    </font>
    <font>
      <sz val="16"/>
      <color indexed="8"/>
      <name val="黑体"/>
      <charset val="134"/>
    </font>
    <font>
      <sz val="14"/>
      <color indexed="8"/>
      <name val="楷体_GB2312"/>
      <charset val="134"/>
    </font>
    <font>
      <sz val="14"/>
      <name val="楷体_GB2312"/>
      <charset val="134"/>
    </font>
    <font>
      <sz val="24"/>
      <color indexed="8"/>
      <name val="宋体"/>
      <charset val="134"/>
    </font>
    <font>
      <sz val="14"/>
      <color indexed="12"/>
      <name val="楷体_GB2312"/>
      <charset val="134"/>
    </font>
    <font>
      <sz val="14"/>
      <color indexed="9"/>
      <name val="楷体_GB2312"/>
      <charset val="134"/>
    </font>
    <font>
      <sz val="12"/>
      <color indexed="8"/>
      <name val="楷体_GB2312"/>
      <charset val="134"/>
    </font>
    <font>
      <sz val="16"/>
      <color indexed="8"/>
      <name val="宋体"/>
      <charset val="134"/>
    </font>
    <font>
      <b/>
      <sz val="14"/>
      <color indexed="12"/>
      <name val="楷体_GB2312"/>
      <charset val="134"/>
    </font>
    <font>
      <sz val="16"/>
      <color rgb="FF0000FF"/>
      <name val="黑体"/>
      <charset val="134"/>
    </font>
    <font>
      <sz val="11"/>
      <color rgb="FF0000FF"/>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Arial"/>
      <charset val="134"/>
    </font>
    <font>
      <sz val="8.5"/>
      <name val="宋体"/>
      <charset val="134"/>
    </font>
    <font>
      <sz val="8.5"/>
      <name val="Times New Roman"/>
      <charset val="134"/>
    </font>
    <font>
      <b/>
      <sz val="10"/>
      <color indexed="63"/>
      <name val="Times New Roman"/>
      <charset val="134"/>
    </font>
    <font>
      <sz val="10"/>
      <color indexed="63"/>
      <name val="Times New Roman"/>
      <charset val="134"/>
    </font>
    <font>
      <b/>
      <sz val="14"/>
      <color rgb="FF0000FF"/>
      <name val="Times New Roman"/>
      <charset val="134"/>
    </font>
    <font>
      <b/>
      <sz val="9"/>
      <name val="宋体"/>
      <charset val="134"/>
    </font>
    <font>
      <sz val="9"/>
      <name val="宋体"/>
      <charset val="134"/>
    </font>
    <font>
      <sz val="9"/>
      <name val="Tahoma"/>
      <charset val="134"/>
    </font>
  </fonts>
  <fills count="37">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theme="0" tint="-0.349986266670736"/>
        <bgColor indexed="64"/>
      </patternFill>
    </fill>
    <fill>
      <patternFill patternType="solid">
        <fgColor theme="0" tint="-0.14972380748924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8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bottom style="dotted">
        <color auto="1"/>
      </bottom>
      <diagonal/>
    </border>
    <border>
      <left/>
      <right/>
      <top style="dotted">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right style="medium">
        <color auto="1"/>
      </right>
      <top style="thin">
        <color auto="1"/>
      </top>
      <bottom/>
      <diagonal/>
    </border>
    <border>
      <left style="thin">
        <color auto="1"/>
      </left>
      <right/>
      <top/>
      <bottom/>
      <diagonal/>
    </border>
    <border>
      <left/>
      <right style="medium">
        <color auto="1"/>
      </right>
      <top/>
      <bottom/>
      <diagonal/>
    </border>
    <border>
      <left style="medium">
        <color auto="1"/>
      </left>
      <right style="thin">
        <color auto="1"/>
      </right>
      <top/>
      <bottom style="medium">
        <color auto="1"/>
      </bottom>
      <diagonal/>
    </border>
    <border>
      <left style="thin">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right style="thin">
        <color auto="1"/>
      </right>
      <top/>
      <bottom/>
      <diagonal/>
    </border>
    <border>
      <left style="thin">
        <color auto="1"/>
      </left>
      <right style="thin">
        <color auto="1"/>
      </right>
      <top style="thin">
        <color auto="1"/>
      </top>
      <bottom style="dotted">
        <color auto="1"/>
      </bottom>
      <diagonal/>
    </border>
    <border>
      <left style="thin">
        <color auto="1"/>
      </left>
      <right/>
      <top style="dotted">
        <color auto="1"/>
      </top>
      <bottom style="dotted">
        <color auto="1"/>
      </bottom>
      <diagonal/>
    </border>
    <border>
      <left style="thin">
        <color auto="1"/>
      </left>
      <right/>
      <top style="thin">
        <color auto="1"/>
      </top>
      <bottom style="dotted">
        <color auto="1"/>
      </bottom>
      <diagonal/>
    </border>
    <border>
      <left/>
      <right style="thin">
        <color auto="1"/>
      </right>
      <top style="dotted">
        <color auto="1"/>
      </top>
      <bottom style="dotted">
        <color auto="1"/>
      </bottom>
      <diagonal/>
    </border>
    <border>
      <left style="thin">
        <color auto="1"/>
      </left>
      <right style="dashed">
        <color auto="1"/>
      </right>
      <top style="dotted">
        <color auto="1"/>
      </top>
      <bottom style="dotted">
        <color auto="1"/>
      </bottom>
      <diagonal/>
    </border>
    <border>
      <left/>
      <right style="thin">
        <color auto="1"/>
      </right>
      <top style="thin">
        <color auto="1"/>
      </top>
      <bottom style="dotted">
        <color auto="1"/>
      </bottom>
      <diagonal/>
    </border>
    <border>
      <left style="thin">
        <color auto="1"/>
      </left>
      <right style="thin">
        <color auto="1"/>
      </right>
      <top style="dotted">
        <color auto="1"/>
      </top>
      <bottom style="dotted">
        <color auto="1"/>
      </bottom>
      <diagonal/>
    </border>
    <border>
      <left style="thin">
        <color auto="1"/>
      </left>
      <right style="thin">
        <color auto="1"/>
      </right>
      <top/>
      <bottom style="dotted">
        <color auto="1"/>
      </bottom>
      <diagonal/>
    </border>
    <border>
      <left style="thin">
        <color auto="1"/>
      </left>
      <right style="thin">
        <color auto="1"/>
      </right>
      <top style="dotted">
        <color auto="1"/>
      </top>
      <bottom style="thin">
        <color auto="1"/>
      </bottom>
      <diagonal/>
    </border>
    <border>
      <left style="thin">
        <color auto="1"/>
      </left>
      <right/>
      <top style="dotted">
        <color auto="1"/>
      </top>
      <bottom style="thin">
        <color auto="1"/>
      </bottom>
      <diagonal/>
    </border>
    <border>
      <left/>
      <right style="thin">
        <color auto="1"/>
      </right>
      <top style="dotted">
        <color auto="1"/>
      </top>
      <bottom style="thin">
        <color auto="1"/>
      </bottom>
      <diagonal/>
    </border>
    <border>
      <left/>
      <right/>
      <top style="dotted">
        <color auto="1"/>
      </top>
      <bottom style="dotted">
        <color auto="1"/>
      </bottom>
      <diagonal/>
    </border>
    <border>
      <left style="thin">
        <color auto="1"/>
      </left>
      <right style="thin">
        <color auto="1"/>
      </right>
      <top style="dotted">
        <color auto="1"/>
      </top>
      <bottom/>
      <diagonal/>
    </border>
    <border>
      <left/>
      <right/>
      <top style="dotted">
        <color auto="1"/>
      </top>
      <bottom style="thin">
        <color auto="1"/>
      </bottom>
      <diagonal/>
    </border>
    <border>
      <left style="medium">
        <color auto="1"/>
      </left>
      <right/>
      <top style="medium">
        <color auto="1"/>
      </top>
      <bottom/>
      <diagonal/>
    </border>
    <border>
      <left/>
      <right/>
      <top style="medium">
        <color auto="1"/>
      </top>
      <bottom/>
      <diagonal/>
    </border>
    <border>
      <left style="dotted">
        <color auto="1"/>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style="dotted">
        <color auto="1"/>
      </left>
      <right/>
      <top/>
      <bottom style="thin">
        <color auto="1"/>
      </bottom>
      <diagonal/>
    </border>
    <border>
      <left/>
      <right style="medium">
        <color auto="1"/>
      </right>
      <top/>
      <bottom style="thin">
        <color auto="1"/>
      </bottom>
      <diagonal/>
    </border>
    <border>
      <left style="medium">
        <color auto="1"/>
      </left>
      <right/>
      <top/>
      <bottom/>
      <diagonal/>
    </border>
    <border>
      <left style="medium">
        <color auto="1"/>
      </left>
      <right/>
      <top style="thin">
        <color auto="1"/>
      </top>
      <bottom/>
      <diagonal/>
    </border>
    <border>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top/>
      <bottom/>
      <diagonal/>
    </border>
    <border>
      <left style="dashed">
        <color auto="1"/>
      </left>
      <right/>
      <top/>
      <bottom style="thin">
        <color auto="1"/>
      </bottom>
      <diagonal/>
    </border>
    <border>
      <left style="medium">
        <color auto="1"/>
      </left>
      <right/>
      <top/>
      <bottom style="medium">
        <color auto="1"/>
      </bottom>
      <diagonal/>
    </border>
    <border>
      <left/>
      <right style="thin">
        <color auto="1"/>
      </right>
      <top style="thin">
        <color auto="1"/>
      </top>
      <bottom style="medium">
        <color auto="1"/>
      </bottom>
      <diagonal/>
    </border>
    <border>
      <left style="thin">
        <color indexed="8"/>
      </left>
      <right style="thin">
        <color indexed="8"/>
      </right>
      <top style="thin">
        <color indexed="8"/>
      </top>
      <bottom style="thin">
        <color indexed="8"/>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90" fillId="0" borderId="0" applyNumberFormat="0" applyFill="0" applyBorder="0" applyAlignment="0" applyProtection="0">
      <alignment vertical="center"/>
    </xf>
    <xf numFmtId="0" fontId="191" fillId="0" borderId="0" applyNumberFormat="0" applyFill="0" applyBorder="0" applyAlignment="0" applyProtection="0">
      <alignment vertical="center"/>
    </xf>
    <xf numFmtId="0" fontId="0" fillId="6" borderId="73" applyNumberFormat="0" applyFont="0" applyAlignment="0" applyProtection="0">
      <alignment vertical="center"/>
    </xf>
    <xf numFmtId="0" fontId="192" fillId="0" borderId="0" applyNumberFormat="0" applyFill="0" applyBorder="0" applyAlignment="0" applyProtection="0">
      <alignment vertical="center"/>
    </xf>
    <xf numFmtId="0" fontId="193" fillId="0" borderId="0" applyNumberFormat="0" applyFill="0" applyBorder="0" applyAlignment="0" applyProtection="0">
      <alignment vertical="center"/>
    </xf>
    <xf numFmtId="0" fontId="194" fillId="0" borderId="0" applyNumberFormat="0" applyFill="0" applyBorder="0" applyAlignment="0" applyProtection="0">
      <alignment vertical="center"/>
    </xf>
    <xf numFmtId="0" fontId="195" fillId="0" borderId="74" applyNumberFormat="0" applyFill="0" applyAlignment="0" applyProtection="0">
      <alignment vertical="center"/>
    </xf>
    <xf numFmtId="0" fontId="196" fillId="0" borderId="74" applyNumberFormat="0" applyFill="0" applyAlignment="0" applyProtection="0">
      <alignment vertical="center"/>
    </xf>
    <xf numFmtId="0" fontId="197" fillId="0" borderId="75" applyNumberFormat="0" applyFill="0" applyAlignment="0" applyProtection="0">
      <alignment vertical="center"/>
    </xf>
    <xf numFmtId="0" fontId="197" fillId="0" borderId="0" applyNumberFormat="0" applyFill="0" applyBorder="0" applyAlignment="0" applyProtection="0">
      <alignment vertical="center"/>
    </xf>
    <xf numFmtId="0" fontId="198" fillId="7" borderId="76" applyNumberFormat="0" applyAlignment="0" applyProtection="0">
      <alignment vertical="center"/>
    </xf>
    <xf numFmtId="0" fontId="199" fillId="8" borderId="77" applyNumberFormat="0" applyAlignment="0" applyProtection="0">
      <alignment vertical="center"/>
    </xf>
    <xf numFmtId="0" fontId="200" fillId="8" borderId="76" applyNumberFormat="0" applyAlignment="0" applyProtection="0">
      <alignment vertical="center"/>
    </xf>
    <xf numFmtId="0" fontId="201" fillId="9" borderId="78" applyNumberFormat="0" applyAlignment="0" applyProtection="0">
      <alignment vertical="center"/>
    </xf>
    <xf numFmtId="0" fontId="202" fillId="0" borderId="79" applyNumberFormat="0" applyFill="0" applyAlignment="0" applyProtection="0">
      <alignment vertical="center"/>
    </xf>
    <xf numFmtId="0" fontId="203" fillId="0" borderId="80" applyNumberFormat="0" applyFill="0" applyAlignment="0" applyProtection="0">
      <alignment vertical="center"/>
    </xf>
    <xf numFmtId="0" fontId="204" fillId="10" borderId="0" applyNumberFormat="0" applyBorder="0" applyAlignment="0" applyProtection="0">
      <alignment vertical="center"/>
    </xf>
    <xf numFmtId="0" fontId="205" fillId="11" borderId="0" applyNumberFormat="0" applyBorder="0" applyAlignment="0" applyProtection="0">
      <alignment vertical="center"/>
    </xf>
    <xf numFmtId="0" fontId="206" fillId="12" borderId="0" applyNumberFormat="0" applyBorder="0" applyAlignment="0" applyProtection="0">
      <alignment vertical="center"/>
    </xf>
    <xf numFmtId="0" fontId="207" fillId="13" borderId="0" applyNumberFormat="0" applyBorder="0" applyAlignment="0" applyProtection="0">
      <alignment vertical="center"/>
    </xf>
    <xf numFmtId="0" fontId="208" fillId="14" borderId="0" applyNumberFormat="0" applyBorder="0" applyAlignment="0" applyProtection="0">
      <alignment vertical="center"/>
    </xf>
    <xf numFmtId="0" fontId="208" fillId="15" borderId="0" applyNumberFormat="0" applyBorder="0" applyAlignment="0" applyProtection="0">
      <alignment vertical="center"/>
    </xf>
    <xf numFmtId="0" fontId="207" fillId="16" borderId="0" applyNumberFormat="0" applyBorder="0" applyAlignment="0" applyProtection="0">
      <alignment vertical="center"/>
    </xf>
    <xf numFmtId="0" fontId="207" fillId="17" borderId="0" applyNumberFormat="0" applyBorder="0" applyAlignment="0" applyProtection="0">
      <alignment vertical="center"/>
    </xf>
    <xf numFmtId="0" fontId="208" fillId="18" borderId="0" applyNumberFormat="0" applyBorder="0" applyAlignment="0" applyProtection="0">
      <alignment vertical="center"/>
    </xf>
    <xf numFmtId="0" fontId="208" fillId="19" borderId="0" applyNumberFormat="0" applyBorder="0" applyAlignment="0" applyProtection="0">
      <alignment vertical="center"/>
    </xf>
    <xf numFmtId="0" fontId="207" fillId="20" borderId="0" applyNumberFormat="0" applyBorder="0" applyAlignment="0" applyProtection="0">
      <alignment vertical="center"/>
    </xf>
    <xf numFmtId="0" fontId="207" fillId="21" borderId="0" applyNumberFormat="0" applyBorder="0" applyAlignment="0" applyProtection="0">
      <alignment vertical="center"/>
    </xf>
    <xf numFmtId="0" fontId="208" fillId="22" borderId="0" applyNumberFormat="0" applyBorder="0" applyAlignment="0" applyProtection="0">
      <alignment vertical="center"/>
    </xf>
    <xf numFmtId="0" fontId="208" fillId="23" borderId="0" applyNumberFormat="0" applyBorder="0" applyAlignment="0" applyProtection="0">
      <alignment vertical="center"/>
    </xf>
    <xf numFmtId="0" fontId="207" fillId="24" borderId="0" applyNumberFormat="0" applyBorder="0" applyAlignment="0" applyProtection="0">
      <alignment vertical="center"/>
    </xf>
    <xf numFmtId="0" fontId="207" fillId="25" borderId="0" applyNumberFormat="0" applyBorder="0" applyAlignment="0" applyProtection="0">
      <alignment vertical="center"/>
    </xf>
    <xf numFmtId="0" fontId="208" fillId="26" borderId="0" applyNumberFormat="0" applyBorder="0" applyAlignment="0" applyProtection="0">
      <alignment vertical="center"/>
    </xf>
    <xf numFmtId="0" fontId="208" fillId="27" borderId="0" applyNumberFormat="0" applyBorder="0" applyAlignment="0" applyProtection="0">
      <alignment vertical="center"/>
    </xf>
    <xf numFmtId="0" fontId="207" fillId="28" borderId="0" applyNumberFormat="0" applyBorder="0" applyAlignment="0" applyProtection="0">
      <alignment vertical="center"/>
    </xf>
    <xf numFmtId="0" fontId="207" fillId="29" borderId="0" applyNumberFormat="0" applyBorder="0" applyAlignment="0" applyProtection="0">
      <alignment vertical="center"/>
    </xf>
    <xf numFmtId="0" fontId="208" fillId="30" borderId="0" applyNumberFormat="0" applyBorder="0" applyAlignment="0" applyProtection="0">
      <alignment vertical="center"/>
    </xf>
    <xf numFmtId="0" fontId="208" fillId="31" borderId="0" applyNumberFormat="0" applyBorder="0" applyAlignment="0" applyProtection="0">
      <alignment vertical="center"/>
    </xf>
    <xf numFmtId="0" fontId="207" fillId="32" borderId="0" applyNumberFormat="0" applyBorder="0" applyAlignment="0" applyProtection="0">
      <alignment vertical="center"/>
    </xf>
    <xf numFmtId="0" fontId="207" fillId="33" borderId="0" applyNumberFormat="0" applyBorder="0" applyAlignment="0" applyProtection="0">
      <alignment vertical="center"/>
    </xf>
    <xf numFmtId="0" fontId="208" fillId="34" borderId="0" applyNumberFormat="0" applyBorder="0" applyAlignment="0" applyProtection="0">
      <alignment vertical="center"/>
    </xf>
    <xf numFmtId="0" fontId="208" fillId="35" borderId="0" applyNumberFormat="0" applyBorder="0" applyAlignment="0" applyProtection="0">
      <alignment vertical="center"/>
    </xf>
    <xf numFmtId="0" fontId="207" fillId="36" borderId="0" applyNumberFormat="0" applyBorder="0" applyAlignment="0" applyProtection="0">
      <alignment vertical="center"/>
    </xf>
    <xf numFmtId="0" fontId="209" fillId="0" borderId="0"/>
    <xf numFmtId="0" fontId="3" fillId="0" borderId="0"/>
  </cellStyleXfs>
  <cellXfs count="1215">
    <xf numFmtId="0" fontId="0" fillId="0" borderId="0" xfId="0">
      <alignment vertical="center"/>
    </xf>
    <xf numFmtId="0" fontId="0" fillId="0" borderId="0" xfId="0" applyAlignment="1">
      <alignment horizontal="center" vertical="center"/>
    </xf>
    <xf numFmtId="0" fontId="1" fillId="0" borderId="0" xfId="0" applyFont="1" applyBorder="1" applyAlignment="1">
      <alignment horizontal="center" vertical="center"/>
    </xf>
    <xf numFmtId="0" fontId="2" fillId="0" borderId="0" xfId="0" applyFont="1" applyBorder="1" applyAlignment="1">
      <alignment horizontal="center" vertical="center"/>
    </xf>
    <xf numFmtId="0" fontId="3" fillId="0" borderId="1" xfId="0" applyFont="1" applyBorder="1" applyAlignment="1">
      <alignment horizontal="center" vertical="center"/>
    </xf>
    <xf numFmtId="0" fontId="0" fillId="0" borderId="2" xfId="0" applyBorder="1" applyAlignment="1">
      <alignment horizontal="center" vertical="center" wrapText="1"/>
    </xf>
    <xf numFmtId="0" fontId="3" fillId="0" borderId="3" xfId="0" applyFont="1" applyBorder="1" applyAlignment="1">
      <alignment horizontal="center" vertical="center"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2" xfId="0" applyFont="1" applyBorder="1" applyAlignment="1">
      <alignment horizontal="center" vertical="center" wrapText="1"/>
    </xf>
    <xf numFmtId="0" fontId="3" fillId="0" borderId="1" xfId="0" applyFont="1" applyBorder="1" applyAlignment="1">
      <alignment horizontal="center" vertical="center" wrapText="1"/>
    </xf>
    <xf numFmtId="14" fontId="3" fillId="0" borderId="2" xfId="0" applyNumberFormat="1" applyFont="1" applyBorder="1" applyAlignment="1">
      <alignment horizontal="center" vertical="center"/>
    </xf>
    <xf numFmtId="0" fontId="0" fillId="0" borderId="0" xfId="0" applyBorder="1" applyAlignment="1">
      <alignment horizontal="center" vertical="center"/>
    </xf>
    <xf numFmtId="0" fontId="0" fillId="0" borderId="2"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3" fillId="0" borderId="6" xfId="0" applyFont="1" applyBorder="1" applyAlignment="1">
      <alignment horizontal="center" vertical="center" wrapText="1"/>
    </xf>
    <xf numFmtId="0" fontId="2" fillId="0" borderId="7" xfId="0" applyFont="1" applyBorder="1" applyAlignment="1">
      <alignment horizontal="center" vertical="center"/>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2" fillId="0" borderId="5" xfId="0" applyFont="1" applyBorder="1" applyAlignment="1">
      <alignment horizontal="center" vertical="center"/>
    </xf>
    <xf numFmtId="44" fontId="0" fillId="0" borderId="11" xfId="2" applyFont="1" applyBorder="1" applyAlignment="1">
      <alignment horizontal="center" vertical="center" wrapText="1"/>
    </xf>
    <xf numFmtId="44" fontId="0" fillId="0" borderId="12" xfId="2" applyFont="1" applyBorder="1" applyAlignment="1">
      <alignment horizontal="center" vertical="center" wrapText="1"/>
    </xf>
    <xf numFmtId="44" fontId="0" fillId="0" borderId="13" xfId="2" applyFont="1" applyBorder="1" applyAlignment="1">
      <alignment horizontal="center" vertical="center" wrapText="1"/>
    </xf>
    <xf numFmtId="0" fontId="0" fillId="0" borderId="0" xfId="0" applyAlignment="1">
      <alignment vertical="center"/>
    </xf>
    <xf numFmtId="0" fontId="0" fillId="0" borderId="0" xfId="0" applyBorder="1" applyAlignment="1"/>
    <xf numFmtId="0" fontId="0" fillId="0" borderId="0" xfId="0" applyAlignment="1"/>
    <xf numFmtId="0" fontId="4"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xf numFmtId="176" fontId="0" fillId="0" borderId="0" xfId="0" applyNumberFormat="1" applyAlignment="1">
      <alignment horizontal="left"/>
    </xf>
    <xf numFmtId="0" fontId="0" fillId="0" borderId="0" xfId="0" applyAlignment="1">
      <alignment horizontal="left"/>
    </xf>
    <xf numFmtId="0" fontId="0" fillId="0" borderId="0" xfId="0" applyAlignment="1">
      <alignment horizontal="right"/>
    </xf>
    <xf numFmtId="177" fontId="7" fillId="0" borderId="14" xfId="0" applyNumberFormat="1" applyFont="1" applyBorder="1" applyAlignment="1">
      <alignment horizontal="left"/>
    </xf>
    <xf numFmtId="0" fontId="2" fillId="0" borderId="14" xfId="0" applyFont="1" applyBorder="1" applyAlignment="1"/>
    <xf numFmtId="0" fontId="0" fillId="0" borderId="14" xfId="0" applyBorder="1" applyAlignment="1"/>
    <xf numFmtId="0" fontId="6" fillId="0" borderId="0" xfId="0" applyFont="1" applyAlignment="1">
      <alignment horizontal="right"/>
    </xf>
    <xf numFmtId="0" fontId="7" fillId="0" borderId="14" xfId="0" applyFont="1" applyBorder="1" applyAlignment="1">
      <alignment horizontal="center"/>
    </xf>
    <xf numFmtId="0" fontId="2" fillId="0" borderId="14" xfId="0" applyFont="1" applyBorder="1" applyAlignment="1">
      <alignment horizontal="center"/>
    </xf>
    <xf numFmtId="0" fontId="0" fillId="0" borderId="12" xfId="0" applyBorder="1" applyAlignment="1"/>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Border="1" applyAlignment="1"/>
    <xf numFmtId="0" fontId="11" fillId="0" borderId="0" xfId="0" applyFont="1" applyAlignment="1"/>
    <xf numFmtId="0" fontId="10" fillId="0" borderId="15" xfId="0" applyFont="1" applyBorder="1" applyAlignment="1"/>
    <xf numFmtId="0" fontId="0" fillId="0" borderId="15" xfId="0" applyBorder="1" applyAlignment="1"/>
    <xf numFmtId="0" fontId="0" fillId="0" borderId="0" xfId="0" applyAlignment="1">
      <alignment horizontal="center"/>
    </xf>
    <xf numFmtId="0" fontId="2" fillId="0" borderId="0" xfId="0" applyFont="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0" fillId="0" borderId="9" xfId="0" applyBorder="1">
      <alignment vertical="center"/>
    </xf>
    <xf numFmtId="0" fontId="17" fillId="0" borderId="0" xfId="0" applyFont="1">
      <alignment vertical="center"/>
    </xf>
    <xf numFmtId="0" fontId="18" fillId="0" borderId="0" xfId="0" applyFont="1">
      <alignment vertical="center"/>
    </xf>
    <xf numFmtId="0" fontId="19" fillId="0" borderId="12" xfId="0" applyFont="1" applyBorder="1" applyAlignment="1">
      <alignment horizontal="center" vertical="center"/>
    </xf>
    <xf numFmtId="0" fontId="0" fillId="0" borderId="12" xfId="0" applyBorder="1" applyAlignment="1">
      <alignment horizontal="center" vertical="center"/>
    </xf>
    <xf numFmtId="0" fontId="0" fillId="0" borderId="0" xfId="0" applyFont="1">
      <alignment vertical="center"/>
    </xf>
    <xf numFmtId="178" fontId="0" fillId="0" borderId="12" xfId="0" applyNumberFormat="1" applyBorder="1" applyAlignment="1">
      <alignment horizontal="center" vertical="center"/>
    </xf>
    <xf numFmtId="179" fontId="9" fillId="0" borderId="12" xfId="0" applyNumberFormat="1" applyFont="1" applyBorder="1" applyAlignment="1">
      <alignment horizontal="center" vertical="center"/>
    </xf>
    <xf numFmtId="0" fontId="0" fillId="0" borderId="0" xfId="0" applyAlignment="1">
      <alignment horizontal="left" vertical="center"/>
    </xf>
    <xf numFmtId="178" fontId="0" fillId="0" borderId="0" xfId="0" applyNumberFormat="1" applyBorder="1" applyAlignment="1">
      <alignment horizontal="center" vertical="center"/>
    </xf>
    <xf numFmtId="179" fontId="9" fillId="0" borderId="0" xfId="0" applyNumberFormat="1" applyFont="1" applyBorder="1" applyAlignment="1">
      <alignment horizontal="center" vertical="center"/>
    </xf>
    <xf numFmtId="178" fontId="0" fillId="0" borderId="0" xfId="0" applyNumberFormat="1" applyFont="1" applyBorder="1" applyAlignment="1">
      <alignment vertical="center"/>
    </xf>
    <xf numFmtId="0" fontId="0" fillId="0" borderId="0" xfId="0" applyBorder="1">
      <alignment vertical="center"/>
    </xf>
    <xf numFmtId="0" fontId="20" fillId="0" borderId="0" xfId="0" applyFont="1">
      <alignment vertical="center"/>
    </xf>
    <xf numFmtId="178" fontId="21" fillId="0" borderId="0" xfId="0" applyNumberFormat="1" applyFont="1" applyAlignment="1">
      <alignment horizontal="center" vertical="center"/>
    </xf>
    <xf numFmtId="0" fontId="20" fillId="0" borderId="0" xfId="0" applyFont="1" applyAlignment="1">
      <alignment horizontal="right" vertical="center"/>
    </xf>
    <xf numFmtId="0" fontId="0" fillId="0" borderId="0" xfId="0" applyAlignment="1">
      <alignment horizontal="right" vertical="center"/>
    </xf>
    <xf numFmtId="178" fontId="0" fillId="0" borderId="0" xfId="0" applyNumberFormat="1" applyAlignment="1">
      <alignment horizontal="right" vertical="center"/>
    </xf>
    <xf numFmtId="0" fontId="22" fillId="0" borderId="0" xfId="0" applyFont="1">
      <alignment vertical="center"/>
    </xf>
    <xf numFmtId="0" fontId="22" fillId="0" borderId="12" xfId="0" applyFont="1" applyBorder="1" applyAlignment="1">
      <alignment horizontal="center" vertical="center"/>
    </xf>
    <xf numFmtId="0" fontId="0" fillId="0" borderId="12" xfId="0" applyFont="1" applyBorder="1" applyAlignment="1">
      <alignment horizontal="center" vertical="center"/>
    </xf>
    <xf numFmtId="178" fontId="0" fillId="0" borderId="12" xfId="0" applyNumberFormat="1" applyFont="1" applyBorder="1" applyAlignment="1">
      <alignment horizontal="center" vertical="center"/>
    </xf>
    <xf numFmtId="179" fontId="23" fillId="0" borderId="12" xfId="0" applyNumberFormat="1" applyFont="1" applyBorder="1" applyAlignment="1">
      <alignment horizontal="center" vertical="center"/>
    </xf>
    <xf numFmtId="0" fontId="0" fillId="0" borderId="0" xfId="0" applyFont="1" applyAlignment="1">
      <alignment horizontal="left" vertical="center"/>
    </xf>
    <xf numFmtId="0" fontId="24" fillId="0" borderId="12" xfId="0" applyFont="1" applyBorder="1" applyAlignment="1">
      <alignment horizontal="center" vertical="center"/>
    </xf>
    <xf numFmtId="179" fontId="25" fillId="0" borderId="12" xfId="0" applyNumberFormat="1" applyFont="1" applyBorder="1" applyAlignment="1">
      <alignment horizontal="center" vertical="center"/>
    </xf>
    <xf numFmtId="0" fontId="26" fillId="0" borderId="12" xfId="0" applyFont="1" applyBorder="1" applyAlignment="1">
      <alignment horizontal="center" vertical="center"/>
    </xf>
    <xf numFmtId="0" fontId="27" fillId="0" borderId="0" xfId="0" applyFont="1">
      <alignment vertical="center"/>
    </xf>
    <xf numFmtId="178" fontId="21" fillId="0" borderId="0" xfId="0" applyNumberFormat="1" applyFont="1" applyAlignment="1">
      <alignment vertical="center"/>
    </xf>
    <xf numFmtId="178" fontId="9" fillId="0" borderId="0" xfId="0" applyNumberFormat="1" applyFont="1" applyAlignment="1">
      <alignment horizontal="right" vertical="center"/>
    </xf>
    <xf numFmtId="180" fontId="9" fillId="0" borderId="0" xfId="0" applyNumberFormat="1" applyFont="1" applyAlignment="1">
      <alignment horizontal="left" vertical="center"/>
    </xf>
    <xf numFmtId="0" fontId="28" fillId="0" borderId="0" xfId="0" applyFont="1">
      <alignment vertical="center"/>
    </xf>
    <xf numFmtId="0" fontId="9" fillId="0" borderId="0" xfId="0" applyFont="1">
      <alignment vertical="center"/>
    </xf>
    <xf numFmtId="0" fontId="23" fillId="0" borderId="0" xfId="0" applyFont="1">
      <alignment vertical="center"/>
    </xf>
    <xf numFmtId="0" fontId="29" fillId="0" borderId="0" xfId="0" applyFont="1" applyAlignment="1">
      <alignment horizontal="center" vertical="center"/>
    </xf>
    <xf numFmtId="0" fontId="30" fillId="0" borderId="0" xfId="0" applyFont="1" applyAlignment="1">
      <alignment horizontal="center" vertical="center"/>
    </xf>
    <xf numFmtId="0" fontId="28" fillId="0" borderId="0" xfId="0" applyFont="1" applyAlignment="1">
      <alignment horizontal="center" vertical="center"/>
    </xf>
    <xf numFmtId="0" fontId="31" fillId="0" borderId="0" xfId="0" applyFont="1" applyAlignment="1">
      <alignment horizontal="center" vertical="center"/>
    </xf>
    <xf numFmtId="0" fontId="31" fillId="0" borderId="0" xfId="0" applyFont="1" applyBorder="1" applyAlignment="1"/>
    <xf numFmtId="0" fontId="31" fillId="0" borderId="0" xfId="0" applyFont="1" applyAlignment="1">
      <alignment horizontal="left" vertical="center"/>
    </xf>
    <xf numFmtId="0" fontId="29" fillId="0" borderId="0" xfId="0" applyFont="1" applyAlignment="1"/>
    <xf numFmtId="0" fontId="32" fillId="0" borderId="0" xfId="0" applyFont="1" applyAlignment="1">
      <alignment horizontal="center" vertical="center"/>
    </xf>
    <xf numFmtId="0" fontId="33" fillId="0" borderId="0" xfId="0" applyFont="1" applyAlignment="1"/>
    <xf numFmtId="0" fontId="30" fillId="0" borderId="0" xfId="0" applyFont="1" applyAlignment="1"/>
    <xf numFmtId="0" fontId="30" fillId="0" borderId="0" xfId="0" applyFont="1" applyAlignment="1">
      <alignment horizontal="left"/>
    </xf>
    <xf numFmtId="0" fontId="34" fillId="0" borderId="0" xfId="0" applyFont="1" applyAlignment="1">
      <alignment horizontal="distributed" vertical="center"/>
    </xf>
    <xf numFmtId="0" fontId="29" fillId="0" borderId="0" xfId="0" applyFont="1" applyAlignment="1">
      <alignment horizontal="distributed" vertical="center"/>
    </xf>
    <xf numFmtId="0" fontId="29" fillId="0" borderId="0" xfId="0" applyFont="1" applyAlignment="1">
      <alignment horizontal="distributed"/>
    </xf>
    <xf numFmtId="0" fontId="29" fillId="0" borderId="0" xfId="0" applyFont="1" applyAlignment="1">
      <alignment wrapText="1"/>
    </xf>
    <xf numFmtId="0" fontId="9" fillId="0" borderId="0" xfId="0" applyFont="1" applyAlignment="1"/>
    <xf numFmtId="0" fontId="34" fillId="0" borderId="0" xfId="0" applyFont="1" applyAlignment="1">
      <alignment horizontal="distributed"/>
    </xf>
    <xf numFmtId="0" fontId="0" fillId="0" borderId="0" xfId="0" applyAlignment="1">
      <alignment horizontal="distributed"/>
    </xf>
    <xf numFmtId="0" fontId="34" fillId="0" borderId="0" xfId="0" applyFont="1" applyAlignment="1">
      <alignment horizontal="left"/>
    </xf>
    <xf numFmtId="49" fontId="11" fillId="0" borderId="0" xfId="0" applyNumberFormat="1" applyFont="1" applyAlignment="1"/>
    <xf numFmtId="0" fontId="10" fillId="0" borderId="0" xfId="0" applyFont="1" applyBorder="1" applyAlignment="1">
      <alignment horizontal="center" vertical="center" wrapText="1"/>
    </xf>
    <xf numFmtId="49" fontId="0" fillId="0" borderId="0" xfId="0" applyNumberFormat="1" applyAlignment="1"/>
    <xf numFmtId="0" fontId="11" fillId="0" borderId="0" xfId="0" applyFont="1" applyAlignment="1">
      <alignment horizontal="left" shrinkToFit="1"/>
    </xf>
    <xf numFmtId="0" fontId="0" fillId="0" borderId="0" xfId="0" applyAlignment="1">
      <alignment horizontal="left" shrinkToFit="1"/>
    </xf>
    <xf numFmtId="0" fontId="35" fillId="0" borderId="12" xfId="0" applyFont="1" applyBorder="1" applyAlignment="1">
      <alignment horizontal="center" vertical="center"/>
    </xf>
    <xf numFmtId="0" fontId="10" fillId="0" borderId="12" xfId="0" applyFont="1" applyBorder="1" applyAlignment="1">
      <alignment horizontal="center" vertical="center" wrapText="1"/>
    </xf>
    <xf numFmtId="0" fontId="7" fillId="0" borderId="12" xfId="0" applyFont="1" applyBorder="1" applyAlignment="1">
      <alignment horizontal="center" vertical="center"/>
    </xf>
    <xf numFmtId="0" fontId="2" fillId="0" borderId="12" xfId="0" applyFont="1" applyBorder="1" applyAlignment="1">
      <alignment horizontal="center" vertical="center"/>
    </xf>
    <xf numFmtId="0" fontId="11" fillId="0" borderId="0" xfId="0" applyFont="1" applyAlignment="1">
      <alignment shrinkToFit="1"/>
    </xf>
    <xf numFmtId="0" fontId="0" fillId="0" borderId="0" xfId="0" applyAlignment="1">
      <alignment shrinkToFit="1"/>
    </xf>
    <xf numFmtId="0" fontId="30" fillId="0" borderId="12" xfId="0" applyFont="1" applyBorder="1" applyAlignment="1">
      <alignment horizontal="center" vertical="center"/>
    </xf>
    <xf numFmtId="14" fontId="35" fillId="0" borderId="0" xfId="0" applyNumberFormat="1" applyFont="1" applyAlignment="1">
      <alignment horizontal="center" vertical="center"/>
    </xf>
    <xf numFmtId="0" fontId="0" fillId="0" borderId="0" xfId="0" applyFont="1" applyAlignment="1"/>
    <xf numFmtId="14" fontId="35" fillId="0" borderId="12" xfId="0" applyNumberFormat="1" applyFont="1" applyBorder="1" applyAlignment="1">
      <alignment horizontal="center" vertical="center"/>
    </xf>
    <xf numFmtId="0" fontId="8" fillId="0" borderId="0" xfId="0" applyFont="1" applyAlignment="1"/>
    <xf numFmtId="0" fontId="36" fillId="0" borderId="0" xfId="0" applyFont="1" applyBorder="1" applyAlignment="1">
      <alignment horizontal="center" vertical="center"/>
    </xf>
    <xf numFmtId="0" fontId="0" fillId="0" borderId="12" xfId="0" applyBorder="1">
      <alignment vertical="center"/>
    </xf>
    <xf numFmtId="0" fontId="8" fillId="0" borderId="0" xfId="0" applyFont="1" applyAlignment="1">
      <alignment horizontal="center"/>
    </xf>
    <xf numFmtId="0" fontId="9" fillId="0" borderId="0" xfId="0" applyFont="1" applyBorder="1" applyAlignment="1"/>
    <xf numFmtId="0" fontId="2" fillId="0" borderId="0" xfId="0" applyFont="1" applyAlignment="1">
      <alignment vertical="center"/>
    </xf>
    <xf numFmtId="0" fontId="2" fillId="0" borderId="0" xfId="0" applyFont="1" applyBorder="1" applyAlignment="1">
      <alignment vertical="center"/>
    </xf>
    <xf numFmtId="0" fontId="25" fillId="0" borderId="12" xfId="0" applyFont="1" applyBorder="1" applyAlignment="1"/>
    <xf numFmtId="0" fontId="25" fillId="0" borderId="0" xfId="0" applyFont="1" applyBorder="1" applyAlignment="1"/>
    <xf numFmtId="0" fontId="7" fillId="0" borderId="0" xfId="0" applyFont="1" applyAlignment="1">
      <alignment horizontal="center" vertical="center"/>
    </xf>
    <xf numFmtId="49" fontId="9" fillId="0" borderId="0" xfId="0" applyNumberFormat="1" applyFont="1" applyAlignment="1">
      <alignment vertical="center"/>
    </xf>
    <xf numFmtId="0" fontId="7" fillId="0" borderId="0" xfId="0" applyNumberFormat="1" applyFont="1" applyAlignment="1">
      <alignment vertical="center"/>
    </xf>
    <xf numFmtId="49" fontId="0" fillId="0" borderId="0" xfId="0" applyNumberFormat="1" applyAlignment="1">
      <alignment horizontal="center" vertical="center"/>
    </xf>
    <xf numFmtId="0" fontId="7" fillId="0" borderId="0" xfId="0" applyNumberFormat="1" applyFont="1" applyAlignment="1">
      <alignment horizontal="center" vertical="center"/>
    </xf>
    <xf numFmtId="0" fontId="7" fillId="0" borderId="0" xfId="0" applyFont="1" applyAlignment="1">
      <alignment horizontal="center"/>
    </xf>
    <xf numFmtId="0" fontId="2" fillId="0" borderId="0" xfId="0" applyNumberFormat="1" applyFont="1" applyAlignment="1">
      <alignment horizontal="center" vertical="center"/>
    </xf>
    <xf numFmtId="0" fontId="3" fillId="0" borderId="0" xfId="0" applyFont="1" applyAlignment="1"/>
    <xf numFmtId="0" fontId="3" fillId="0" borderId="0" xfId="0" applyFont="1" applyBorder="1" applyAlignment="1"/>
    <xf numFmtId="49" fontId="2" fillId="0" borderId="12" xfId="0" applyNumberFormat="1" applyFont="1" applyBorder="1" applyAlignment="1">
      <alignment horizontal="right" vertical="center"/>
    </xf>
    <xf numFmtId="49" fontId="7" fillId="0" borderId="12" xfId="0" applyNumberFormat="1" applyFont="1" applyBorder="1" applyAlignment="1">
      <alignment horizontal="center" vertical="center"/>
    </xf>
    <xf numFmtId="49" fontId="11" fillId="0" borderId="12" xfId="0" applyNumberFormat="1" applyFont="1" applyBorder="1" applyAlignment="1">
      <alignment horizontal="left" vertical="center"/>
    </xf>
    <xf numFmtId="49" fontId="3" fillId="0" borderId="12" xfId="0" applyNumberFormat="1" applyFont="1" applyBorder="1" applyAlignment="1">
      <alignment horizontal="left" vertical="center"/>
    </xf>
    <xf numFmtId="49" fontId="11" fillId="0" borderId="12" xfId="0" applyNumberFormat="1" applyFont="1" applyBorder="1" applyAlignment="1"/>
    <xf numFmtId="49" fontId="25" fillId="0" borderId="12" xfId="0" applyNumberFormat="1" applyFont="1" applyBorder="1" applyAlignment="1"/>
    <xf numFmtId="49" fontId="3" fillId="0" borderId="0" xfId="0" applyNumberFormat="1" applyFont="1" applyAlignment="1"/>
    <xf numFmtId="0" fontId="2" fillId="0" borderId="12" xfId="0" applyNumberFormat="1" applyFont="1" applyBorder="1" applyAlignment="1">
      <alignment horizontal="center" vertical="center"/>
    </xf>
    <xf numFmtId="49" fontId="7" fillId="0" borderId="12" xfId="0" applyNumberFormat="1" applyFont="1" applyBorder="1" applyAlignment="1">
      <alignment horizontal="left" vertical="center"/>
    </xf>
    <xf numFmtId="49" fontId="2" fillId="0" borderId="12" xfId="0" applyNumberFormat="1" applyFont="1" applyBorder="1" applyAlignment="1">
      <alignment horizontal="left" vertical="center"/>
    </xf>
    <xf numFmtId="0" fontId="3" fillId="0" borderId="12" xfId="0" applyFont="1" applyBorder="1" applyAlignment="1"/>
    <xf numFmtId="0" fontId="37" fillId="0" borderId="0" xfId="0" applyFont="1">
      <alignment vertical="center"/>
    </xf>
    <xf numFmtId="0" fontId="38" fillId="0" borderId="0" xfId="0" applyFont="1">
      <alignment vertical="center"/>
    </xf>
    <xf numFmtId="0" fontId="39" fillId="0" borderId="0" xfId="0" applyFont="1" applyAlignment="1">
      <alignment horizontal="right" vertical="center"/>
    </xf>
    <xf numFmtId="0" fontId="39" fillId="0" borderId="0" xfId="0" applyFont="1" applyAlignment="1">
      <alignment horizontal="right"/>
    </xf>
    <xf numFmtId="0" fontId="37" fillId="0" borderId="0" xfId="0" applyFont="1" applyAlignment="1">
      <alignment horizontal="center" vertical="center"/>
    </xf>
    <xf numFmtId="0" fontId="40" fillId="0" borderId="0" xfId="0" applyFont="1" applyAlignment="1">
      <alignment horizontal="center" vertical="center" wrapText="1"/>
    </xf>
    <xf numFmtId="0" fontId="40" fillId="0" borderId="0" xfId="0" applyFont="1">
      <alignment vertical="center"/>
    </xf>
    <xf numFmtId="0" fontId="40" fillId="0" borderId="0" xfId="0" applyFont="1" applyAlignment="1">
      <alignment horizontal="center" vertical="center"/>
    </xf>
    <xf numFmtId="14" fontId="40" fillId="0" borderId="0" xfId="0" applyNumberFormat="1" applyFont="1" applyAlignment="1">
      <alignment horizontal="center" vertical="center"/>
    </xf>
    <xf numFmtId="0" fontId="38" fillId="0" borderId="0" xfId="0" applyFont="1" applyAlignment="1">
      <alignment horizontal="center" vertical="center"/>
    </xf>
    <xf numFmtId="0" fontId="41" fillId="0" borderId="0" xfId="0" applyFont="1" applyAlignment="1">
      <alignment horizontal="center" vertical="center" wrapText="1"/>
    </xf>
    <xf numFmtId="0" fontId="42" fillId="0" borderId="0" xfId="0" applyFont="1" applyAlignment="1">
      <alignment horizontal="center" vertical="center"/>
    </xf>
    <xf numFmtId="0" fontId="43" fillId="0" borderId="0" xfId="0" applyFont="1" applyAlignment="1">
      <alignment horizontal="center" vertical="center"/>
    </xf>
    <xf numFmtId="14" fontId="44" fillId="0" borderId="0" xfId="0" applyNumberFormat="1" applyFont="1" applyAlignment="1">
      <alignment horizontal="center" vertical="center"/>
    </xf>
    <xf numFmtId="0" fontId="44" fillId="0" borderId="0" xfId="0" applyFont="1" applyAlignment="1">
      <alignment horizontal="center" vertical="center"/>
    </xf>
    <xf numFmtId="0" fontId="16" fillId="0" borderId="0" xfId="0" applyFont="1" applyAlignment="1">
      <alignment horizontal="center" vertical="center"/>
    </xf>
    <xf numFmtId="0" fontId="44" fillId="0" borderId="0" xfId="0" applyFont="1" applyAlignment="1">
      <alignment horizontal="left" vertical="center"/>
    </xf>
    <xf numFmtId="0" fontId="44" fillId="0" borderId="0" xfId="0" applyFont="1" applyAlignment="1">
      <alignment horizontal="right" vertical="center"/>
    </xf>
    <xf numFmtId="0" fontId="39" fillId="0" borderId="0" xfId="0" applyFont="1" applyAlignment="1">
      <alignment horizontal="left"/>
    </xf>
    <xf numFmtId="0" fontId="39" fillId="0" borderId="0" xfId="0" applyFont="1" applyAlignment="1">
      <alignment horizontal="left" vertical="center"/>
    </xf>
    <xf numFmtId="0" fontId="39" fillId="0" borderId="0" xfId="0" applyFont="1">
      <alignment vertical="center"/>
    </xf>
    <xf numFmtId="0" fontId="39" fillId="0" borderId="0" xfId="0" applyFont="1" applyAlignment="1">
      <alignment horizontal="center" vertical="center"/>
    </xf>
    <xf numFmtId="0" fontId="45" fillId="0" borderId="0" xfId="0" applyFont="1" applyAlignment="1">
      <alignment horizontal="left" vertical="center" wrapText="1"/>
    </xf>
    <xf numFmtId="0" fontId="40" fillId="0" borderId="0" xfId="0" applyFont="1" applyAlignment="1">
      <alignment horizontal="left" vertical="center" wrapText="1"/>
    </xf>
    <xf numFmtId="0" fontId="39" fillId="0" borderId="0" xfId="0" applyFont="1" applyAlignment="1">
      <alignment horizontal="center"/>
    </xf>
    <xf numFmtId="0" fontId="46" fillId="0" borderId="0" xfId="0" applyFont="1" applyAlignment="1">
      <alignment horizontal="center" vertical="center"/>
    </xf>
    <xf numFmtId="0" fontId="47" fillId="0" borderId="0" xfId="0" applyFont="1" applyAlignment="1">
      <alignment horizontal="right" vertical="center"/>
    </xf>
    <xf numFmtId="14" fontId="39" fillId="0" borderId="0" xfId="0" applyNumberFormat="1" applyFont="1" applyAlignment="1">
      <alignment horizontal="center" vertical="center"/>
    </xf>
    <xf numFmtId="179" fontId="43" fillId="0" borderId="0" xfId="0" applyNumberFormat="1" applyFont="1" applyAlignment="1">
      <alignment horizontal="left" vertical="center"/>
    </xf>
    <xf numFmtId="14" fontId="48" fillId="0" borderId="0" xfId="0" applyNumberFormat="1" applyFont="1" applyAlignment="1">
      <alignment vertical="center"/>
    </xf>
    <xf numFmtId="0" fontId="39" fillId="0" borderId="0" xfId="0" applyFont="1" applyAlignment="1">
      <alignment vertical="center"/>
    </xf>
    <xf numFmtId="0" fontId="49" fillId="0" borderId="0" xfId="0" applyFont="1" applyAlignment="1">
      <alignment horizontal="center" vertical="top"/>
    </xf>
    <xf numFmtId="0" fontId="47" fillId="0" borderId="0" xfId="0" applyFont="1" applyAlignment="1">
      <alignment horizontal="center" vertical="center"/>
    </xf>
    <xf numFmtId="0" fontId="46" fillId="0" borderId="0" xfId="0" applyFont="1">
      <alignment vertical="center"/>
    </xf>
    <xf numFmtId="179" fontId="50" fillId="0" borderId="0" xfId="0" applyNumberFormat="1" applyFont="1" applyAlignment="1">
      <alignment horizontal="left" vertical="center"/>
    </xf>
    <xf numFmtId="0" fontId="51" fillId="0" borderId="0" xfId="0" applyFont="1" applyAlignment="1">
      <alignment horizontal="center" vertical="top"/>
    </xf>
    <xf numFmtId="0" fontId="52" fillId="0" borderId="0" xfId="0" applyFont="1">
      <alignment vertical="center"/>
    </xf>
    <xf numFmtId="0" fontId="53" fillId="0" borderId="0" xfId="0" applyFont="1" applyAlignment="1">
      <alignment vertical="top"/>
    </xf>
    <xf numFmtId="0" fontId="54" fillId="0" borderId="0" xfId="0" applyFont="1" applyAlignment="1">
      <alignment vertical="center"/>
    </xf>
    <xf numFmtId="0" fontId="54" fillId="0" borderId="0" xfId="0" applyFont="1" applyAlignment="1">
      <alignment horizontal="center" vertical="center"/>
    </xf>
    <xf numFmtId="0" fontId="55" fillId="0" borderId="0" xfId="0" applyFont="1" applyAlignment="1">
      <alignment vertical="center"/>
    </xf>
    <xf numFmtId="0" fontId="56" fillId="0" borderId="0" xfId="0" applyFont="1" applyAlignment="1">
      <alignment horizontal="center" vertical="center"/>
    </xf>
    <xf numFmtId="0" fontId="57" fillId="0" borderId="0" xfId="0" applyFont="1" applyAlignment="1">
      <alignment horizontal="center" vertical="center"/>
    </xf>
    <xf numFmtId="0" fontId="58" fillId="0" borderId="0" xfId="0" applyFont="1" applyAlignment="1">
      <alignment horizontal="center" vertical="center"/>
    </xf>
    <xf numFmtId="0" fontId="0" fillId="2" borderId="0" xfId="0" applyFont="1" applyFill="1" applyAlignment="1">
      <alignment horizontal="center" vertical="center"/>
    </xf>
    <xf numFmtId="0" fontId="59" fillId="2" borderId="0" xfId="0" applyFont="1" applyFill="1" applyAlignment="1">
      <alignment horizontal="center" vertical="center"/>
    </xf>
    <xf numFmtId="0" fontId="12" fillId="2" borderId="0" xfId="0" applyFont="1" applyFill="1" applyAlignment="1">
      <alignment horizontal="center" vertical="center"/>
    </xf>
    <xf numFmtId="0" fontId="0" fillId="2" borderId="0" xfId="0" applyFill="1" applyAlignment="1">
      <alignment horizontal="right" vertical="center"/>
    </xf>
    <xf numFmtId="0" fontId="0" fillId="2" borderId="12" xfId="0" applyFont="1" applyFill="1" applyBorder="1" applyAlignment="1">
      <alignment horizontal="center" vertical="center"/>
    </xf>
    <xf numFmtId="0" fontId="0" fillId="2" borderId="16" xfId="0" applyFill="1" applyBorder="1" applyAlignment="1">
      <alignment horizontal="center" vertical="center" textRotation="255"/>
    </xf>
    <xf numFmtId="0" fontId="0" fillId="2" borderId="17" xfId="0" applyFont="1" applyFill="1" applyBorder="1" applyAlignment="1">
      <alignment horizontal="center" vertical="center"/>
    </xf>
    <xf numFmtId="0" fontId="22" fillId="2" borderId="17" xfId="0" applyFont="1" applyFill="1" applyBorder="1" applyAlignment="1">
      <alignment horizontal="center" vertical="center"/>
    </xf>
    <xf numFmtId="0" fontId="22" fillId="2" borderId="18" xfId="0" applyFont="1" applyFill="1" applyBorder="1" applyAlignment="1">
      <alignment horizontal="center" vertical="center"/>
    </xf>
    <xf numFmtId="0" fontId="22" fillId="2" borderId="19" xfId="0" applyFont="1" applyFill="1" applyBorder="1" applyAlignment="1">
      <alignment horizontal="center" vertical="center" textRotation="255"/>
    </xf>
    <xf numFmtId="0" fontId="22" fillId="2" borderId="1" xfId="0" applyFont="1" applyFill="1" applyBorder="1" applyAlignment="1">
      <alignment horizontal="left" vertical="center"/>
    </xf>
    <xf numFmtId="0" fontId="22" fillId="2" borderId="20" xfId="0" applyFont="1" applyFill="1" applyBorder="1" applyAlignment="1">
      <alignment horizontal="left" vertical="center"/>
    </xf>
    <xf numFmtId="0" fontId="22" fillId="2" borderId="2" xfId="0" applyFont="1" applyFill="1" applyBorder="1" applyAlignment="1">
      <alignment horizontal="right" vertical="center"/>
    </xf>
    <xf numFmtId="0" fontId="22" fillId="2" borderId="6" xfId="0" applyFont="1" applyFill="1" applyBorder="1" applyAlignment="1">
      <alignment horizontal="right" vertical="center"/>
    </xf>
    <xf numFmtId="0" fontId="22" fillId="2" borderId="21" xfId="0" applyFont="1" applyFill="1" applyBorder="1" applyAlignment="1">
      <alignment horizontal="right" vertical="center"/>
    </xf>
    <xf numFmtId="0" fontId="22" fillId="2" borderId="22" xfId="0" applyFont="1" applyFill="1" applyBorder="1" applyAlignment="1">
      <alignment horizontal="center" vertical="center" textRotation="255"/>
    </xf>
    <xf numFmtId="0" fontId="22" fillId="2" borderId="1" xfId="0" applyFont="1" applyFill="1" applyBorder="1" applyAlignment="1">
      <alignment horizontal="center" vertical="center"/>
    </xf>
    <xf numFmtId="0" fontId="22" fillId="2" borderId="20" xfId="0" applyFont="1" applyFill="1" applyBorder="1" applyAlignment="1">
      <alignment horizontal="center" vertical="center"/>
    </xf>
    <xf numFmtId="0" fontId="22" fillId="2" borderId="23" xfId="0" applyFont="1" applyFill="1" applyBorder="1" applyAlignment="1">
      <alignment horizontal="center" vertical="center"/>
    </xf>
    <xf numFmtId="0" fontId="22" fillId="2" borderId="24" xfId="0" applyFont="1" applyFill="1" applyBorder="1" applyAlignment="1">
      <alignment horizontal="center" vertical="center"/>
    </xf>
    <xf numFmtId="0" fontId="22" fillId="2" borderId="25" xfId="0" applyFont="1" applyFill="1" applyBorder="1" applyAlignment="1">
      <alignment horizontal="center" vertical="center"/>
    </xf>
    <xf numFmtId="0" fontId="22" fillId="2" borderId="26" xfId="0" applyFont="1" applyFill="1" applyBorder="1" applyAlignment="1">
      <alignment horizontal="left" vertical="center" wrapText="1"/>
    </xf>
    <xf numFmtId="0" fontId="22" fillId="2" borderId="27" xfId="0" applyFont="1" applyFill="1" applyBorder="1" applyAlignment="1">
      <alignment horizontal="left" vertical="center" wrapText="1"/>
    </xf>
    <xf numFmtId="0" fontId="22" fillId="2" borderId="28" xfId="0" applyFont="1" applyFill="1" applyBorder="1" applyAlignment="1">
      <alignment horizontal="left" vertical="center" wrapText="1"/>
    </xf>
    <xf numFmtId="0" fontId="22" fillId="2" borderId="29" xfId="0" applyFont="1" applyFill="1" applyBorder="1" applyAlignment="1">
      <alignment horizontal="center" vertical="center"/>
    </xf>
    <xf numFmtId="0" fontId="22" fillId="2" borderId="6" xfId="0" applyFont="1" applyFill="1" applyBorder="1" applyAlignment="1">
      <alignment horizontal="center" vertical="center"/>
    </xf>
    <xf numFmtId="0" fontId="22" fillId="2" borderId="21" xfId="0" applyFont="1" applyFill="1" applyBorder="1" applyAlignment="1">
      <alignment horizontal="center" vertical="center"/>
    </xf>
    <xf numFmtId="0" fontId="22" fillId="2" borderId="30" xfId="0" applyFont="1" applyFill="1" applyBorder="1" applyAlignment="1">
      <alignment horizontal="center" vertical="center" textRotation="255"/>
    </xf>
    <xf numFmtId="0" fontId="22" fillId="2" borderId="8" xfId="0" applyFont="1" applyFill="1" applyBorder="1" applyAlignment="1">
      <alignment horizontal="center" vertical="center"/>
    </xf>
    <xf numFmtId="0" fontId="22" fillId="2" borderId="9" xfId="0" applyFont="1" applyFill="1" applyBorder="1" applyAlignment="1">
      <alignment horizontal="center" vertical="center"/>
    </xf>
    <xf numFmtId="0" fontId="22" fillId="2" borderId="31" xfId="0" applyFont="1" applyFill="1" applyBorder="1" applyAlignment="1">
      <alignment horizontal="center" vertical="center"/>
    </xf>
    <xf numFmtId="0" fontId="22" fillId="2" borderId="32" xfId="0" applyFont="1" applyFill="1" applyBorder="1" applyAlignment="1">
      <alignment horizontal="center" vertical="center"/>
    </xf>
    <xf numFmtId="0" fontId="22" fillId="2" borderId="0" xfId="0" applyFont="1" applyFill="1" applyBorder="1" applyAlignment="1">
      <alignment horizontal="center" vertical="center"/>
    </xf>
    <xf numFmtId="0" fontId="22" fillId="2" borderId="33" xfId="0" applyFont="1" applyFill="1" applyBorder="1" applyAlignment="1">
      <alignment horizontal="center" vertical="center"/>
    </xf>
    <xf numFmtId="0" fontId="22" fillId="2" borderId="34" xfId="0" applyFont="1" applyFill="1" applyBorder="1" applyAlignment="1">
      <alignment horizontal="center" vertical="center" textRotation="255"/>
    </xf>
    <xf numFmtId="0" fontId="22" fillId="2" borderId="35" xfId="0" applyFont="1" applyFill="1" applyBorder="1" applyAlignment="1">
      <alignment horizontal="center" vertical="center"/>
    </xf>
    <xf numFmtId="0" fontId="22" fillId="2" borderId="36" xfId="0" applyFont="1" applyFill="1" applyBorder="1" applyAlignment="1">
      <alignment horizontal="center" vertical="center"/>
    </xf>
    <xf numFmtId="0" fontId="22" fillId="2" borderId="37" xfId="0" applyFont="1" applyFill="1" applyBorder="1" applyAlignment="1">
      <alignment horizontal="center" vertical="center"/>
    </xf>
    <xf numFmtId="0" fontId="22" fillId="2" borderId="26" xfId="0" applyFont="1" applyFill="1" applyBorder="1" applyAlignment="1">
      <alignment horizontal="center" vertical="center"/>
    </xf>
    <xf numFmtId="0" fontId="22" fillId="2" borderId="27" xfId="0" applyFont="1" applyFill="1" applyBorder="1" applyAlignment="1">
      <alignment horizontal="center" vertical="center"/>
    </xf>
    <xf numFmtId="0" fontId="16" fillId="2" borderId="26" xfId="0" applyFont="1" applyFill="1" applyBorder="1" applyAlignment="1">
      <alignment horizontal="center" vertical="center"/>
    </xf>
    <xf numFmtId="0" fontId="16" fillId="2" borderId="27" xfId="0" applyFont="1" applyFill="1" applyBorder="1" applyAlignment="1">
      <alignment horizontal="center" vertical="center"/>
    </xf>
    <xf numFmtId="0" fontId="16" fillId="2" borderId="28" xfId="0" applyFont="1" applyFill="1" applyBorder="1" applyAlignment="1">
      <alignment horizontal="center" vertical="center"/>
    </xf>
    <xf numFmtId="0" fontId="0" fillId="2" borderId="0" xfId="0" applyFill="1" applyAlignment="1">
      <alignment horizontal="left" vertical="center"/>
    </xf>
    <xf numFmtId="0" fontId="0" fillId="2" borderId="0" xfId="0" applyFill="1">
      <alignment vertical="center"/>
    </xf>
    <xf numFmtId="0" fontId="60" fillId="2" borderId="0" xfId="0" applyFont="1" applyFill="1" applyAlignment="1">
      <alignment horizontal="center" vertical="center"/>
    </xf>
    <xf numFmtId="0" fontId="61" fillId="2" borderId="0" xfId="0" applyFont="1" applyFill="1" applyAlignment="1">
      <alignment horizontal="left" vertical="center"/>
    </xf>
    <xf numFmtId="0" fontId="61" fillId="2" borderId="0" xfId="0" applyFont="1" applyFill="1">
      <alignment vertical="center"/>
    </xf>
    <xf numFmtId="0" fontId="62" fillId="2" borderId="0" xfId="0" applyFont="1" applyFill="1">
      <alignment vertical="center"/>
    </xf>
    <xf numFmtId="0" fontId="0" fillId="2" borderId="12" xfId="0" applyFill="1" applyBorder="1">
      <alignment vertical="center"/>
    </xf>
    <xf numFmtId="0" fontId="63" fillId="2" borderId="0" xfId="0" applyFont="1" applyFill="1">
      <alignment vertical="center"/>
    </xf>
    <xf numFmtId="0" fontId="64" fillId="2" borderId="0" xfId="0" applyFont="1" applyFill="1">
      <alignment vertical="center"/>
    </xf>
    <xf numFmtId="0" fontId="18" fillId="2" borderId="0" xfId="0" applyFont="1" applyFill="1">
      <alignment vertical="center"/>
    </xf>
    <xf numFmtId="0" fontId="38" fillId="2" borderId="0" xfId="0" applyFont="1" applyFill="1">
      <alignment vertical="center"/>
    </xf>
    <xf numFmtId="0" fontId="27" fillId="2" borderId="0" xfId="0" applyFont="1" applyFill="1">
      <alignment vertical="center"/>
    </xf>
    <xf numFmtId="0" fontId="65" fillId="2" borderId="0" xfId="0" applyFont="1" applyFill="1" applyAlignment="1">
      <alignment horizontal="center" vertical="center"/>
    </xf>
    <xf numFmtId="0" fontId="66" fillId="2" borderId="0" xfId="0" applyFont="1" applyFill="1">
      <alignment vertical="center"/>
    </xf>
    <xf numFmtId="0" fontId="67" fillId="2" borderId="12" xfId="0" applyFont="1" applyFill="1" applyBorder="1" applyAlignment="1">
      <alignment horizontal="center" vertical="center"/>
    </xf>
    <xf numFmtId="0" fontId="44" fillId="2" borderId="12" xfId="0" applyFont="1" applyFill="1" applyBorder="1" applyAlignment="1">
      <alignment horizontal="center" vertical="center"/>
    </xf>
    <xf numFmtId="0" fontId="38" fillId="2" borderId="9" xfId="0" applyFont="1" applyFill="1" applyBorder="1" applyAlignment="1">
      <alignment horizontal="center" vertical="center"/>
    </xf>
    <xf numFmtId="0" fontId="38" fillId="2" borderId="12" xfId="0" applyFont="1" applyFill="1" applyBorder="1" applyAlignment="1">
      <alignment horizontal="center" vertical="center"/>
    </xf>
    <xf numFmtId="0" fontId="68" fillId="2" borderId="0" xfId="0" applyFont="1" applyFill="1">
      <alignment vertical="center"/>
    </xf>
    <xf numFmtId="0" fontId="65" fillId="2" borderId="9" xfId="0" applyFont="1" applyFill="1" applyBorder="1" applyAlignment="1">
      <alignment horizontal="center" vertical="center"/>
    </xf>
    <xf numFmtId="0" fontId="45" fillId="2" borderId="0" xfId="0" applyFont="1" applyFill="1">
      <alignment vertical="center"/>
    </xf>
    <xf numFmtId="14" fontId="38" fillId="2" borderId="9" xfId="0" applyNumberFormat="1" applyFont="1" applyFill="1" applyBorder="1" applyAlignment="1">
      <alignment horizontal="center" vertical="center"/>
    </xf>
    <xf numFmtId="0" fontId="40" fillId="2" borderId="0" xfId="0" applyFont="1" applyFill="1">
      <alignment vertical="center"/>
    </xf>
    <xf numFmtId="0" fontId="69" fillId="2" borderId="0" xfId="0" applyFont="1" applyFill="1" applyAlignment="1">
      <alignment horizontal="center" vertical="center" wrapText="1"/>
    </xf>
    <xf numFmtId="0" fontId="38" fillId="2" borderId="0" xfId="0" applyFont="1" applyFill="1" applyAlignment="1">
      <alignment horizontal="center" vertical="center"/>
    </xf>
    <xf numFmtId="0" fontId="65" fillId="2" borderId="12" xfId="0" applyFont="1" applyFill="1" applyBorder="1" applyAlignment="1">
      <alignment horizontal="center" vertical="center"/>
    </xf>
    <xf numFmtId="0" fontId="70" fillId="2" borderId="0" xfId="0" applyFont="1" applyFill="1">
      <alignment vertical="center"/>
    </xf>
    <xf numFmtId="0" fontId="0" fillId="2" borderId="8" xfId="0" applyFill="1" applyBorder="1">
      <alignment vertical="center"/>
    </xf>
    <xf numFmtId="0" fontId="0" fillId="2" borderId="7" xfId="0" applyFill="1" applyBorder="1">
      <alignment vertical="center"/>
    </xf>
    <xf numFmtId="0" fontId="0" fillId="2" borderId="9" xfId="0" applyFill="1" applyBorder="1">
      <alignment vertical="center"/>
    </xf>
    <xf numFmtId="0" fontId="0" fillId="2" borderId="8" xfId="0" applyFill="1" applyBorder="1" applyAlignment="1">
      <alignment horizontal="left" vertical="center"/>
    </xf>
    <xf numFmtId="0" fontId="0" fillId="2" borderId="10" xfId="0" applyFill="1" applyBorder="1" applyAlignment="1">
      <alignment horizontal="left" vertical="center"/>
    </xf>
    <xf numFmtId="0" fontId="38" fillId="2" borderId="11" xfId="0" applyFont="1" applyFill="1" applyBorder="1">
      <alignment vertical="center"/>
    </xf>
    <xf numFmtId="0" fontId="38" fillId="2" borderId="5" xfId="0" applyFont="1" applyFill="1" applyBorder="1">
      <alignment vertical="center"/>
    </xf>
    <xf numFmtId="0" fontId="38" fillId="2" borderId="12" xfId="0" applyFont="1" applyFill="1" applyBorder="1">
      <alignment vertical="center"/>
    </xf>
    <xf numFmtId="0" fontId="38" fillId="2" borderId="11" xfId="0" applyFont="1" applyFill="1" applyBorder="1" applyAlignment="1">
      <alignment horizontal="left" vertical="center"/>
    </xf>
    <xf numFmtId="0" fontId="38" fillId="2" borderId="13" xfId="0" applyFont="1" applyFill="1" applyBorder="1" applyAlignment="1">
      <alignment horizontal="left" vertical="center"/>
    </xf>
    <xf numFmtId="0" fontId="16" fillId="2" borderId="0" xfId="0" applyFont="1" applyFill="1" applyAlignment="1">
      <alignment horizontal="left" vertical="center" wrapText="1"/>
    </xf>
    <xf numFmtId="0" fontId="71" fillId="2" borderId="0" xfId="0" applyFont="1" applyFill="1" applyAlignment="1">
      <alignment horizontal="center" vertical="center" wrapText="1"/>
    </xf>
    <xf numFmtId="0" fontId="72" fillId="2" borderId="0" xfId="0" applyFont="1" applyFill="1" applyAlignment="1">
      <alignment horizontal="left" wrapText="1"/>
    </xf>
    <xf numFmtId="0" fontId="16" fillId="2" borderId="0" xfId="0" applyFont="1" applyFill="1" applyAlignment="1">
      <alignment horizontal="left" wrapText="1"/>
    </xf>
    <xf numFmtId="0" fontId="73" fillId="2" borderId="0" xfId="0" applyFont="1" applyFill="1" applyAlignment="1">
      <alignment horizontal="center" vertical="center" wrapText="1"/>
    </xf>
    <xf numFmtId="0" fontId="16" fillId="2" borderId="1" xfId="0" applyFont="1" applyFill="1" applyBorder="1" applyAlignment="1">
      <alignment horizontal="center" vertical="center" wrapText="1"/>
    </xf>
    <xf numFmtId="0" fontId="73" fillId="2" borderId="1" xfId="0" applyFont="1" applyFill="1" applyBorder="1" applyAlignment="1">
      <alignment horizontal="center" vertical="center" wrapText="1"/>
    </xf>
    <xf numFmtId="0" fontId="74" fillId="2" borderId="1" xfId="0" applyFont="1" applyFill="1" applyBorder="1" applyAlignment="1">
      <alignment horizontal="center" vertical="center" wrapText="1"/>
    </xf>
    <xf numFmtId="0" fontId="16" fillId="2" borderId="2" xfId="0" applyFont="1" applyFill="1" applyBorder="1" applyAlignment="1">
      <alignment horizontal="left" vertical="center" wrapText="1"/>
    </xf>
    <xf numFmtId="0" fontId="16" fillId="2" borderId="6" xfId="0" applyFont="1" applyFill="1" applyBorder="1" applyAlignment="1">
      <alignment horizontal="left" vertical="center" wrapText="1"/>
    </xf>
    <xf numFmtId="0" fontId="16" fillId="2" borderId="3" xfId="0" applyFont="1" applyFill="1" applyBorder="1" applyAlignment="1">
      <alignment horizontal="left" vertical="center" wrapText="1"/>
    </xf>
    <xf numFmtId="0" fontId="75" fillId="2" borderId="1" xfId="0" applyFont="1" applyFill="1" applyBorder="1" applyAlignment="1">
      <alignment horizontal="center" vertical="center" wrapText="1"/>
    </xf>
    <xf numFmtId="0" fontId="76" fillId="2" borderId="1" xfId="0" applyFont="1" applyFill="1" applyBorder="1" applyAlignment="1">
      <alignment horizontal="center" vertical="center" wrapText="1"/>
    </xf>
    <xf numFmtId="0" fontId="73" fillId="2" borderId="2" xfId="0" applyFont="1" applyFill="1" applyBorder="1" applyAlignment="1">
      <alignment horizontal="center" vertical="center" wrapText="1"/>
    </xf>
    <xf numFmtId="0" fontId="73" fillId="2" borderId="6" xfId="0" applyFont="1" applyFill="1" applyBorder="1" applyAlignment="1">
      <alignment horizontal="center" vertical="center" wrapText="1"/>
    </xf>
    <xf numFmtId="0" fontId="73" fillId="2" borderId="3" xfId="0" applyFont="1" applyFill="1" applyBorder="1" applyAlignment="1">
      <alignment horizontal="center" vertical="center" wrapText="1"/>
    </xf>
    <xf numFmtId="178" fontId="73" fillId="2" borderId="1" xfId="0" applyNumberFormat="1" applyFont="1" applyFill="1" applyBorder="1" applyAlignment="1">
      <alignment horizontal="center" vertical="center" wrapText="1"/>
    </xf>
    <xf numFmtId="0" fontId="19" fillId="2" borderId="2" xfId="0" applyFont="1" applyFill="1" applyBorder="1" applyAlignment="1">
      <alignment horizontal="center" vertical="center" wrapText="1"/>
    </xf>
    <xf numFmtId="0" fontId="77" fillId="2" borderId="3" xfId="0" applyFont="1" applyFill="1" applyBorder="1" applyAlignment="1">
      <alignment horizontal="center" vertical="center" wrapText="1"/>
    </xf>
    <xf numFmtId="0" fontId="77" fillId="2" borderId="1" xfId="0" applyFont="1" applyFill="1" applyBorder="1" applyAlignment="1">
      <alignment horizontal="center" vertical="center" wrapText="1"/>
    </xf>
    <xf numFmtId="0" fontId="19" fillId="2" borderId="1" xfId="0" applyFont="1" applyFill="1" applyBorder="1" applyAlignment="1">
      <alignment horizontal="center" vertical="center" wrapText="1"/>
    </xf>
    <xf numFmtId="0" fontId="16" fillId="2" borderId="2" xfId="0" applyFont="1" applyFill="1" applyBorder="1" applyAlignment="1">
      <alignment horizontal="center" vertical="center" wrapText="1"/>
    </xf>
    <xf numFmtId="0" fontId="16" fillId="2" borderId="1" xfId="0" applyFont="1" applyFill="1" applyBorder="1" applyAlignment="1">
      <alignment horizontal="left" vertical="center" wrapText="1"/>
    </xf>
    <xf numFmtId="0" fontId="16" fillId="2" borderId="6" xfId="0" applyFont="1" applyFill="1" applyBorder="1" applyAlignment="1">
      <alignment horizontal="center" vertical="center" wrapText="1"/>
    </xf>
    <xf numFmtId="0" fontId="78" fillId="2" borderId="6" xfId="0" applyFont="1" applyFill="1" applyBorder="1" applyAlignment="1">
      <alignment horizontal="center" vertical="center" wrapText="1"/>
    </xf>
    <xf numFmtId="0" fontId="78" fillId="2" borderId="3" xfId="0" applyFont="1" applyFill="1" applyBorder="1" applyAlignment="1">
      <alignment horizontal="center" vertical="center" wrapText="1"/>
    </xf>
    <xf numFmtId="0" fontId="16" fillId="2" borderId="8" xfId="0" applyFont="1" applyFill="1" applyBorder="1" applyAlignment="1">
      <alignment horizontal="left" vertical="center" wrapText="1"/>
    </xf>
    <xf numFmtId="0" fontId="16" fillId="2" borderId="9" xfId="0" applyFont="1" applyFill="1" applyBorder="1" applyAlignment="1">
      <alignment horizontal="left" vertical="center" wrapText="1"/>
    </xf>
    <xf numFmtId="0" fontId="16" fillId="2" borderId="10" xfId="0" applyFont="1" applyFill="1" applyBorder="1" applyAlignment="1">
      <alignment horizontal="left" vertical="center" wrapText="1"/>
    </xf>
    <xf numFmtId="0" fontId="16" fillId="2" borderId="11" xfId="0" applyFont="1" applyFill="1" applyBorder="1" applyAlignment="1">
      <alignment horizontal="left" vertical="center" wrapText="1"/>
    </xf>
    <xf numFmtId="0" fontId="16" fillId="2" borderId="12" xfId="0" applyFont="1" applyFill="1" applyBorder="1" applyAlignment="1">
      <alignment horizontal="left" vertical="center" wrapText="1"/>
    </xf>
    <xf numFmtId="0" fontId="26" fillId="2" borderId="12" xfId="0" applyFont="1" applyFill="1" applyBorder="1" applyAlignment="1">
      <alignment horizontal="left" vertical="center" wrapText="1"/>
    </xf>
    <xf numFmtId="0" fontId="16" fillId="2" borderId="13" xfId="0" applyFont="1" applyFill="1" applyBorder="1" applyAlignment="1">
      <alignment horizontal="left" vertical="center" wrapText="1"/>
    </xf>
    <xf numFmtId="0" fontId="78" fillId="2" borderId="1" xfId="0" applyFont="1" applyFill="1" applyBorder="1" applyAlignment="1">
      <alignment horizontal="center" vertical="center" wrapText="1"/>
    </xf>
    <xf numFmtId="0" fontId="16" fillId="2" borderId="7" xfId="0" applyFont="1" applyFill="1" applyBorder="1" applyAlignment="1">
      <alignment horizontal="left" vertical="center" wrapText="1"/>
    </xf>
    <xf numFmtId="0" fontId="16" fillId="2" borderId="9" xfId="0" applyFont="1" applyFill="1" applyBorder="1" applyAlignment="1">
      <alignment horizontal="center" vertical="center" wrapText="1"/>
    </xf>
    <xf numFmtId="0" fontId="77" fillId="2" borderId="9" xfId="0" applyFont="1" applyFill="1" applyBorder="1" applyAlignment="1">
      <alignment horizontal="center" vertical="center" wrapText="1"/>
    </xf>
    <xf numFmtId="0" fontId="16" fillId="2" borderId="38" xfId="0" applyFont="1" applyFill="1" applyBorder="1" applyAlignment="1">
      <alignment horizontal="left" vertical="center" wrapText="1"/>
    </xf>
    <xf numFmtId="0" fontId="16" fillId="2" borderId="32" xfId="0" applyFont="1" applyFill="1" applyBorder="1" applyAlignment="1">
      <alignment horizontal="left" vertical="center" wrapText="1"/>
    </xf>
    <xf numFmtId="0" fontId="16" fillId="2" borderId="0" xfId="0" applyFont="1" applyFill="1" applyBorder="1" applyAlignment="1">
      <alignment horizontal="center" vertical="center" wrapText="1"/>
    </xf>
    <xf numFmtId="0" fontId="73" fillId="2" borderId="0" xfId="0" applyFont="1" applyFill="1" applyBorder="1" applyAlignment="1">
      <alignment horizontal="center" vertical="center" wrapText="1"/>
    </xf>
    <xf numFmtId="0" fontId="16" fillId="2" borderId="0" xfId="0" applyFont="1" applyFill="1" applyBorder="1" applyAlignment="1">
      <alignment horizontal="left" vertical="center" wrapText="1"/>
    </xf>
    <xf numFmtId="0" fontId="16" fillId="2" borderId="39" xfId="0" applyFont="1" applyFill="1" applyBorder="1" applyAlignment="1">
      <alignment horizontal="left" vertical="center" wrapText="1"/>
    </xf>
    <xf numFmtId="0" fontId="77" fillId="2" borderId="0" xfId="0" applyFont="1" applyFill="1" applyBorder="1" applyAlignment="1">
      <alignment horizontal="center" vertical="center" wrapText="1"/>
    </xf>
    <xf numFmtId="0" fontId="16" fillId="2" borderId="5" xfId="0" applyFont="1" applyFill="1" applyBorder="1" applyAlignment="1">
      <alignment horizontal="left" vertical="center" wrapText="1"/>
    </xf>
    <xf numFmtId="0" fontId="16" fillId="2" borderId="12" xfId="0" applyFont="1" applyFill="1" applyBorder="1" applyAlignment="1">
      <alignment horizontal="center" vertical="center" wrapText="1"/>
    </xf>
    <xf numFmtId="0" fontId="77" fillId="2" borderId="12" xfId="0" applyFont="1" applyFill="1" applyBorder="1" applyAlignment="1">
      <alignment horizontal="center" vertical="center" wrapText="1"/>
    </xf>
    <xf numFmtId="0" fontId="16" fillId="2" borderId="3" xfId="0" applyFont="1" applyFill="1" applyBorder="1" applyAlignment="1">
      <alignment horizontal="center" vertical="center" wrapText="1"/>
    </xf>
    <xf numFmtId="0" fontId="79" fillId="2" borderId="6" xfId="0" applyFont="1" applyFill="1" applyBorder="1" applyAlignment="1">
      <alignment horizontal="center" vertical="center" wrapText="1"/>
    </xf>
    <xf numFmtId="178" fontId="16" fillId="2" borderId="6" xfId="0" applyNumberFormat="1" applyFont="1" applyFill="1" applyBorder="1" applyAlignment="1">
      <alignment horizontal="center" vertical="center" wrapText="1"/>
    </xf>
    <xf numFmtId="178" fontId="16" fillId="2" borderId="3" xfId="0" applyNumberFormat="1" applyFont="1" applyFill="1" applyBorder="1" applyAlignment="1">
      <alignment horizontal="center" vertical="center" wrapText="1"/>
    </xf>
    <xf numFmtId="0" fontId="16" fillId="2" borderId="10" xfId="0" applyFont="1" applyFill="1" applyBorder="1" applyAlignment="1">
      <alignment horizontal="center" vertical="center" wrapText="1"/>
    </xf>
    <xf numFmtId="0" fontId="26" fillId="2" borderId="32" xfId="0" applyFont="1" applyFill="1" applyBorder="1" applyAlignment="1">
      <alignment horizontal="center" vertical="center" wrapText="1"/>
    </xf>
    <xf numFmtId="0" fontId="26" fillId="2" borderId="0" xfId="0" applyFont="1" applyFill="1" applyBorder="1" applyAlignment="1">
      <alignment horizontal="center" vertical="center" wrapText="1"/>
    </xf>
    <xf numFmtId="0" fontId="26" fillId="2" borderId="39" xfId="0" applyFont="1" applyFill="1" applyBorder="1" applyAlignment="1">
      <alignment horizontal="center" vertical="center" wrapText="1"/>
    </xf>
    <xf numFmtId="0" fontId="16" fillId="2" borderId="32" xfId="0" applyFont="1" applyFill="1" applyBorder="1" applyAlignment="1">
      <alignment horizontal="center" vertical="center" wrapText="1"/>
    </xf>
    <xf numFmtId="0" fontId="16" fillId="2" borderId="39" xfId="0" applyFont="1" applyFill="1" applyBorder="1" applyAlignment="1">
      <alignment horizontal="center" vertical="center" wrapText="1"/>
    </xf>
    <xf numFmtId="0" fontId="16" fillId="2" borderId="0" xfId="0" applyFont="1" applyFill="1" applyBorder="1" applyAlignment="1">
      <alignment horizontal="center" vertical="center"/>
    </xf>
    <xf numFmtId="0" fontId="16" fillId="2" borderId="0" xfId="0" applyFont="1" applyFill="1" applyBorder="1" applyAlignment="1">
      <alignment vertical="center"/>
    </xf>
    <xf numFmtId="0" fontId="16" fillId="2" borderId="0" xfId="0" applyFont="1" applyFill="1" applyBorder="1" applyAlignment="1">
      <alignment horizontal="left" vertical="center"/>
    </xf>
    <xf numFmtId="0" fontId="16" fillId="2" borderId="39" xfId="0" applyFont="1" applyFill="1" applyBorder="1" applyAlignment="1">
      <alignment horizontal="center" vertical="center"/>
    </xf>
    <xf numFmtId="0" fontId="16" fillId="2" borderId="12" xfId="0" applyFont="1" applyFill="1" applyBorder="1" applyAlignment="1">
      <alignment horizontal="center" vertical="center"/>
    </xf>
    <xf numFmtId="0" fontId="16" fillId="2" borderId="12" xfId="0" applyFont="1" applyFill="1" applyBorder="1" applyAlignment="1">
      <alignment vertical="center"/>
    </xf>
    <xf numFmtId="0" fontId="16" fillId="2" borderId="12" xfId="0" applyFont="1" applyFill="1" applyBorder="1" applyAlignment="1">
      <alignment horizontal="left" vertical="center"/>
    </xf>
    <xf numFmtId="0" fontId="16" fillId="2" borderId="13" xfId="0" applyFont="1" applyFill="1" applyBorder="1" applyAlignment="1">
      <alignment horizontal="center" vertical="center"/>
    </xf>
    <xf numFmtId="0" fontId="77" fillId="2" borderId="0" xfId="0" applyFont="1" applyFill="1" applyAlignment="1">
      <alignment horizontal="center" vertical="center" wrapText="1"/>
    </xf>
    <xf numFmtId="0" fontId="80" fillId="2" borderId="1" xfId="0" applyFont="1" applyFill="1" applyBorder="1" applyAlignment="1">
      <alignment horizontal="center" vertical="center" wrapText="1"/>
    </xf>
    <xf numFmtId="0" fontId="77" fillId="2" borderId="2" xfId="0" applyFont="1" applyFill="1" applyBorder="1" applyAlignment="1">
      <alignment horizontal="center" vertical="center" wrapText="1"/>
    </xf>
    <xf numFmtId="0" fontId="77" fillId="2" borderId="6" xfId="0" applyFont="1" applyFill="1" applyBorder="1" applyAlignment="1">
      <alignment horizontal="center" vertical="center" wrapText="1"/>
    </xf>
    <xf numFmtId="178" fontId="77" fillId="2" borderId="1" xfId="0" applyNumberFormat="1" applyFont="1" applyFill="1" applyBorder="1" applyAlignment="1">
      <alignment horizontal="center" vertical="center" wrapText="1"/>
    </xf>
    <xf numFmtId="0" fontId="81" fillId="2" borderId="6" xfId="0" applyFont="1" applyFill="1" applyBorder="1" applyAlignment="1">
      <alignment horizontal="center" vertical="center" wrapText="1"/>
    </xf>
    <xf numFmtId="0" fontId="82" fillId="2" borderId="0" xfId="0" applyFont="1" applyFill="1" applyAlignment="1">
      <alignment vertical="center"/>
    </xf>
    <xf numFmtId="0" fontId="39" fillId="2" borderId="0" xfId="0" applyFont="1" applyFill="1" applyAlignment="1">
      <alignment vertical="center"/>
    </xf>
    <xf numFmtId="0" fontId="0" fillId="2" borderId="0" xfId="0" applyFont="1" applyFill="1">
      <alignment vertical="center"/>
    </xf>
    <xf numFmtId="0" fontId="16" fillId="2" borderId="0" xfId="0" applyFont="1" applyFill="1">
      <alignment vertical="center"/>
    </xf>
    <xf numFmtId="0" fontId="72" fillId="2" borderId="0" xfId="0" applyFont="1" applyFill="1" applyAlignment="1">
      <alignment horizontal="left"/>
    </xf>
    <xf numFmtId="0" fontId="16" fillId="2" borderId="0" xfId="0" applyFont="1" applyFill="1" applyAlignment="1">
      <alignment horizontal="left" vertical="center"/>
    </xf>
    <xf numFmtId="14" fontId="39" fillId="2" borderId="0" xfId="0" applyNumberFormat="1" applyFont="1" applyFill="1" applyBorder="1" applyAlignment="1">
      <alignment horizontal="left"/>
    </xf>
    <xf numFmtId="0" fontId="39" fillId="2" borderId="0" xfId="0" applyFont="1" applyFill="1" applyBorder="1" applyAlignment="1">
      <alignment horizontal="left"/>
    </xf>
    <xf numFmtId="0" fontId="43" fillId="2" borderId="0" xfId="0" applyFont="1" applyFill="1">
      <alignment vertical="center"/>
    </xf>
    <xf numFmtId="0" fontId="40" fillId="2" borderId="12" xfId="0" applyFont="1" applyFill="1" applyBorder="1" applyAlignment="1">
      <alignment horizontal="left"/>
    </xf>
    <xf numFmtId="0" fontId="43" fillId="2" borderId="0" xfId="0" applyFont="1" applyFill="1" applyAlignment="1">
      <alignment horizontal="left" vertical="center"/>
    </xf>
    <xf numFmtId="0" fontId="43" fillId="2" borderId="0" xfId="0" applyFont="1" applyFill="1" applyAlignment="1">
      <alignment vertical="center"/>
    </xf>
    <xf numFmtId="0" fontId="39" fillId="2" borderId="12" xfId="0" applyFont="1" applyFill="1" applyBorder="1" applyAlignment="1">
      <alignment horizontal="left"/>
    </xf>
    <xf numFmtId="0" fontId="28" fillId="2" borderId="0" xfId="0" applyFont="1" applyFill="1">
      <alignment vertical="center"/>
    </xf>
    <xf numFmtId="0" fontId="66" fillId="2" borderId="0" xfId="0" applyFont="1" applyFill="1" applyBorder="1" applyAlignment="1">
      <alignment horizontal="left" wrapText="1"/>
    </xf>
    <xf numFmtId="0" fontId="72" fillId="2" borderId="0" xfId="0" applyFont="1" applyFill="1" applyBorder="1" applyAlignment="1">
      <alignment horizontal="left" wrapText="1"/>
    </xf>
    <xf numFmtId="0" fontId="66" fillId="2" borderId="12" xfId="0" applyFont="1" applyFill="1" applyBorder="1" applyAlignment="1">
      <alignment horizontal="left" wrapText="1"/>
    </xf>
    <xf numFmtId="0" fontId="72" fillId="2" borderId="12" xfId="0" applyFont="1" applyFill="1" applyBorder="1" applyAlignment="1">
      <alignment horizontal="left" wrapText="1"/>
    </xf>
    <xf numFmtId="0" fontId="16" fillId="2" borderId="0" xfId="0" applyFont="1" applyFill="1" applyAlignment="1">
      <alignment horizontal="right" vertical="center"/>
    </xf>
    <xf numFmtId="0" fontId="44" fillId="2" borderId="0" xfId="0" applyFont="1" applyFill="1">
      <alignment vertical="center"/>
    </xf>
    <xf numFmtId="0" fontId="16" fillId="2" borderId="7" xfId="0"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xf>
    <xf numFmtId="0" fontId="16" fillId="2" borderId="10" xfId="0" applyFont="1" applyFill="1" applyBorder="1" applyAlignment="1">
      <alignment horizontal="center" vertical="center"/>
    </xf>
    <xf numFmtId="0" fontId="16" fillId="2" borderId="38" xfId="0" applyFont="1" applyFill="1" applyBorder="1" applyAlignment="1">
      <alignment horizontal="center" vertical="center" wrapText="1"/>
    </xf>
    <xf numFmtId="0" fontId="16" fillId="2" borderId="32"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38" xfId="0" applyFont="1" applyFill="1" applyBorder="1" applyAlignment="1">
      <alignment horizontal="center" vertical="center"/>
    </xf>
    <xf numFmtId="0" fontId="16" fillId="2" borderId="5" xfId="0" applyFont="1" applyFill="1" applyBorder="1" applyAlignment="1">
      <alignment horizontal="center" vertical="center" wrapText="1"/>
    </xf>
    <xf numFmtId="0" fontId="16" fillId="2" borderId="5" xfId="0" applyFont="1" applyFill="1" applyBorder="1" applyAlignment="1">
      <alignment horizontal="center" vertical="center"/>
    </xf>
    <xf numFmtId="0" fontId="16" fillId="2" borderId="1" xfId="0" applyFont="1" applyFill="1" applyBorder="1" applyAlignment="1">
      <alignment horizontal="center" vertical="center"/>
    </xf>
    <xf numFmtId="14" fontId="16" fillId="2" borderId="1" xfId="0" applyNumberFormat="1" applyFont="1" applyFill="1" applyBorder="1" applyAlignment="1">
      <alignment horizontal="center" vertical="center"/>
    </xf>
    <xf numFmtId="9" fontId="16" fillId="2" borderId="1" xfId="0" applyNumberFormat="1" applyFont="1" applyFill="1" applyBorder="1" applyAlignment="1">
      <alignment horizontal="center" vertical="center"/>
    </xf>
    <xf numFmtId="0" fontId="0" fillId="2" borderId="0" xfId="0" applyFill="1" applyBorder="1" applyAlignment="1">
      <alignment horizontal="center" vertical="center"/>
    </xf>
    <xf numFmtId="14" fontId="39" fillId="2" borderId="0" xfId="0" applyNumberFormat="1" applyFont="1" applyFill="1" applyBorder="1" applyAlignment="1">
      <alignment horizontal="center" vertical="center"/>
    </xf>
    <xf numFmtId="0" fontId="39" fillId="2" borderId="0" xfId="0" applyFont="1" applyFill="1" applyBorder="1" applyAlignment="1">
      <alignment horizontal="center" vertical="center"/>
    </xf>
    <xf numFmtId="0" fontId="44" fillId="2" borderId="0" xfId="0" applyFont="1" applyFill="1" applyAlignment="1">
      <alignment horizontal="right" vertical="center"/>
    </xf>
    <xf numFmtId="0" fontId="0" fillId="2" borderId="12" xfId="0" applyFill="1" applyBorder="1" applyAlignment="1">
      <alignment horizontal="center" vertical="center"/>
    </xf>
    <xf numFmtId="0" fontId="39" fillId="2" borderId="12" xfId="0" applyFont="1" applyFill="1" applyBorder="1" applyAlignment="1">
      <alignment horizontal="center" vertical="center"/>
    </xf>
    <xf numFmtId="0" fontId="83" fillId="0" borderId="0" xfId="0" applyFont="1" applyAlignment="1">
      <alignment horizontal="center" vertical="center"/>
    </xf>
    <xf numFmtId="0" fontId="84" fillId="0" borderId="0" xfId="0" applyFont="1" applyAlignment="1" applyProtection="1">
      <alignment horizontal="center" vertical="center"/>
      <protection locked="0" hidden="1"/>
    </xf>
    <xf numFmtId="0" fontId="83" fillId="0" borderId="0" xfId="0" applyFont="1" applyAlignment="1" applyProtection="1">
      <alignment horizontal="center" vertical="center"/>
      <protection locked="0" hidden="1"/>
    </xf>
    <xf numFmtId="0" fontId="85" fillId="0" borderId="0" xfId="0" applyFont="1" applyAlignment="1" applyProtection="1">
      <alignment horizontal="center" vertical="center" wrapText="1"/>
      <protection locked="0" hidden="1"/>
    </xf>
    <xf numFmtId="0" fontId="85" fillId="0" borderId="0" xfId="0" applyFont="1" applyAlignment="1" applyProtection="1">
      <alignment horizontal="center" vertical="center"/>
      <protection locked="0" hidden="1"/>
    </xf>
    <xf numFmtId="14" fontId="83" fillId="0" borderId="0" xfId="0" applyNumberFormat="1" applyFont="1" applyAlignment="1" applyProtection="1">
      <alignment horizontal="center" vertical="center"/>
      <protection locked="0" hidden="1"/>
    </xf>
    <xf numFmtId="14" fontId="83" fillId="0" borderId="0" xfId="0" applyNumberFormat="1" applyFont="1" applyFill="1" applyAlignment="1" applyProtection="1">
      <alignment horizontal="center" vertical="center"/>
      <protection locked="0" hidden="1"/>
    </xf>
    <xf numFmtId="14" fontId="83" fillId="0" borderId="0" xfId="0" applyNumberFormat="1" applyFont="1" applyAlignment="1">
      <alignment horizontal="center" vertical="center"/>
    </xf>
    <xf numFmtId="0" fontId="83" fillId="0" borderId="0" xfId="0" applyFont="1" applyAlignment="1">
      <alignment horizontal="right" vertical="center"/>
    </xf>
    <xf numFmtId="0" fontId="84" fillId="0" borderId="0" xfId="0" applyFont="1" applyAlignment="1">
      <alignment horizontal="left" vertical="center"/>
    </xf>
    <xf numFmtId="0" fontId="83" fillId="0" borderId="0" xfId="0" applyFont="1" applyAlignment="1" applyProtection="1">
      <alignment vertical="center"/>
      <protection locked="0" hidden="1"/>
    </xf>
    <xf numFmtId="0" fontId="86" fillId="0" borderId="0" xfId="0" applyFont="1" applyAlignment="1" applyProtection="1">
      <alignment horizontal="center" vertical="center"/>
      <protection locked="0" hidden="1"/>
    </xf>
    <xf numFmtId="14" fontId="83" fillId="0" borderId="0" xfId="0" applyNumberFormat="1" applyFont="1" applyAlignment="1" applyProtection="1">
      <alignment horizontal="right" vertical="center"/>
      <protection locked="0" hidden="1"/>
    </xf>
    <xf numFmtId="0" fontId="83" fillId="0" borderId="0" xfId="0" applyFont="1" applyAlignment="1" applyProtection="1">
      <alignment horizontal="center" vertical="center" wrapText="1"/>
      <protection locked="0" hidden="1"/>
    </xf>
    <xf numFmtId="0" fontId="34" fillId="2" borderId="0" xfId="0" applyFont="1" applyFill="1" applyAlignment="1"/>
    <xf numFmtId="0" fontId="87" fillId="2" borderId="0" xfId="0" applyFont="1" applyFill="1" applyAlignment="1">
      <alignment vertical="center"/>
    </xf>
    <xf numFmtId="0" fontId="83" fillId="2" borderId="0" xfId="0" applyFont="1" applyFill="1" applyAlignment="1">
      <alignment vertical="center"/>
    </xf>
    <xf numFmtId="0" fontId="34" fillId="2" borderId="0" xfId="0" applyFont="1" applyFill="1" applyAlignment="1">
      <alignment vertical="center"/>
    </xf>
    <xf numFmtId="0" fontId="29" fillId="2" borderId="0" xfId="0" applyFont="1" applyFill="1" applyAlignment="1"/>
    <xf numFmtId="0" fontId="0" fillId="2" borderId="0" xfId="0" applyFill="1" applyAlignment="1"/>
    <xf numFmtId="0" fontId="84" fillId="2" borderId="0" xfId="0" applyFont="1" applyFill="1" applyAlignment="1"/>
    <xf numFmtId="0" fontId="32" fillId="2" borderId="0" xfId="0" applyFont="1" applyFill="1" applyAlignment="1">
      <alignment horizontal="center" vertical="center" wrapText="1"/>
    </xf>
    <xf numFmtId="0" fontId="83" fillId="2" borderId="0" xfId="0" applyFont="1" applyFill="1" applyAlignment="1"/>
    <xf numFmtId="0" fontId="88" fillId="2" borderId="12" xfId="0" applyFont="1" applyFill="1" applyBorder="1" applyAlignment="1">
      <alignment horizontal="center" vertical="center"/>
    </xf>
    <xf numFmtId="14" fontId="89" fillId="2" borderId="12" xfId="0" applyNumberFormat="1" applyFont="1" applyFill="1" applyBorder="1" applyAlignment="1">
      <alignment horizontal="center" vertical="center"/>
    </xf>
    <xf numFmtId="0" fontId="90" fillId="2" borderId="12" xfId="0" applyFont="1" applyFill="1" applyBorder="1" applyAlignment="1">
      <alignment horizontal="center" vertical="center"/>
    </xf>
    <xf numFmtId="0" fontId="91" fillId="2" borderId="12" xfId="0" applyFont="1" applyFill="1" applyBorder="1" applyAlignment="1">
      <alignment horizontal="center" vertical="center"/>
    </xf>
    <xf numFmtId="0" fontId="89" fillId="2" borderId="6" xfId="0" applyFont="1" applyFill="1" applyBorder="1" applyAlignment="1">
      <alignment horizontal="center" vertical="center"/>
    </xf>
    <xf numFmtId="0" fontId="89" fillId="2" borderId="12" xfId="0" applyFont="1" applyFill="1" applyBorder="1" applyAlignment="1">
      <alignment horizontal="center" vertical="center"/>
    </xf>
    <xf numFmtId="0" fontId="87" fillId="2" borderId="0" xfId="0" applyFont="1" applyFill="1" applyAlignment="1">
      <alignment horizontal="center" vertical="center"/>
    </xf>
    <xf numFmtId="14" fontId="92" fillId="2" borderId="12" xfId="0" applyNumberFormat="1" applyFont="1" applyFill="1" applyBorder="1" applyAlignment="1">
      <alignment horizontal="center" vertical="center"/>
    </xf>
    <xf numFmtId="14" fontId="2" fillId="2" borderId="12" xfId="0" applyNumberFormat="1" applyFont="1" applyFill="1" applyBorder="1" applyAlignment="1">
      <alignment horizontal="center" vertical="center"/>
    </xf>
    <xf numFmtId="0" fontId="92" fillId="2" borderId="12" xfId="0" applyFont="1" applyFill="1" applyBorder="1" applyAlignment="1">
      <alignment horizontal="center" vertical="center"/>
    </xf>
    <xf numFmtId="0" fontId="25" fillId="2" borderId="0" xfId="0" applyFont="1" applyFill="1" applyAlignment="1">
      <alignment vertical="center"/>
    </xf>
    <xf numFmtId="0" fontId="93" fillId="2" borderId="9" xfId="0" applyFont="1" applyFill="1" applyBorder="1" applyAlignment="1">
      <alignment horizontal="center" vertical="center"/>
    </xf>
    <xf numFmtId="0" fontId="87" fillId="2" borderId="12" xfId="0" applyFont="1" applyFill="1" applyBorder="1" applyAlignment="1">
      <alignment vertical="center"/>
    </xf>
    <xf numFmtId="0" fontId="87" fillId="2" borderId="0" xfId="0" applyFont="1" applyFill="1" applyBorder="1" applyAlignment="1">
      <alignment vertical="center"/>
    </xf>
    <xf numFmtId="0" fontId="93" fillId="2" borderId="12" xfId="0" applyFont="1" applyFill="1" applyBorder="1" applyAlignment="1">
      <alignment horizontal="center" vertical="center"/>
    </xf>
    <xf numFmtId="0" fontId="91" fillId="2" borderId="1" xfId="0" applyFont="1" applyFill="1" applyBorder="1" applyAlignment="1">
      <alignment horizontal="left" vertical="center"/>
    </xf>
    <xf numFmtId="0" fontId="91" fillId="2" borderId="1" xfId="0" applyFont="1" applyFill="1" applyBorder="1" applyAlignment="1">
      <alignment horizontal="centerContinuous" vertical="center"/>
    </xf>
    <xf numFmtId="0" fontId="87" fillId="2" borderId="1" xfId="0" applyFont="1" applyFill="1" applyBorder="1" applyAlignment="1">
      <alignment vertical="center"/>
    </xf>
    <xf numFmtId="0" fontId="87" fillId="2" borderId="9" xfId="0" applyFont="1" applyFill="1" applyBorder="1" applyAlignment="1">
      <alignment vertical="center"/>
    </xf>
    <xf numFmtId="0" fontId="94" fillId="2" borderId="12" xfId="0" applyFont="1" applyFill="1" applyBorder="1" applyAlignment="1">
      <alignment vertical="center"/>
    </xf>
    <xf numFmtId="0" fontId="95" fillId="2" borderId="12" xfId="0" applyFont="1" applyFill="1" applyBorder="1" applyAlignment="1">
      <alignment vertical="center"/>
    </xf>
    <xf numFmtId="0" fontId="25" fillId="2" borderId="0" xfId="0" applyFont="1" applyFill="1" applyBorder="1" applyAlignment="1">
      <alignment vertical="center"/>
    </xf>
    <xf numFmtId="0" fontId="91" fillId="2" borderId="9" xfId="0" applyFont="1" applyFill="1" applyBorder="1" applyAlignment="1">
      <alignment horizontal="center" vertical="center"/>
    </xf>
    <xf numFmtId="14" fontId="88" fillId="2" borderId="9" xfId="0" applyNumberFormat="1" applyFont="1" applyFill="1" applyBorder="1" applyAlignment="1">
      <alignment vertical="center"/>
    </xf>
    <xf numFmtId="0" fontId="96" fillId="2" borderId="9" xfId="0" applyFont="1" applyFill="1" applyBorder="1" applyAlignment="1">
      <alignment vertical="center"/>
    </xf>
    <xf numFmtId="0" fontId="91" fillId="2" borderId="1" xfId="0" applyFont="1" applyFill="1" applyBorder="1" applyAlignment="1">
      <alignment vertical="center"/>
    </xf>
    <xf numFmtId="0" fontId="0" fillId="2" borderId="0" xfId="0" applyFill="1" applyAlignment="1">
      <alignment vertical="center"/>
    </xf>
    <xf numFmtId="0" fontId="25" fillId="2" borderId="1" xfId="0" applyFont="1" applyFill="1" applyBorder="1" applyAlignment="1">
      <alignment vertical="center"/>
    </xf>
    <xf numFmtId="0" fontId="96" fillId="2" borderId="12" xfId="0" applyFont="1" applyFill="1" applyBorder="1" applyAlignment="1">
      <alignment vertical="center"/>
    </xf>
    <xf numFmtId="0" fontId="25" fillId="2" borderId="12" xfId="0" applyFont="1" applyFill="1" applyBorder="1" applyAlignment="1">
      <alignment vertical="center"/>
    </xf>
    <xf numFmtId="0" fontId="87" fillId="2" borderId="0" xfId="0" applyFont="1" applyFill="1" applyAlignment="1">
      <alignment horizontal="right" vertical="center"/>
    </xf>
    <xf numFmtId="0" fontId="87" fillId="2" borderId="0" xfId="0" applyFont="1" applyFill="1" applyAlignment="1">
      <alignment horizontal="distributed" vertical="center"/>
    </xf>
    <xf numFmtId="0" fontId="91" fillId="2" borderId="1" xfId="0" applyFont="1" applyFill="1" applyBorder="1" applyAlignment="1">
      <alignment horizontal="center" vertical="center"/>
    </xf>
    <xf numFmtId="0" fontId="87" fillId="0" borderId="12" xfId="0" applyFont="1" applyFill="1" applyBorder="1" applyAlignment="1">
      <alignment vertical="center"/>
    </xf>
    <xf numFmtId="0" fontId="0" fillId="2" borderId="9" xfId="0" applyFill="1" applyBorder="1" applyAlignment="1">
      <alignment vertical="center"/>
    </xf>
    <xf numFmtId="0" fontId="0" fillId="2" borderId="12" xfId="0" applyFill="1" applyBorder="1" applyAlignment="1">
      <alignment vertical="center"/>
    </xf>
    <xf numFmtId="0" fontId="87" fillId="2" borderId="6" xfId="0" applyFont="1" applyFill="1" applyBorder="1" applyAlignment="1">
      <alignment vertical="center"/>
    </xf>
    <xf numFmtId="0" fontId="25" fillId="2" borderId="6" xfId="0" applyFont="1" applyFill="1" applyBorder="1" applyAlignment="1">
      <alignment vertical="center"/>
    </xf>
    <xf numFmtId="0" fontId="0" fillId="2" borderId="6" xfId="0" applyFill="1" applyBorder="1" applyAlignment="1">
      <alignment vertical="center"/>
    </xf>
    <xf numFmtId="0" fontId="87" fillId="2" borderId="9" xfId="0" applyFont="1" applyFill="1" applyBorder="1" applyAlignment="1">
      <alignment horizontal="distributed" vertical="center"/>
    </xf>
    <xf numFmtId="0" fontId="25" fillId="2" borderId="9" xfId="0" applyFont="1" applyFill="1" applyBorder="1" applyAlignment="1">
      <alignment horizontal="distributed" vertical="center"/>
    </xf>
    <xf numFmtId="0" fontId="0" fillId="2" borderId="9" xfId="0" applyFill="1" applyBorder="1" applyAlignment="1">
      <alignment horizontal="distributed" vertical="center"/>
    </xf>
    <xf numFmtId="0" fontId="87" fillId="2" borderId="0" xfId="0" applyFont="1" applyFill="1" applyAlignment="1">
      <alignment horizontal="distributed" vertical="center" shrinkToFit="1"/>
    </xf>
    <xf numFmtId="0" fontId="25" fillId="2" borderId="0" xfId="0" applyFont="1" applyFill="1" applyAlignment="1">
      <alignment horizontal="distributed" vertical="center" shrinkToFit="1"/>
    </xf>
    <xf numFmtId="0" fontId="0" fillId="2" borderId="0" xfId="0" applyFill="1" applyAlignment="1">
      <alignment horizontal="distributed" vertical="center"/>
    </xf>
    <xf numFmtId="49" fontId="87" fillId="2" borderId="0" xfId="0" applyNumberFormat="1" applyFont="1" applyFill="1" applyAlignment="1">
      <alignment vertical="center"/>
    </xf>
    <xf numFmtId="0" fontId="87" fillId="2" borderId="12" xfId="0" applyFont="1" applyFill="1" applyBorder="1" applyAlignment="1">
      <alignment horizontal="center" vertical="center"/>
    </xf>
    <xf numFmtId="0" fontId="25" fillId="2" borderId="0" xfId="0" applyFont="1" applyFill="1" applyBorder="1" applyAlignment="1">
      <alignment horizontal="center" vertical="center"/>
    </xf>
    <xf numFmtId="0" fontId="87" fillId="2" borderId="6" xfId="0" applyFont="1" applyFill="1" applyBorder="1" applyAlignment="1">
      <alignment horizontal="center" vertical="center"/>
    </xf>
    <xf numFmtId="0" fontId="34" fillId="2" borderId="0" xfId="0" applyFont="1" applyFill="1" applyAlignment="1">
      <alignment horizontal="center" vertical="center"/>
    </xf>
    <xf numFmtId="49" fontId="87" fillId="2" borderId="0" xfId="0" applyNumberFormat="1" applyFont="1" applyFill="1" applyAlignment="1">
      <alignment horizontal="center" vertical="center"/>
    </xf>
    <xf numFmtId="0" fontId="0" fillId="2" borderId="0" xfId="0" applyFill="1" applyAlignment="1">
      <alignment horizontal="center" vertical="center"/>
    </xf>
    <xf numFmtId="0" fontId="83" fillId="2" borderId="0" xfId="0" applyFont="1" applyFill="1" applyBorder="1" applyAlignment="1">
      <alignment vertical="center"/>
    </xf>
    <xf numFmtId="0" fontId="87" fillId="2" borderId="0" xfId="0" applyFont="1" applyFill="1" applyAlignment="1">
      <alignment horizontal="left" vertical="center"/>
    </xf>
    <xf numFmtId="0" fontId="83" fillId="2" borderId="9" xfId="0" applyFont="1" applyFill="1" applyBorder="1" applyAlignment="1">
      <alignment vertical="center"/>
    </xf>
    <xf numFmtId="0" fontId="83" fillId="2" borderId="12" xfId="0" applyFont="1" applyFill="1" applyBorder="1" applyAlignment="1">
      <alignment vertical="center"/>
    </xf>
    <xf numFmtId="0" fontId="83" fillId="2" borderId="1" xfId="0" applyFont="1" applyFill="1" applyBorder="1" applyAlignment="1">
      <alignment vertical="center"/>
    </xf>
    <xf numFmtId="0" fontId="97" fillId="2" borderId="0" xfId="0" applyFont="1" applyFill="1" applyAlignment="1">
      <alignment horizontal="distributed" vertical="center" shrinkToFit="1"/>
    </xf>
    <xf numFmtId="0" fontId="98" fillId="2" borderId="0" xfId="0" applyFont="1" applyFill="1" applyAlignment="1">
      <alignment horizontal="distributed" vertical="center" shrinkToFit="1"/>
    </xf>
    <xf numFmtId="0" fontId="83" fillId="2" borderId="0" xfId="0" applyFont="1" applyFill="1" applyAlignment="1">
      <alignment horizontal="distributed" vertical="center"/>
    </xf>
    <xf numFmtId="0" fontId="34" fillId="2" borderId="0" xfId="0" applyFont="1" applyFill="1" applyBorder="1" applyAlignment="1">
      <alignment vertical="center"/>
    </xf>
    <xf numFmtId="0" fontId="99" fillId="0" borderId="0" xfId="0" applyFont="1" applyAlignment="1">
      <alignment horizontal="center" vertical="center"/>
    </xf>
    <xf numFmtId="0" fontId="3" fillId="0" borderId="0" xfId="0" applyFont="1" applyAlignment="1">
      <alignment horizontal="center" vertical="center"/>
    </xf>
    <xf numFmtId="0" fontId="100" fillId="0" borderId="0" xfId="0" applyFont="1" applyAlignment="1"/>
    <xf numFmtId="0" fontId="101" fillId="0" borderId="12" xfId="0" applyFont="1" applyBorder="1" applyAlignment="1">
      <alignment horizontal="center"/>
    </xf>
    <xf numFmtId="0" fontId="102" fillId="0" borderId="12" xfId="0" applyFont="1" applyBorder="1" applyAlignment="1">
      <alignment horizontal="center"/>
    </xf>
    <xf numFmtId="0" fontId="103" fillId="0" borderId="0" xfId="0" applyFont="1" applyAlignment="1"/>
    <xf numFmtId="0" fontId="104" fillId="0" borderId="12" xfId="0" applyFont="1" applyBorder="1" applyAlignment="1">
      <alignment horizontal="center"/>
    </xf>
    <xf numFmtId="0" fontId="105" fillId="0" borderId="0" xfId="0" applyFont="1" applyAlignment="1">
      <alignment horizontal="center" vertical="center"/>
    </xf>
    <xf numFmtId="0" fontId="100" fillId="0" borderId="12" xfId="0" applyFont="1" applyBorder="1" applyAlignment="1">
      <alignment horizontal="center"/>
    </xf>
    <xf numFmtId="0" fontId="3" fillId="0" borderId="12" xfId="0" applyFont="1" applyBorder="1" applyAlignment="1">
      <alignment horizontal="center"/>
    </xf>
    <xf numFmtId="14" fontId="101" fillId="0" borderId="0" xfId="0" applyNumberFormat="1" applyFont="1" applyAlignment="1">
      <alignment horizontal="center" vertical="center"/>
    </xf>
    <xf numFmtId="0" fontId="102" fillId="0" borderId="0" xfId="0" applyFont="1" applyAlignment="1">
      <alignment horizontal="center" vertical="center"/>
    </xf>
    <xf numFmtId="0" fontId="102" fillId="0" borderId="12" xfId="0" applyFont="1" applyBorder="1" applyAlignment="1">
      <alignment horizontal="center" vertical="center"/>
    </xf>
    <xf numFmtId="0" fontId="106" fillId="0" borderId="0" xfId="0" applyNumberFormat="1" applyFont="1" applyAlignment="1">
      <alignment horizontal="center" vertical="center"/>
    </xf>
    <xf numFmtId="0" fontId="106" fillId="0" borderId="0" xfId="0" applyNumberFormat="1" applyFont="1" applyAlignment="1">
      <alignment horizontal="left" vertical="center"/>
    </xf>
    <xf numFmtId="0" fontId="107" fillId="0" borderId="0" xfId="0" applyNumberFormat="1" applyFont="1" applyAlignment="1">
      <alignment horizontal="center"/>
    </xf>
    <xf numFmtId="0" fontId="106" fillId="0" borderId="0" xfId="0" applyNumberFormat="1" applyFont="1" applyAlignment="1">
      <alignment horizontal="center"/>
    </xf>
    <xf numFmtId="14" fontId="106" fillId="0" borderId="0" xfId="0" applyNumberFormat="1" applyFont="1" applyAlignment="1">
      <alignment horizontal="center"/>
    </xf>
    <xf numFmtId="0" fontId="107" fillId="0" borderId="0" xfId="0" applyNumberFormat="1" applyFont="1" applyAlignment="1">
      <alignment horizontal="center" vertical="center"/>
    </xf>
    <xf numFmtId="0" fontId="101" fillId="0" borderId="0" xfId="0" applyNumberFormat="1" applyFont="1" applyBorder="1" applyAlignment="1">
      <alignment horizontal="center" vertical="center"/>
    </xf>
    <xf numFmtId="0" fontId="108" fillId="0" borderId="0" xfId="0" applyNumberFormat="1" applyFont="1" applyBorder="1" applyAlignment="1">
      <alignment horizontal="center" vertical="center"/>
    </xf>
    <xf numFmtId="0" fontId="109" fillId="0" borderId="0" xfId="0" applyNumberFormat="1" applyFont="1" applyBorder="1" applyAlignment="1">
      <alignment horizontal="center" vertical="center"/>
    </xf>
    <xf numFmtId="14" fontId="109" fillId="0" borderId="0" xfId="0" applyNumberFormat="1" applyFont="1" applyBorder="1" applyAlignment="1">
      <alignment horizontal="center" vertical="center"/>
    </xf>
    <xf numFmtId="0" fontId="109" fillId="0" borderId="8" xfId="0" applyNumberFormat="1" applyFont="1" applyBorder="1" applyAlignment="1">
      <alignment horizontal="center" vertical="center" wrapText="1"/>
    </xf>
    <xf numFmtId="0" fontId="109" fillId="0" borderId="10" xfId="0" applyNumberFormat="1" applyFont="1" applyBorder="1" applyAlignment="1">
      <alignment horizontal="center" vertical="center" wrapText="1"/>
    </xf>
    <xf numFmtId="0" fontId="86" fillId="0" borderId="8" xfId="0" applyNumberFormat="1" applyFont="1" applyBorder="1" applyAlignment="1">
      <alignment horizontal="center" vertical="center" wrapText="1"/>
    </xf>
    <xf numFmtId="0" fontId="86" fillId="0" borderId="9" xfId="0" applyNumberFormat="1" applyFont="1" applyBorder="1" applyAlignment="1">
      <alignment horizontal="center" vertical="center" wrapText="1"/>
    </xf>
    <xf numFmtId="0" fontId="86" fillId="0" borderId="10" xfId="0" applyNumberFormat="1" applyFont="1" applyBorder="1" applyAlignment="1">
      <alignment horizontal="center" vertical="center" wrapText="1"/>
    </xf>
    <xf numFmtId="0" fontId="10" fillId="0" borderId="7" xfId="0" applyNumberFormat="1" applyFont="1" applyBorder="1" applyAlignment="1">
      <alignment horizontal="center" vertical="center" wrapText="1"/>
    </xf>
    <xf numFmtId="0" fontId="109" fillId="0" borderId="11" xfId="0" applyNumberFormat="1" applyFont="1" applyBorder="1" applyAlignment="1">
      <alignment horizontal="center" vertical="center" wrapText="1"/>
    </xf>
    <xf numFmtId="0" fontId="109" fillId="0" borderId="13" xfId="0" applyNumberFormat="1" applyFont="1" applyBorder="1" applyAlignment="1">
      <alignment horizontal="center" vertical="center" wrapText="1"/>
    </xf>
    <xf numFmtId="0" fontId="7" fillId="0" borderId="11" xfId="0" applyNumberFormat="1" applyFont="1" applyBorder="1" applyAlignment="1">
      <alignment horizontal="center" vertical="center" wrapText="1"/>
    </xf>
    <xf numFmtId="0" fontId="7" fillId="0" borderId="12" xfId="0" applyNumberFormat="1" applyFont="1" applyBorder="1" applyAlignment="1">
      <alignment horizontal="center" vertical="center" wrapText="1"/>
    </xf>
    <xf numFmtId="0" fontId="7" fillId="0" borderId="13" xfId="0" applyNumberFormat="1" applyFont="1" applyBorder="1" applyAlignment="1">
      <alignment horizontal="center" vertical="center" wrapText="1"/>
    </xf>
    <xf numFmtId="0" fontId="89" fillId="0" borderId="5" xfId="0" applyNumberFormat="1" applyFont="1" applyBorder="1" applyAlignment="1">
      <alignment horizontal="center" vertical="center" wrapText="1"/>
    </xf>
    <xf numFmtId="0" fontId="8" fillId="0" borderId="8" xfId="0" applyNumberFormat="1" applyFont="1" applyBorder="1" applyAlignment="1">
      <alignment horizontal="center" vertical="center" wrapText="1"/>
    </xf>
    <xf numFmtId="0" fontId="8" fillId="0" borderId="10" xfId="0" applyNumberFormat="1" applyFont="1" applyBorder="1" applyAlignment="1">
      <alignment horizontal="center" vertical="center" wrapText="1"/>
    </xf>
    <xf numFmtId="0" fontId="8" fillId="0" borderId="39" xfId="0" applyNumberFormat="1" applyFont="1" applyBorder="1" applyAlignment="1">
      <alignment horizontal="center" vertical="center" wrapText="1"/>
    </xf>
    <xf numFmtId="14" fontId="9" fillId="0" borderId="39" xfId="0" applyNumberFormat="1" applyFont="1" applyBorder="1" applyAlignment="1">
      <alignment horizontal="center" vertical="center" wrapText="1"/>
    </xf>
    <xf numFmtId="0" fontId="8" fillId="0" borderId="7" xfId="0" applyNumberFormat="1" applyFont="1" applyBorder="1" applyAlignment="1">
      <alignment horizontal="center" vertical="center" wrapText="1"/>
    </xf>
    <xf numFmtId="0" fontId="9" fillId="0" borderId="39" xfId="0" applyNumberFormat="1" applyFont="1" applyBorder="1" applyAlignment="1">
      <alignment horizontal="center" vertical="center" wrapText="1"/>
    </xf>
    <xf numFmtId="0" fontId="83" fillId="0" borderId="11" xfId="0" applyNumberFormat="1" applyFont="1" applyBorder="1" applyAlignment="1">
      <alignment horizontal="center" vertical="center" wrapText="1"/>
    </xf>
    <xf numFmtId="0" fontId="83" fillId="0" borderId="13" xfId="0" applyNumberFormat="1" applyFont="1" applyBorder="1" applyAlignment="1">
      <alignment horizontal="center" vertical="center" wrapText="1"/>
    </xf>
    <xf numFmtId="0" fontId="83" fillId="0" borderId="38" xfId="0" applyNumberFormat="1" applyFont="1" applyBorder="1" applyAlignment="1">
      <alignment horizontal="center" vertical="center" wrapText="1"/>
    </xf>
    <xf numFmtId="14" fontId="83" fillId="0" borderId="38" xfId="0" applyNumberFormat="1" applyFont="1" applyBorder="1" applyAlignment="1">
      <alignment horizontal="center" vertical="center" wrapText="1"/>
    </xf>
    <xf numFmtId="0" fontId="83" fillId="0" borderId="39" xfId="0" applyNumberFormat="1" applyFont="1" applyBorder="1" applyAlignment="1">
      <alignment horizontal="center" vertical="center" wrapText="1"/>
    </xf>
    <xf numFmtId="0" fontId="92" fillId="0" borderId="2" xfId="0" applyNumberFormat="1" applyFont="1" applyBorder="1" applyAlignment="1">
      <alignment horizontal="center" vertical="center" wrapText="1"/>
    </xf>
    <xf numFmtId="0" fontId="89" fillId="0" borderId="3" xfId="0" applyNumberFormat="1" applyFont="1" applyBorder="1" applyAlignment="1">
      <alignment horizontal="center" vertical="center" wrapText="1"/>
    </xf>
    <xf numFmtId="0" fontId="33" fillId="0" borderId="1" xfId="0" applyNumberFormat="1" applyFont="1" applyBorder="1" applyAlignment="1">
      <alignment horizontal="center" vertical="center" wrapText="1"/>
    </xf>
    <xf numFmtId="14" fontId="32" fillId="0" borderId="1" xfId="0" applyNumberFormat="1" applyFont="1" applyBorder="1" applyAlignment="1">
      <alignment horizontal="center" vertical="center" wrapText="1"/>
    </xf>
    <xf numFmtId="0" fontId="92"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110" fillId="0" borderId="1" xfId="0" applyNumberFormat="1" applyFont="1" applyBorder="1" applyAlignment="1">
      <alignment horizontal="center" vertical="center" wrapText="1"/>
    </xf>
    <xf numFmtId="0" fontId="89" fillId="0" borderId="2" xfId="0" applyNumberFormat="1" applyFont="1" applyBorder="1" applyAlignment="1">
      <alignment horizontal="center" vertical="center" wrapText="1"/>
    </xf>
    <xf numFmtId="0" fontId="88"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xf>
    <xf numFmtId="0" fontId="10" fillId="0" borderId="1" xfId="0" applyNumberFormat="1" applyFont="1" applyBorder="1" applyAlignment="1">
      <alignment horizontal="center" vertical="center" wrapText="1"/>
    </xf>
    <xf numFmtId="0" fontId="86" fillId="0" borderId="9" xfId="0" applyNumberFormat="1" applyFont="1" applyBorder="1" applyAlignment="1">
      <alignment vertical="center" wrapText="1"/>
    </xf>
    <xf numFmtId="14" fontId="86" fillId="0" borderId="9" xfId="0" applyNumberFormat="1" applyFont="1" applyBorder="1" applyAlignment="1">
      <alignment vertical="center" wrapText="1"/>
    </xf>
    <xf numFmtId="0" fontId="86" fillId="0" borderId="0" xfId="0" applyNumberFormat="1" applyFont="1" applyBorder="1" applyAlignment="1">
      <alignment horizontal="center" vertical="center"/>
    </xf>
    <xf numFmtId="0" fontId="86" fillId="0" borderId="0" xfId="0" applyNumberFormat="1" applyFont="1" applyBorder="1" applyAlignment="1">
      <alignment vertical="center" wrapText="1"/>
    </xf>
    <xf numFmtId="0" fontId="107" fillId="0" borderId="0" xfId="0" applyNumberFormat="1" applyFont="1" applyAlignment="1">
      <alignment horizontal="left" vertical="center"/>
    </xf>
    <xf numFmtId="0" fontId="109" fillId="0" borderId="0" xfId="0" applyNumberFormat="1" applyFont="1" applyBorder="1" applyAlignment="1">
      <alignment vertical="center"/>
    </xf>
    <xf numFmtId="14" fontId="109" fillId="0" borderId="0" xfId="0" applyNumberFormat="1" applyFont="1" applyBorder="1" applyAlignment="1">
      <alignment vertical="center"/>
    </xf>
    <xf numFmtId="0" fontId="109" fillId="0" borderId="0" xfId="0" applyNumberFormat="1" applyFont="1" applyBorder="1" applyAlignment="1">
      <alignment horizontal="right" vertical="center"/>
    </xf>
    <xf numFmtId="0" fontId="52" fillId="0" borderId="0" xfId="0" applyNumberFormat="1" applyFont="1" applyAlignment="1">
      <alignment horizontal="right" vertical="center" wrapText="1"/>
    </xf>
    <xf numFmtId="0" fontId="106" fillId="0" borderId="0" xfId="0" applyNumberFormat="1" applyFont="1" applyBorder="1" applyAlignment="1">
      <alignment horizontal="center" vertical="center" wrapText="1"/>
    </xf>
    <xf numFmtId="0" fontId="11" fillId="0" borderId="0" xfId="0" applyNumberFormat="1" applyFont="1" applyBorder="1" applyAlignment="1">
      <alignment horizontal="left" vertical="center" wrapText="1"/>
    </xf>
    <xf numFmtId="0" fontId="44" fillId="0" borderId="0" xfId="0" applyNumberFormat="1" applyFont="1" applyBorder="1" applyAlignment="1">
      <alignment horizontal="left" vertical="center"/>
    </xf>
    <xf numFmtId="0" fontId="34" fillId="0" borderId="0" xfId="0" applyNumberFormat="1" applyFont="1" applyAlignment="1">
      <alignment horizontal="right" vertical="center"/>
    </xf>
    <xf numFmtId="0" fontId="106" fillId="0" borderId="12" xfId="0" applyNumberFormat="1" applyFont="1" applyBorder="1" applyAlignment="1">
      <alignment horizontal="center" vertical="center" wrapText="1"/>
    </xf>
    <xf numFmtId="0" fontId="52" fillId="0" borderId="0" xfId="0" applyNumberFormat="1" applyFont="1" applyAlignment="1">
      <alignment horizontal="left" vertical="center" wrapText="1"/>
    </xf>
    <xf numFmtId="0" fontId="106" fillId="0" borderId="0" xfId="0" applyNumberFormat="1" applyFont="1" applyAlignment="1">
      <alignment horizontal="left" vertical="center" wrapText="1"/>
    </xf>
    <xf numFmtId="0" fontId="109" fillId="0" borderId="0" xfId="0" applyNumberFormat="1" applyFont="1" applyAlignment="1">
      <alignment horizontal="right" vertical="center"/>
    </xf>
    <xf numFmtId="14" fontId="11" fillId="0" borderId="9" xfId="0" applyNumberFormat="1" applyFont="1" applyBorder="1" applyAlignment="1">
      <alignment horizontal="center" wrapText="1"/>
    </xf>
    <xf numFmtId="14" fontId="11" fillId="0" borderId="12" xfId="0" applyNumberFormat="1" applyFont="1" applyBorder="1" applyAlignment="1">
      <alignment horizontal="center" wrapText="1"/>
    </xf>
    <xf numFmtId="0" fontId="111" fillId="3" borderId="0" xfId="0" applyFont="1" applyFill="1" applyBorder="1" applyAlignment="1">
      <alignment vertical="center"/>
    </xf>
    <xf numFmtId="0" fontId="112" fillId="3" borderId="0" xfId="0" applyFont="1" applyFill="1" applyBorder="1" applyAlignment="1">
      <alignment vertical="center"/>
    </xf>
    <xf numFmtId="0" fontId="111" fillId="3" borderId="0" xfId="0" applyFont="1" applyFill="1" applyAlignment="1">
      <alignment horizontal="center" vertical="center"/>
    </xf>
    <xf numFmtId="0" fontId="111" fillId="3" borderId="0" xfId="0" applyFont="1" applyFill="1" applyAlignment="1">
      <alignment vertical="center"/>
    </xf>
    <xf numFmtId="0" fontId="7" fillId="3" borderId="0" xfId="0" applyFont="1" applyFill="1" applyAlignment="1">
      <alignment horizontal="center" vertical="center"/>
    </xf>
    <xf numFmtId="0" fontId="34" fillId="3" borderId="0" xfId="0" applyFont="1" applyFill="1" applyBorder="1" applyAlignment="1">
      <alignment vertical="center" wrapText="1"/>
    </xf>
    <xf numFmtId="0" fontId="41" fillId="3" borderId="7" xfId="0" applyFont="1" applyFill="1" applyBorder="1" applyAlignment="1">
      <alignment horizontal="center" vertical="center" wrapText="1"/>
    </xf>
    <xf numFmtId="0" fontId="113" fillId="3" borderId="0" xfId="0" applyFont="1" applyFill="1" applyBorder="1" applyAlignment="1" applyProtection="1">
      <alignment horizontal="center" vertical="center"/>
      <protection locked="0"/>
    </xf>
    <xf numFmtId="0" fontId="113" fillId="3" borderId="5" xfId="0" applyFont="1" applyFill="1" applyBorder="1" applyAlignment="1" applyProtection="1">
      <alignment horizontal="center" vertical="center" wrapText="1"/>
      <protection locked="0"/>
    </xf>
    <xf numFmtId="0" fontId="109" fillId="3" borderId="0" xfId="0" applyFont="1" applyFill="1" applyBorder="1" applyAlignment="1">
      <alignment vertical="center" wrapText="1"/>
    </xf>
    <xf numFmtId="0" fontId="41" fillId="3" borderId="8" xfId="0" applyFont="1" applyFill="1" applyBorder="1" applyAlignment="1">
      <alignment horizontal="left" vertical="center" wrapText="1"/>
    </xf>
    <xf numFmtId="0" fontId="41" fillId="3" borderId="9" xfId="0" applyFont="1" applyFill="1" applyBorder="1" applyAlignment="1">
      <alignment horizontal="left" vertical="center" wrapText="1"/>
    </xf>
    <xf numFmtId="0" fontId="114" fillId="3" borderId="9" xfId="0" applyFont="1" applyFill="1" applyBorder="1" applyAlignment="1">
      <alignment horizontal="center" vertical="center" wrapText="1"/>
    </xf>
    <xf numFmtId="0" fontId="115" fillId="3" borderId="10" xfId="0" applyFont="1" applyFill="1" applyBorder="1" applyAlignment="1">
      <alignment horizontal="center" vertical="center" wrapText="1"/>
    </xf>
    <xf numFmtId="0" fontId="41" fillId="3" borderId="7" xfId="0" applyFont="1" applyFill="1" applyBorder="1" applyAlignment="1">
      <alignment horizontal="left" vertical="center"/>
    </xf>
    <xf numFmtId="0" fontId="41" fillId="3" borderId="10" xfId="0" applyFont="1" applyFill="1" applyBorder="1" applyAlignment="1">
      <alignment horizontal="left" vertical="center" wrapText="1"/>
    </xf>
    <xf numFmtId="0" fontId="111" fillId="3" borderId="7" xfId="0" applyFont="1" applyFill="1" applyBorder="1" applyAlignment="1">
      <alignment horizontal="center" vertical="center"/>
    </xf>
    <xf numFmtId="0" fontId="41" fillId="3" borderId="32" xfId="0" applyFont="1" applyFill="1" applyBorder="1" applyAlignment="1">
      <alignment horizontal="left" vertical="center" wrapText="1"/>
    </xf>
    <xf numFmtId="0" fontId="41" fillId="3" borderId="0" xfId="0" applyFont="1" applyFill="1" applyBorder="1" applyAlignment="1">
      <alignment horizontal="left" vertical="center" wrapText="1"/>
    </xf>
    <xf numFmtId="0" fontId="114" fillId="3" borderId="0" xfId="0" applyFont="1" applyFill="1" applyBorder="1" applyAlignment="1">
      <alignment horizontal="center" vertical="center" wrapText="1"/>
    </xf>
    <xf numFmtId="0" fontId="114" fillId="3" borderId="39" xfId="0" applyFont="1" applyFill="1" applyBorder="1" applyAlignment="1">
      <alignment horizontal="center" vertical="center" wrapText="1"/>
    </xf>
    <xf numFmtId="0" fontId="114" fillId="3" borderId="38" xfId="0" applyFont="1" applyFill="1" applyBorder="1" applyAlignment="1">
      <alignment horizontal="center" vertical="center"/>
    </xf>
    <xf numFmtId="14" fontId="114" fillId="3" borderId="32" xfId="0" applyNumberFormat="1" applyFont="1" applyFill="1" applyBorder="1" applyAlignment="1">
      <alignment horizontal="center" vertical="center"/>
    </xf>
    <xf numFmtId="14" fontId="114" fillId="3" borderId="39" xfId="0" applyNumberFormat="1" applyFont="1" applyFill="1" applyBorder="1" applyAlignment="1">
      <alignment horizontal="center" vertical="center"/>
    </xf>
    <xf numFmtId="0" fontId="111" fillId="3" borderId="38" xfId="0" applyFont="1" applyFill="1" applyBorder="1" applyAlignment="1">
      <alignment horizontal="center" vertical="center"/>
    </xf>
    <xf numFmtId="0" fontId="41" fillId="3" borderId="11" xfId="0" applyFont="1" applyFill="1" applyBorder="1" applyAlignment="1">
      <alignment horizontal="left" vertical="center" wrapText="1"/>
    </xf>
    <xf numFmtId="0" fontId="41" fillId="3" borderId="12" xfId="0" applyFont="1" applyFill="1" applyBorder="1" applyAlignment="1">
      <alignment horizontal="left" vertical="center" wrapText="1"/>
    </xf>
    <xf numFmtId="0" fontId="114" fillId="3" borderId="12" xfId="0" applyFont="1" applyFill="1" applyBorder="1" applyAlignment="1">
      <alignment horizontal="center" vertical="center" wrapText="1"/>
    </xf>
    <xf numFmtId="0" fontId="114" fillId="3" borderId="13" xfId="0" applyFont="1" applyFill="1" applyBorder="1" applyAlignment="1">
      <alignment horizontal="center" vertical="center" wrapText="1"/>
    </xf>
    <xf numFmtId="0" fontId="114" fillId="3" borderId="5" xfId="0" applyFont="1" applyFill="1" applyBorder="1" applyAlignment="1">
      <alignment horizontal="center" vertical="center"/>
    </xf>
    <xf numFmtId="14" fontId="114" fillId="3" borderId="11" xfId="0" applyNumberFormat="1" applyFont="1" applyFill="1" applyBorder="1" applyAlignment="1">
      <alignment horizontal="center" vertical="center"/>
    </xf>
    <xf numFmtId="14" fontId="114" fillId="3" borderId="13" xfId="0" applyNumberFormat="1" applyFont="1" applyFill="1" applyBorder="1" applyAlignment="1">
      <alignment horizontal="center" vertical="center"/>
    </xf>
    <xf numFmtId="0" fontId="111" fillId="3" borderId="5" xfId="0" applyFont="1" applyFill="1" applyBorder="1" applyAlignment="1">
      <alignment horizontal="center" vertical="center"/>
    </xf>
    <xf numFmtId="0" fontId="41" fillId="3" borderId="32" xfId="0" applyFont="1" applyFill="1" applyBorder="1" applyAlignment="1">
      <alignment vertical="center" wrapText="1"/>
    </xf>
    <xf numFmtId="0" fontId="41" fillId="3" borderId="0" xfId="0" applyFont="1" applyFill="1" applyBorder="1" applyAlignment="1">
      <alignment vertical="center" wrapText="1"/>
    </xf>
    <xf numFmtId="0" fontId="41" fillId="3" borderId="39" xfId="0" applyFont="1" applyFill="1" applyBorder="1" applyAlignment="1">
      <alignment vertical="center" wrapText="1"/>
    </xf>
    <xf numFmtId="0" fontId="116" fillId="3" borderId="1" xfId="0" applyFont="1" applyFill="1" applyBorder="1" applyAlignment="1">
      <alignment horizontal="center" vertical="center" wrapText="1"/>
    </xf>
    <xf numFmtId="0" fontId="113" fillId="3" borderId="11" xfId="0" applyFont="1" applyFill="1" applyBorder="1" applyAlignment="1" applyProtection="1">
      <alignment horizontal="center" vertical="center" wrapText="1"/>
      <protection hidden="1"/>
    </xf>
    <xf numFmtId="0" fontId="113" fillId="3" borderId="12" xfId="0" applyFont="1" applyFill="1" applyBorder="1" applyAlignment="1" applyProtection="1">
      <alignment horizontal="center" vertical="center" wrapText="1"/>
      <protection hidden="1"/>
    </xf>
    <xf numFmtId="0" fontId="113" fillId="3" borderId="13" xfId="0" applyFont="1" applyFill="1" applyBorder="1" applyAlignment="1" applyProtection="1">
      <alignment horizontal="center" vertical="center" wrapText="1"/>
      <protection hidden="1"/>
    </xf>
    <xf numFmtId="0" fontId="41" fillId="3" borderId="39" xfId="0" applyFont="1" applyFill="1" applyBorder="1" applyAlignment="1">
      <alignment horizontal="left" vertical="center" wrapText="1"/>
    </xf>
    <xf numFmtId="0" fontId="116" fillId="3" borderId="1" xfId="0" applyFont="1" applyFill="1" applyBorder="1" applyAlignment="1">
      <alignment horizontal="center" vertical="center"/>
    </xf>
    <xf numFmtId="0" fontId="41" fillId="3" borderId="8" xfId="0" applyFont="1" applyFill="1" applyBorder="1" applyAlignment="1">
      <alignment vertical="center" wrapText="1"/>
    </xf>
    <xf numFmtId="0" fontId="41" fillId="3" borderId="7" xfId="0" applyFont="1" applyFill="1" applyBorder="1" applyAlignment="1">
      <alignment vertical="center" wrapText="1"/>
    </xf>
    <xf numFmtId="0" fontId="41" fillId="3" borderId="2" xfId="0" applyFont="1" applyFill="1" applyBorder="1" applyAlignment="1">
      <alignment vertical="center" wrapText="1"/>
    </xf>
    <xf numFmtId="0" fontId="41" fillId="3" borderId="10" xfId="0" applyFont="1" applyFill="1" applyBorder="1" applyAlignment="1">
      <alignment vertical="center" wrapText="1"/>
    </xf>
    <xf numFmtId="0" fontId="41" fillId="3" borderId="13" xfId="0" applyFont="1" applyFill="1" applyBorder="1" applyAlignment="1">
      <alignment horizontal="left" vertical="center" wrapText="1"/>
    </xf>
    <xf numFmtId="0" fontId="34" fillId="3" borderId="39" xfId="0" applyFont="1" applyFill="1" applyBorder="1" applyAlignment="1">
      <alignment horizontal="right" vertical="center" textRotation="90" wrapText="1"/>
    </xf>
    <xf numFmtId="181" fontId="117" fillId="3" borderId="40" xfId="0" applyNumberFormat="1" applyFont="1" applyFill="1" applyBorder="1" applyAlignment="1">
      <alignment horizontal="center" vertical="center" wrapText="1"/>
    </xf>
    <xf numFmtId="0" fontId="118" fillId="3" borderId="2" xfId="0" applyFont="1" applyFill="1" applyBorder="1" applyAlignment="1">
      <alignment vertical="center" wrapText="1"/>
    </xf>
    <xf numFmtId="0" fontId="119" fillId="3" borderId="3" xfId="0" applyFont="1" applyFill="1" applyBorder="1" applyAlignment="1">
      <alignment vertical="center" wrapText="1"/>
    </xf>
    <xf numFmtId="0" fontId="117" fillId="3" borderId="40" xfId="0" applyFont="1" applyFill="1" applyBorder="1" applyAlignment="1" applyProtection="1">
      <alignment horizontal="center" vertical="center" wrapText="1"/>
      <protection locked="0"/>
    </xf>
    <xf numFmtId="0" fontId="120" fillId="3" borderId="40" xfId="0" applyFont="1" applyFill="1" applyBorder="1" applyAlignment="1" applyProtection="1">
      <alignment horizontal="center" vertical="center" wrapText="1"/>
      <protection locked="0"/>
    </xf>
    <xf numFmtId="0" fontId="117" fillId="3" borderId="41" xfId="0" applyFont="1" applyFill="1" applyBorder="1" applyAlignment="1">
      <alignment horizontal="center" vertical="center" wrapText="1"/>
    </xf>
    <xf numFmtId="14" fontId="121" fillId="3" borderId="42" xfId="0" applyNumberFormat="1" applyFont="1" applyFill="1" applyBorder="1" applyAlignment="1">
      <alignment horizontal="center" vertical="center" wrapText="1"/>
    </xf>
    <xf numFmtId="0" fontId="50" fillId="3" borderId="43" xfId="0" applyFont="1" applyFill="1" applyBorder="1" applyAlignment="1">
      <alignment horizontal="center" vertical="center" wrapText="1"/>
    </xf>
    <xf numFmtId="0" fontId="50" fillId="3" borderId="44" xfId="0" applyNumberFormat="1" applyFont="1" applyFill="1" applyBorder="1" applyAlignment="1">
      <alignment horizontal="center" vertical="center" wrapText="1"/>
    </xf>
    <xf numFmtId="49" fontId="121" fillId="3" borderId="45" xfId="0" applyNumberFormat="1" applyFont="1" applyFill="1" applyBorder="1" applyAlignment="1">
      <alignment horizontal="center" vertical="center" wrapText="1"/>
    </xf>
    <xf numFmtId="0" fontId="122" fillId="3" borderId="1" xfId="0" applyFont="1" applyFill="1" applyBorder="1" applyAlignment="1">
      <alignment horizontal="center" vertical="center"/>
    </xf>
    <xf numFmtId="0" fontId="123" fillId="3" borderId="2" xfId="0" applyFont="1" applyFill="1" applyBorder="1" applyAlignment="1">
      <alignment vertical="center" wrapText="1"/>
    </xf>
    <xf numFmtId="0" fontId="120" fillId="3" borderId="46" xfId="0" applyFont="1" applyFill="1" applyBorder="1" applyAlignment="1" applyProtection="1">
      <alignment horizontal="center" vertical="center" wrapText="1"/>
      <protection locked="0"/>
    </xf>
    <xf numFmtId="14" fontId="121" fillId="3" borderId="41" xfId="0" applyNumberFormat="1" applyFont="1" applyFill="1" applyBorder="1" applyAlignment="1">
      <alignment horizontal="center" vertical="center" wrapText="1"/>
    </xf>
    <xf numFmtId="49" fontId="121" fillId="3" borderId="43" xfId="0" applyNumberFormat="1" applyFont="1" applyFill="1" applyBorder="1" applyAlignment="1">
      <alignment horizontal="center" vertical="center" wrapText="1"/>
    </xf>
    <xf numFmtId="49" fontId="124" fillId="3" borderId="43" xfId="0" applyNumberFormat="1" applyFont="1" applyFill="1" applyBorder="1" applyAlignment="1">
      <alignment horizontal="center" vertical="center" wrapText="1"/>
    </xf>
    <xf numFmtId="0" fontId="116" fillId="3" borderId="43" xfId="0" applyFont="1" applyFill="1" applyBorder="1" applyAlignment="1">
      <alignment horizontal="center" vertical="center" wrapText="1"/>
    </xf>
    <xf numFmtId="0" fontId="97" fillId="3" borderId="46" xfId="0" applyFont="1" applyFill="1" applyBorder="1" applyAlignment="1" applyProtection="1">
      <alignment horizontal="center" vertical="center" wrapText="1"/>
      <protection locked="0"/>
    </xf>
    <xf numFmtId="0" fontId="125" fillId="0" borderId="1" xfId="0" applyFont="1" applyBorder="1" applyAlignment="1">
      <alignment horizontal="center" vertical="center"/>
    </xf>
    <xf numFmtId="181" fontId="34" fillId="3" borderId="47" xfId="0" applyNumberFormat="1" applyFont="1" applyFill="1" applyBorder="1" applyAlignment="1">
      <alignment horizontal="center" vertical="center" wrapText="1"/>
    </xf>
    <xf numFmtId="0" fontId="119" fillId="3" borderId="41" xfId="0" applyFont="1" applyFill="1" applyBorder="1" applyAlignment="1">
      <alignment horizontal="left" vertical="center" wrapText="1"/>
    </xf>
    <xf numFmtId="0" fontId="122" fillId="3" borderId="43" xfId="0" applyFont="1" applyFill="1" applyBorder="1" applyAlignment="1">
      <alignment horizontal="left" vertical="center" wrapText="1"/>
    </xf>
    <xf numFmtId="0" fontId="109" fillId="3" borderId="41" xfId="0" applyFont="1" applyFill="1" applyBorder="1" applyAlignment="1" applyProtection="1">
      <alignment vertical="center" wrapText="1"/>
      <protection locked="0"/>
    </xf>
    <xf numFmtId="0" fontId="109" fillId="3" borderId="43" xfId="0" applyFont="1" applyFill="1" applyBorder="1" applyAlignment="1" applyProtection="1">
      <alignment vertical="center" wrapText="1"/>
      <protection locked="0"/>
    </xf>
    <xf numFmtId="0" fontId="34" fillId="3" borderId="46" xfId="0" applyFont="1" applyFill="1" applyBorder="1" applyAlignment="1" applyProtection="1">
      <alignment horizontal="center" vertical="center" wrapText="1"/>
      <protection locked="0"/>
    </xf>
    <xf numFmtId="0" fontId="11" fillId="3" borderId="41" xfId="0" applyFont="1" applyFill="1" applyBorder="1" applyAlignment="1" applyProtection="1">
      <alignment horizontal="center" vertical="center" wrapText="1"/>
      <protection locked="0"/>
    </xf>
    <xf numFmtId="14" fontId="34" fillId="3" borderId="41" xfId="0" applyNumberFormat="1" applyFont="1" applyFill="1" applyBorder="1" applyAlignment="1" applyProtection="1">
      <alignment horizontal="center" vertical="center" wrapText="1"/>
      <protection locked="0"/>
    </xf>
    <xf numFmtId="0" fontId="83" fillId="3" borderId="43" xfId="0" applyFont="1" applyFill="1" applyBorder="1" applyAlignment="1" applyProtection="1">
      <alignment horizontal="center" vertical="center" wrapText="1"/>
      <protection locked="0"/>
    </xf>
    <xf numFmtId="49" fontId="109" fillId="3" borderId="43" xfId="0" applyNumberFormat="1" applyFont="1" applyFill="1" applyBorder="1" applyAlignment="1" applyProtection="1">
      <alignment horizontal="center" vertical="center" wrapText="1"/>
      <protection locked="0"/>
    </xf>
    <xf numFmtId="0" fontId="83" fillId="3" borderId="0" xfId="0" applyFont="1" applyFill="1" applyBorder="1" applyAlignment="1">
      <alignment horizontal="center" vertical="center" textRotation="90" wrapText="1"/>
    </xf>
    <xf numFmtId="0" fontId="42" fillId="3" borderId="0" xfId="0" applyFont="1" applyFill="1" applyBorder="1" applyAlignment="1">
      <alignment horizontal="right" vertical="center" wrapText="1"/>
    </xf>
    <xf numFmtId="181" fontId="34" fillId="3" borderId="48" xfId="0" applyNumberFormat="1" applyFont="1" applyFill="1" applyBorder="1" applyAlignment="1">
      <alignment horizontal="center" vertical="center" wrapText="1"/>
    </xf>
    <xf numFmtId="0" fontId="109" fillId="3" borderId="49" xfId="0" applyFont="1" applyFill="1" applyBorder="1" applyAlignment="1" applyProtection="1">
      <alignment vertical="center" wrapText="1"/>
      <protection locked="0"/>
    </xf>
    <xf numFmtId="0" fontId="109" fillId="3" borderId="50" xfId="0" applyFont="1" applyFill="1" applyBorder="1" applyAlignment="1" applyProtection="1">
      <alignment vertical="center" wrapText="1"/>
      <protection locked="0"/>
    </xf>
    <xf numFmtId="0" fontId="34" fillId="3" borderId="48" xfId="0" applyFont="1" applyFill="1" applyBorder="1" applyAlignment="1" applyProtection="1">
      <alignment horizontal="center" vertical="center" wrapText="1"/>
      <protection locked="0"/>
    </xf>
    <xf numFmtId="0" fontId="11" fillId="3" borderId="49" xfId="0" applyFont="1" applyFill="1" applyBorder="1" applyAlignment="1" applyProtection="1">
      <alignment horizontal="center" vertical="center" wrapText="1"/>
      <protection locked="0"/>
    </xf>
    <xf numFmtId="14" fontId="34" fillId="3" borderId="49" xfId="0" applyNumberFormat="1" applyFont="1" applyFill="1" applyBorder="1" applyAlignment="1" applyProtection="1">
      <alignment horizontal="center" vertical="center" wrapText="1"/>
      <protection locked="0"/>
    </xf>
    <xf numFmtId="0" fontId="83" fillId="3" borderId="50" xfId="0" applyFont="1" applyFill="1" applyBorder="1" applyAlignment="1" applyProtection="1">
      <alignment horizontal="center" vertical="center" wrapText="1"/>
      <protection locked="0"/>
    </xf>
    <xf numFmtId="0" fontId="50" fillId="3" borderId="48" xfId="0" applyFont="1" applyFill="1" applyBorder="1" applyAlignment="1">
      <alignment horizontal="center" vertical="center" wrapText="1"/>
    </xf>
    <xf numFmtId="49" fontId="109" fillId="3" borderId="50" xfId="0" applyNumberFormat="1" applyFont="1" applyFill="1" applyBorder="1" applyAlignment="1" applyProtection="1">
      <alignment horizontal="center" vertical="center" wrapText="1"/>
      <protection locked="0"/>
    </xf>
    <xf numFmtId="0" fontId="41" fillId="3" borderId="39" xfId="0" applyFont="1" applyFill="1" applyBorder="1" applyAlignment="1">
      <alignment horizontal="left" vertical="center"/>
    </xf>
    <xf numFmtId="0" fontId="97" fillId="3" borderId="32" xfId="0" applyFont="1" applyFill="1" applyBorder="1" applyAlignment="1">
      <alignment vertical="center"/>
    </xf>
    <xf numFmtId="0" fontId="97" fillId="3" borderId="0" xfId="0" applyFont="1" applyFill="1" applyBorder="1" applyAlignment="1">
      <alignment vertical="center"/>
    </xf>
    <xf numFmtId="0" fontId="109" fillId="3" borderId="0" xfId="0" applyFont="1" applyFill="1" applyBorder="1" applyAlignment="1">
      <alignment vertical="center"/>
    </xf>
    <xf numFmtId="0" fontId="41" fillId="3" borderId="0" xfId="0" applyFont="1" applyFill="1" applyAlignment="1">
      <alignment horizontal="left" vertical="center"/>
    </xf>
    <xf numFmtId="49" fontId="126" fillId="3" borderId="11" xfId="0" applyNumberFormat="1" applyFont="1" applyFill="1" applyBorder="1" applyAlignment="1">
      <alignment horizontal="right" vertical="center" wrapText="1"/>
    </xf>
    <xf numFmtId="0" fontId="126" fillId="3" borderId="12" xfId="0" applyFont="1" applyFill="1" applyBorder="1" applyAlignment="1">
      <alignment horizontal="right" vertical="center" wrapText="1"/>
    </xf>
    <xf numFmtId="0" fontId="109" fillId="3" borderId="12" xfId="0" applyFont="1" applyFill="1" applyBorder="1" applyAlignment="1">
      <alignment horizontal="left" vertical="center" wrapText="1"/>
    </xf>
    <xf numFmtId="0" fontId="87" fillId="3" borderId="12" xfId="0" applyFont="1" applyFill="1" applyBorder="1" applyAlignment="1">
      <alignment horizontal="left" vertical="center" wrapText="1"/>
    </xf>
    <xf numFmtId="0" fontId="34" fillId="3" borderId="12" xfId="0" applyFont="1" applyFill="1" applyBorder="1" applyAlignment="1" applyProtection="1">
      <alignment horizontal="center" vertical="center" wrapText="1"/>
      <protection locked="0"/>
    </xf>
    <xf numFmtId="0" fontId="87" fillId="3" borderId="12" xfId="0" applyFont="1" applyFill="1" applyBorder="1" applyAlignment="1" applyProtection="1">
      <alignment horizontal="right" vertical="center" wrapText="1"/>
      <protection locked="0"/>
    </xf>
    <xf numFmtId="0" fontId="111" fillId="3" borderId="12" xfId="0" applyFont="1" applyFill="1" applyBorder="1" applyAlignment="1">
      <alignment vertical="center"/>
    </xf>
    <xf numFmtId="0" fontId="113" fillId="3" borderId="12" xfId="0" applyFont="1" applyFill="1" applyBorder="1" applyAlignment="1" applyProtection="1">
      <alignment horizontal="right" vertical="center" wrapText="1"/>
      <protection hidden="1"/>
    </xf>
    <xf numFmtId="14" fontId="113" fillId="3" borderId="12" xfId="0" applyNumberFormat="1" applyFont="1" applyFill="1" applyBorder="1" applyAlignment="1" applyProtection="1">
      <alignment horizontal="center" vertical="center" wrapText="1"/>
      <protection hidden="1"/>
    </xf>
    <xf numFmtId="0" fontId="112" fillId="3" borderId="0" xfId="0" applyFont="1" applyFill="1" applyAlignment="1">
      <alignment vertical="center"/>
    </xf>
    <xf numFmtId="0" fontId="127" fillId="3" borderId="0" xfId="0" applyFont="1" applyFill="1" applyAlignment="1">
      <alignment vertical="center"/>
    </xf>
    <xf numFmtId="0" fontId="128" fillId="3" borderId="0" xfId="0" applyFont="1" applyFill="1" applyAlignment="1">
      <alignment vertical="center"/>
    </xf>
    <xf numFmtId="0" fontId="129" fillId="3" borderId="0" xfId="0" applyFont="1" applyFill="1" applyAlignment="1">
      <alignment vertical="center"/>
    </xf>
    <xf numFmtId="0" fontId="117" fillId="3" borderId="0" xfId="0" applyFont="1" applyFill="1" applyAlignment="1">
      <alignment vertical="center"/>
    </xf>
    <xf numFmtId="0" fontId="128" fillId="3" borderId="0" xfId="0" applyFont="1" applyFill="1" applyBorder="1" applyAlignment="1">
      <alignment vertical="center"/>
    </xf>
    <xf numFmtId="0" fontId="129" fillId="3" borderId="0" xfId="0" applyFont="1" applyFill="1" applyBorder="1" applyAlignment="1">
      <alignment vertical="center"/>
    </xf>
    <xf numFmtId="14" fontId="130" fillId="3" borderId="0" xfId="0" applyNumberFormat="1" applyFont="1" applyFill="1" applyBorder="1" applyAlignment="1" applyProtection="1">
      <alignment horizontal="center" vertical="center"/>
      <protection locked="0"/>
    </xf>
    <xf numFmtId="0" fontId="131" fillId="3" borderId="0" xfId="0" applyFont="1" applyFill="1" applyBorder="1" applyAlignment="1">
      <alignment vertical="center" wrapText="1"/>
    </xf>
    <xf numFmtId="0" fontId="132" fillId="3" borderId="0" xfId="0" applyFont="1" applyFill="1" applyBorder="1" applyAlignment="1">
      <alignment vertical="center"/>
    </xf>
    <xf numFmtId="0" fontId="133" fillId="3" borderId="0" xfId="0" applyFont="1" applyFill="1" applyBorder="1" applyAlignment="1">
      <alignment vertical="center" wrapText="1"/>
    </xf>
    <xf numFmtId="0" fontId="38" fillId="0" borderId="0" xfId="0" applyNumberFormat="1" applyFont="1" applyAlignment="1">
      <alignment horizontal="center" vertical="center"/>
    </xf>
    <xf numFmtId="0" fontId="134" fillId="0" borderId="0" xfId="0" applyNumberFormat="1" applyFont="1" applyAlignment="1">
      <alignment horizontal="center" vertical="center"/>
    </xf>
    <xf numFmtId="49" fontId="92" fillId="0" borderId="2" xfId="0" applyNumberFormat="1" applyFont="1" applyBorder="1" applyAlignment="1">
      <alignment horizontal="center" vertical="center" wrapText="1"/>
    </xf>
    <xf numFmtId="49" fontId="89" fillId="0" borderId="3" xfId="0" applyNumberFormat="1" applyFont="1" applyBorder="1" applyAlignment="1">
      <alignment horizontal="center" vertical="center" wrapText="1"/>
    </xf>
    <xf numFmtId="49" fontId="89" fillId="0" borderId="2" xfId="0" applyNumberFormat="1" applyFont="1" applyBorder="1" applyAlignment="1">
      <alignment horizontal="center" vertical="center" wrapText="1"/>
    </xf>
    <xf numFmtId="0" fontId="87" fillId="0" borderId="0" xfId="0" applyNumberFormat="1" applyFont="1" applyAlignment="1">
      <alignment horizontal="right" vertical="center"/>
    </xf>
    <xf numFmtId="49" fontId="0" fillId="0" borderId="0" xfId="0" applyNumberFormat="1">
      <alignment vertical="center"/>
    </xf>
    <xf numFmtId="0" fontId="0" fillId="0" borderId="0" xfId="0" applyNumberFormat="1">
      <alignment vertical="center"/>
    </xf>
    <xf numFmtId="49" fontId="135" fillId="4" borderId="1" xfId="0" applyNumberFormat="1" applyFont="1" applyFill="1" applyBorder="1" applyAlignment="1">
      <alignment horizontal="center" vertical="center"/>
    </xf>
    <xf numFmtId="0" fontId="135" fillId="4" borderId="1" xfId="0" applyNumberFormat="1" applyFont="1" applyFill="1" applyBorder="1" applyAlignment="1">
      <alignment horizontal="center" vertical="center"/>
    </xf>
    <xf numFmtId="49" fontId="136" fillId="5" borderId="1" xfId="0" applyNumberFormat="1" applyFont="1" applyFill="1" applyBorder="1" applyAlignment="1">
      <alignment horizontal="center" vertical="center"/>
    </xf>
    <xf numFmtId="49" fontId="136" fillId="5" borderId="1" xfId="0" applyNumberFormat="1" applyFont="1" applyFill="1" applyBorder="1">
      <alignment vertical="center"/>
    </xf>
    <xf numFmtId="182" fontId="0" fillId="0" borderId="0" xfId="0" applyNumberFormat="1">
      <alignment vertical="center"/>
    </xf>
    <xf numFmtId="49" fontId="0" fillId="0" borderId="0" xfId="0" applyNumberFormat="1" applyAlignment="1">
      <alignment horizontal="left" vertical="center"/>
    </xf>
    <xf numFmtId="0" fontId="0" fillId="0" borderId="0" xfId="0" applyNumberFormat="1" applyFont="1">
      <alignment vertical="center"/>
    </xf>
    <xf numFmtId="49" fontId="0" fillId="0" borderId="0" xfId="0" applyNumberFormat="1" applyFont="1" applyAlignment="1">
      <alignment horizontal="left" vertical="center"/>
    </xf>
    <xf numFmtId="49" fontId="0" fillId="0" borderId="0" xfId="0" applyNumberFormat="1" applyFont="1">
      <alignment vertical="center"/>
    </xf>
    <xf numFmtId="0" fontId="111" fillId="0" borderId="0" xfId="0" applyFont="1" applyFill="1" applyAlignment="1">
      <alignment vertical="center"/>
    </xf>
    <xf numFmtId="0" fontId="137" fillId="3" borderId="0" xfId="0" applyFont="1" applyFill="1" applyAlignment="1">
      <alignment horizontal="center" vertical="center"/>
    </xf>
    <xf numFmtId="0" fontId="117" fillId="3" borderId="0" xfId="0" applyFont="1" applyFill="1" applyBorder="1" applyAlignment="1">
      <alignment vertical="center" wrapText="1"/>
    </xf>
    <xf numFmtId="0" fontId="120" fillId="3" borderId="7" xfId="0" applyFont="1" applyFill="1" applyBorder="1" applyAlignment="1">
      <alignment horizontal="center" vertical="center" wrapText="1"/>
    </xf>
    <xf numFmtId="0" fontId="138" fillId="3" borderId="0" xfId="0" applyFont="1" applyFill="1" applyBorder="1" applyAlignment="1" applyProtection="1">
      <alignment horizontal="center" vertical="center"/>
      <protection locked="0"/>
    </xf>
    <xf numFmtId="0" fontId="138" fillId="3" borderId="5" xfId="0" applyFont="1" applyFill="1" applyBorder="1" applyAlignment="1" applyProtection="1">
      <alignment horizontal="center" vertical="center" wrapText="1"/>
      <protection locked="0"/>
    </xf>
    <xf numFmtId="0" fontId="112" fillId="3" borderId="0" xfId="0" applyFont="1" applyFill="1" applyBorder="1" applyAlignment="1">
      <alignment vertical="center" wrapText="1"/>
    </xf>
    <xf numFmtId="0" fontId="120" fillId="3" borderId="8" xfId="0" applyFont="1" applyFill="1" applyBorder="1" applyAlignment="1">
      <alignment horizontal="left" vertical="center" wrapText="1"/>
    </xf>
    <xf numFmtId="0" fontId="120" fillId="3" borderId="9" xfId="0" applyFont="1" applyFill="1" applyBorder="1" applyAlignment="1">
      <alignment horizontal="left" vertical="center" wrapText="1"/>
    </xf>
    <xf numFmtId="0" fontId="138" fillId="3" borderId="9" xfId="0" applyFont="1" applyFill="1" applyBorder="1" applyAlignment="1">
      <alignment horizontal="center" vertical="center" wrapText="1"/>
    </xf>
    <xf numFmtId="0" fontId="139" fillId="3" borderId="10" xfId="0" applyFont="1" applyFill="1" applyBorder="1" applyAlignment="1">
      <alignment horizontal="center" vertical="center" wrapText="1"/>
    </xf>
    <xf numFmtId="0" fontId="120" fillId="3" borderId="7" xfId="0" applyFont="1" applyFill="1" applyBorder="1" applyAlignment="1">
      <alignment horizontal="left" vertical="center"/>
    </xf>
    <xf numFmtId="0" fontId="120" fillId="3" borderId="10" xfId="0" applyFont="1" applyFill="1" applyBorder="1" applyAlignment="1">
      <alignment horizontal="left" vertical="center" wrapText="1"/>
    </xf>
    <xf numFmtId="0" fontId="120" fillId="3" borderId="32" xfId="0" applyFont="1" applyFill="1" applyBorder="1" applyAlignment="1">
      <alignment horizontal="left" vertical="center" wrapText="1"/>
    </xf>
    <xf numFmtId="0" fontId="120" fillId="3" borderId="0" xfId="0" applyFont="1" applyFill="1" applyBorder="1" applyAlignment="1">
      <alignment horizontal="left" vertical="center" wrapText="1"/>
    </xf>
    <xf numFmtId="0" fontId="138" fillId="3" borderId="0" xfId="0" applyFont="1" applyFill="1" applyBorder="1" applyAlignment="1">
      <alignment horizontal="center" vertical="center" wrapText="1"/>
    </xf>
    <xf numFmtId="0" fontId="138" fillId="3" borderId="39" xfId="0" applyFont="1" applyFill="1" applyBorder="1" applyAlignment="1">
      <alignment horizontal="center" vertical="center" wrapText="1"/>
    </xf>
    <xf numFmtId="0" fontId="138" fillId="3" borderId="38" xfId="0" applyFont="1" applyFill="1" applyBorder="1" applyAlignment="1">
      <alignment horizontal="center" vertical="center"/>
    </xf>
    <xf numFmtId="14" fontId="138" fillId="3" borderId="32" xfId="0" applyNumberFormat="1" applyFont="1" applyFill="1" applyBorder="1" applyAlignment="1">
      <alignment horizontal="center" vertical="center"/>
    </xf>
    <xf numFmtId="14" fontId="138" fillId="3" borderId="39" xfId="0" applyNumberFormat="1" applyFont="1" applyFill="1" applyBorder="1" applyAlignment="1">
      <alignment horizontal="center" vertical="center"/>
    </xf>
    <xf numFmtId="0" fontId="120" fillId="3" borderId="11" xfId="0" applyFont="1" applyFill="1" applyBorder="1" applyAlignment="1">
      <alignment horizontal="left" vertical="center" wrapText="1"/>
    </xf>
    <xf numFmtId="0" fontId="120" fillId="3" borderId="12" xfId="0" applyFont="1" applyFill="1" applyBorder="1" applyAlignment="1">
      <alignment horizontal="left" vertical="center" wrapText="1"/>
    </xf>
    <xf numFmtId="0" fontId="138" fillId="3" borderId="12" xfId="0" applyFont="1" applyFill="1" applyBorder="1" applyAlignment="1">
      <alignment horizontal="center" vertical="center" wrapText="1"/>
    </xf>
    <xf numFmtId="0" fontId="138" fillId="3" borderId="13" xfId="0" applyFont="1" applyFill="1" applyBorder="1" applyAlignment="1">
      <alignment horizontal="center" vertical="center" wrapText="1"/>
    </xf>
    <xf numFmtId="0" fontId="138" fillId="3" borderId="5" xfId="0" applyFont="1" applyFill="1" applyBorder="1" applyAlignment="1">
      <alignment horizontal="center" vertical="center"/>
    </xf>
    <xf numFmtId="14" fontId="138" fillId="3" borderId="11" xfId="0" applyNumberFormat="1" applyFont="1" applyFill="1" applyBorder="1" applyAlignment="1">
      <alignment horizontal="center" vertical="center"/>
    </xf>
    <xf numFmtId="14" fontId="138" fillId="3" borderId="13" xfId="0" applyNumberFormat="1" applyFont="1" applyFill="1" applyBorder="1" applyAlignment="1">
      <alignment horizontal="center" vertical="center"/>
    </xf>
    <xf numFmtId="0" fontId="120" fillId="3" borderId="32" xfId="0" applyFont="1" applyFill="1" applyBorder="1" applyAlignment="1">
      <alignment vertical="center" wrapText="1"/>
    </xf>
    <xf numFmtId="0" fontId="120" fillId="3" borderId="0" xfId="0" applyFont="1" applyFill="1" applyBorder="1" applyAlignment="1">
      <alignment vertical="center" wrapText="1"/>
    </xf>
    <xf numFmtId="0" fontId="120" fillId="3" borderId="39" xfId="0" applyFont="1" applyFill="1" applyBorder="1" applyAlignment="1">
      <alignment vertical="center" wrapText="1"/>
    </xf>
    <xf numFmtId="0" fontId="138" fillId="3" borderId="11" xfId="0" applyFont="1" applyFill="1" applyBorder="1" applyAlignment="1" applyProtection="1">
      <alignment horizontal="center" vertical="center" wrapText="1"/>
      <protection hidden="1"/>
    </xf>
    <xf numFmtId="0" fontId="138" fillId="3" borderId="12" xfId="0" applyFont="1" applyFill="1" applyBorder="1" applyAlignment="1" applyProtection="1">
      <alignment horizontal="center" vertical="center" wrapText="1"/>
      <protection hidden="1"/>
    </xf>
    <xf numFmtId="0" fontId="138" fillId="3" borderId="13" xfId="0" applyFont="1" applyFill="1" applyBorder="1" applyAlignment="1" applyProtection="1">
      <alignment horizontal="center" vertical="center" wrapText="1"/>
      <protection hidden="1"/>
    </xf>
    <xf numFmtId="0" fontId="120" fillId="3" borderId="39" xfId="0" applyFont="1" applyFill="1" applyBorder="1" applyAlignment="1">
      <alignment horizontal="left" vertical="center" wrapText="1"/>
    </xf>
    <xf numFmtId="0" fontId="120" fillId="3" borderId="8" xfId="0" applyFont="1" applyFill="1" applyBorder="1" applyAlignment="1">
      <alignment vertical="center" wrapText="1"/>
    </xf>
    <xf numFmtId="0" fontId="120" fillId="3" borderId="7" xfId="0" applyFont="1" applyFill="1" applyBorder="1" applyAlignment="1">
      <alignment vertical="center" wrapText="1"/>
    </xf>
    <xf numFmtId="0" fontId="120" fillId="3" borderId="2" xfId="0" applyFont="1" applyFill="1" applyBorder="1" applyAlignment="1">
      <alignment vertical="center" wrapText="1"/>
    </xf>
    <xf numFmtId="0" fontId="120" fillId="3" borderId="10" xfId="0" applyFont="1" applyFill="1" applyBorder="1" applyAlignment="1">
      <alignment vertical="center" wrapText="1"/>
    </xf>
    <xf numFmtId="0" fontId="120" fillId="3" borderId="13" xfId="0" applyFont="1" applyFill="1" applyBorder="1" applyAlignment="1">
      <alignment horizontal="left" vertical="center" wrapText="1"/>
    </xf>
    <xf numFmtId="0" fontId="117" fillId="3" borderId="39" xfId="0" applyFont="1" applyFill="1" applyBorder="1" applyAlignment="1">
      <alignment horizontal="right" vertical="center" textRotation="90" wrapText="1"/>
    </xf>
    <xf numFmtId="0" fontId="24" fillId="3" borderId="0" xfId="0" applyFont="1" applyFill="1" applyAlignment="1">
      <alignment vertical="center"/>
    </xf>
    <xf numFmtId="181" fontId="140" fillId="3" borderId="40" xfId="0" applyNumberFormat="1" applyFont="1" applyFill="1" applyBorder="1" applyAlignment="1">
      <alignment horizontal="center" vertical="center" wrapText="1"/>
    </xf>
    <xf numFmtId="0" fontId="141" fillId="3" borderId="3" xfId="0" applyFont="1" applyFill="1" applyBorder="1" applyAlignment="1">
      <alignment vertical="center" wrapText="1"/>
    </xf>
    <xf numFmtId="0" fontId="140" fillId="3" borderId="40" xfId="0" applyFont="1" applyFill="1" applyBorder="1" applyAlignment="1" applyProtection="1">
      <alignment horizontal="center" vertical="center" wrapText="1"/>
      <protection locked="0"/>
    </xf>
    <xf numFmtId="0" fontId="142" fillId="3" borderId="46" xfId="0" applyFont="1" applyFill="1" applyBorder="1" applyAlignment="1" applyProtection="1">
      <alignment horizontal="center" vertical="center" wrapText="1"/>
      <protection locked="0"/>
    </xf>
    <xf numFmtId="0" fontId="140" fillId="3" borderId="41" xfId="0" applyFont="1" applyFill="1" applyBorder="1" applyAlignment="1">
      <alignment horizontal="center" vertical="center" wrapText="1"/>
    </xf>
    <xf numFmtId="14" fontId="143" fillId="3" borderId="41" xfId="0" applyNumberFormat="1" applyFont="1" applyFill="1" applyBorder="1" applyAlignment="1">
      <alignment horizontal="center" vertical="center" wrapText="1"/>
    </xf>
    <xf numFmtId="0" fontId="144" fillId="3" borderId="43" xfId="0" applyFont="1" applyFill="1" applyBorder="1" applyAlignment="1">
      <alignment horizontal="center" vertical="center" wrapText="1"/>
    </xf>
    <xf numFmtId="0" fontId="144" fillId="3" borderId="44" xfId="0" applyNumberFormat="1" applyFont="1" applyFill="1" applyBorder="1" applyAlignment="1">
      <alignment horizontal="center" vertical="center" wrapText="1"/>
    </xf>
    <xf numFmtId="49" fontId="143" fillId="3" borderId="43" xfId="0" applyNumberFormat="1" applyFont="1" applyFill="1" applyBorder="1" applyAlignment="1">
      <alignment horizontal="center" vertical="center" wrapText="1"/>
    </xf>
    <xf numFmtId="0" fontId="145" fillId="3" borderId="2" xfId="0" applyFont="1" applyFill="1" applyBorder="1" applyAlignment="1">
      <alignment vertical="center" wrapText="1"/>
    </xf>
    <xf numFmtId="0" fontId="146" fillId="3" borderId="43" xfId="0" applyFont="1" applyFill="1" applyBorder="1" applyAlignment="1">
      <alignment horizontal="center" vertical="center" wrapText="1"/>
    </xf>
    <xf numFmtId="0" fontId="117" fillId="0" borderId="39" xfId="0" applyFont="1" applyFill="1" applyBorder="1" applyAlignment="1">
      <alignment horizontal="right" vertical="center" textRotation="90" wrapText="1"/>
    </xf>
    <xf numFmtId="181" fontId="140" fillId="0" borderId="40" xfId="0" applyNumberFormat="1" applyFont="1" applyFill="1" applyBorder="1" applyAlignment="1">
      <alignment horizontal="center" vertical="center" wrapText="1"/>
    </xf>
    <xf numFmtId="0" fontId="145" fillId="0" borderId="2" xfId="0" applyFont="1" applyFill="1" applyBorder="1" applyAlignment="1">
      <alignment vertical="center" wrapText="1"/>
    </xf>
    <xf numFmtId="0" fontId="141" fillId="0" borderId="3" xfId="0" applyFont="1" applyFill="1" applyBorder="1" applyAlignment="1">
      <alignment vertical="center" wrapText="1"/>
    </xf>
    <xf numFmtId="0" fontId="140" fillId="0" borderId="40" xfId="0" applyFont="1" applyFill="1" applyBorder="1" applyAlignment="1" applyProtection="1">
      <alignment horizontal="center" vertical="center" wrapText="1"/>
      <protection locked="0"/>
    </xf>
    <xf numFmtId="0" fontId="142" fillId="0" borderId="46" xfId="0" applyFont="1" applyFill="1" applyBorder="1" applyAlignment="1" applyProtection="1">
      <alignment horizontal="center" vertical="center" wrapText="1"/>
      <protection locked="0"/>
    </xf>
    <xf numFmtId="0" fontId="140" fillId="0" borderId="41" xfId="0" applyFont="1" applyFill="1" applyBorder="1" applyAlignment="1">
      <alignment horizontal="center" vertical="center" wrapText="1"/>
    </xf>
    <xf numFmtId="14" fontId="143" fillId="0" borderId="41" xfId="0" applyNumberFormat="1" applyFont="1" applyFill="1" applyBorder="1" applyAlignment="1">
      <alignment horizontal="center" vertical="center" wrapText="1"/>
    </xf>
    <xf numFmtId="0" fontId="144" fillId="0" borderId="43" xfId="0" applyFont="1" applyFill="1" applyBorder="1" applyAlignment="1">
      <alignment horizontal="center" vertical="center" wrapText="1"/>
    </xf>
    <xf numFmtId="49" fontId="143" fillId="0" borderId="43" xfId="0" applyNumberFormat="1" applyFont="1" applyFill="1" applyBorder="1" applyAlignment="1">
      <alignment horizontal="center" vertical="center" wrapText="1"/>
    </xf>
    <xf numFmtId="0" fontId="120" fillId="3" borderId="39" xfId="0" applyFont="1" applyFill="1" applyBorder="1" applyAlignment="1">
      <alignment horizontal="left" vertical="center"/>
    </xf>
    <xf numFmtId="0" fontId="120" fillId="3" borderId="32" xfId="0" applyFont="1" applyFill="1" applyBorder="1" applyAlignment="1">
      <alignment vertical="center"/>
    </xf>
    <xf numFmtId="0" fontId="120" fillId="3" borderId="0" xfId="0" applyFont="1" applyFill="1" applyBorder="1" applyAlignment="1">
      <alignment vertical="center"/>
    </xf>
    <xf numFmtId="0" fontId="120" fillId="3" borderId="0" xfId="0" applyFont="1" applyFill="1" applyAlignment="1">
      <alignment horizontal="left" vertical="center"/>
    </xf>
    <xf numFmtId="49" fontId="147" fillId="3" borderId="11" xfId="0" applyNumberFormat="1" applyFont="1" applyFill="1" applyBorder="1" applyAlignment="1">
      <alignment horizontal="right" vertical="center" wrapText="1"/>
    </xf>
    <xf numFmtId="0" fontId="147" fillId="3" borderId="12" xfId="0" applyFont="1" applyFill="1" applyBorder="1" applyAlignment="1">
      <alignment horizontal="right" vertical="center" wrapText="1"/>
    </xf>
    <xf numFmtId="0" fontId="112" fillId="3" borderId="12" xfId="0" applyFont="1" applyFill="1" applyBorder="1" applyAlignment="1">
      <alignment horizontal="left" vertical="center" wrapText="1"/>
    </xf>
    <xf numFmtId="0" fontId="148" fillId="3" borderId="12" xfId="0" applyFont="1" applyFill="1" applyBorder="1" applyAlignment="1">
      <alignment horizontal="left" vertical="center" wrapText="1"/>
    </xf>
    <xf numFmtId="0" fontId="117" fillId="3" borderId="12" xfId="0" applyFont="1" applyFill="1" applyBorder="1" applyAlignment="1" applyProtection="1">
      <alignment horizontal="center" vertical="center" wrapText="1"/>
      <protection locked="0"/>
    </xf>
    <xf numFmtId="0" fontId="148" fillId="3" borderId="12" xfId="0" applyFont="1" applyFill="1" applyBorder="1" applyAlignment="1" applyProtection="1">
      <alignment horizontal="right" vertical="center" wrapText="1"/>
      <protection locked="0"/>
    </xf>
    <xf numFmtId="0" fontId="138" fillId="3" borderId="12" xfId="0" applyFont="1" applyFill="1" applyBorder="1" applyAlignment="1" applyProtection="1">
      <alignment horizontal="right" vertical="center" wrapText="1"/>
      <protection hidden="1"/>
    </xf>
    <xf numFmtId="14" fontId="138" fillId="3" borderId="12" xfId="0" applyNumberFormat="1" applyFont="1" applyFill="1" applyBorder="1" applyAlignment="1" applyProtection="1">
      <alignment horizontal="center" vertical="center" wrapText="1"/>
      <protection hidden="1"/>
    </xf>
    <xf numFmtId="14" fontId="149" fillId="3" borderId="0" xfId="0" applyNumberFormat="1" applyFont="1" applyFill="1" applyBorder="1" applyAlignment="1" applyProtection="1">
      <alignment horizontal="center" vertical="center"/>
      <protection locked="0"/>
    </xf>
    <xf numFmtId="0" fontId="87" fillId="2" borderId="0" xfId="0" applyFont="1" applyFill="1" applyBorder="1" applyAlignment="1" applyProtection="1">
      <alignment horizontal="right" vertical="center" textRotation="90" wrapText="1"/>
      <protection hidden="1"/>
    </xf>
    <xf numFmtId="0" fontId="86" fillId="2" borderId="0" xfId="0" applyFont="1" applyFill="1" applyAlignment="1" applyProtection="1">
      <alignment horizontal="center"/>
      <protection hidden="1"/>
    </xf>
    <xf numFmtId="0" fontId="3" fillId="2" borderId="0" xfId="0" applyFont="1" applyFill="1" applyAlignment="1" applyProtection="1">
      <protection hidden="1"/>
    </xf>
    <xf numFmtId="0" fontId="10" fillId="2" borderId="0" xfId="0" applyFont="1" applyFill="1" applyAlignment="1" applyProtection="1">
      <alignment horizontal="center"/>
      <protection hidden="1"/>
    </xf>
    <xf numFmtId="0" fontId="8" fillId="2" borderId="0" xfId="0" applyFont="1" applyFill="1" applyBorder="1" applyAlignment="1" applyProtection="1">
      <alignment horizontal="center" vertical="center" wrapText="1"/>
      <protection hidden="1"/>
    </xf>
    <xf numFmtId="0" fontId="29" fillId="2" borderId="0" xfId="0" applyFont="1" applyFill="1" applyAlignment="1" applyProtection="1">
      <alignment horizontal="left" vertical="center"/>
      <protection hidden="1"/>
    </xf>
    <xf numFmtId="0" fontId="9" fillId="2" borderId="0" xfId="0" applyFont="1" applyFill="1" applyAlignment="1" applyProtection="1">
      <alignment horizontal="center"/>
      <protection hidden="1"/>
    </xf>
    <xf numFmtId="0" fontId="84" fillId="2" borderId="0" xfId="0" applyFont="1" applyFill="1" applyAlignment="1" applyProtection="1">
      <alignment horizontal="center"/>
      <protection hidden="1"/>
    </xf>
    <xf numFmtId="0" fontId="84" fillId="2" borderId="0" xfId="0" applyFont="1" applyFill="1" applyBorder="1" applyAlignment="1" applyProtection="1">
      <alignment horizontal="left"/>
      <protection hidden="1"/>
    </xf>
    <xf numFmtId="0" fontId="29" fillId="2" borderId="7" xfId="0" applyFont="1" applyFill="1" applyBorder="1" applyAlignment="1" applyProtection="1">
      <alignment horizontal="center" vertical="center"/>
      <protection hidden="1"/>
    </xf>
    <xf numFmtId="0" fontId="83" fillId="2" borderId="0" xfId="0" applyFont="1" applyFill="1" applyAlignment="1" applyProtection="1">
      <alignment horizontal="left" vertical="center"/>
      <protection hidden="1"/>
    </xf>
    <xf numFmtId="0" fontId="83" fillId="2" borderId="0" xfId="0" applyFont="1" applyFill="1" applyBorder="1" applyAlignment="1" applyProtection="1">
      <alignment horizontal="center" vertical="top"/>
      <protection hidden="1"/>
    </xf>
    <xf numFmtId="0" fontId="83" fillId="2" borderId="0" xfId="0" applyFont="1" applyFill="1" applyBorder="1" applyAlignment="1" applyProtection="1">
      <alignment vertical="top"/>
      <protection hidden="1"/>
    </xf>
    <xf numFmtId="0" fontId="87" fillId="2" borderId="5" xfId="0" applyFont="1" applyFill="1" applyBorder="1" applyAlignment="1" applyProtection="1">
      <alignment vertical="center"/>
      <protection hidden="1"/>
    </xf>
    <xf numFmtId="0" fontId="87" fillId="2" borderId="39" xfId="0" applyFont="1" applyFill="1" applyBorder="1" applyAlignment="1" applyProtection="1">
      <alignment vertical="center"/>
      <protection hidden="1"/>
    </xf>
    <xf numFmtId="0" fontId="34" fillId="2" borderId="8" xfId="0" applyFont="1" applyFill="1" applyBorder="1" applyAlignment="1" applyProtection="1">
      <alignment horizontal="left" vertical="center"/>
      <protection hidden="1"/>
    </xf>
    <xf numFmtId="0" fontId="110" fillId="2" borderId="9" xfId="0" applyFont="1" applyFill="1" applyBorder="1" applyAlignment="1" applyProtection="1">
      <alignment vertical="center"/>
      <protection hidden="1"/>
    </xf>
    <xf numFmtId="0" fontId="2" fillId="2" borderId="9" xfId="0" applyFont="1" applyFill="1" applyBorder="1" applyAlignment="1" applyProtection="1">
      <alignment vertical="center"/>
      <protection hidden="1"/>
    </xf>
    <xf numFmtId="0" fontId="34" fillId="2" borderId="9" xfId="0" applyFont="1" applyFill="1" applyBorder="1" applyAlignment="1" applyProtection="1">
      <alignment horizontal="left" vertical="center"/>
      <protection hidden="1"/>
    </xf>
    <xf numFmtId="0" fontId="34" fillId="2" borderId="9" xfId="0" applyFont="1" applyFill="1" applyBorder="1" applyAlignment="1" applyProtection="1">
      <alignment vertical="center"/>
      <protection hidden="1"/>
    </xf>
    <xf numFmtId="0" fontId="2" fillId="2" borderId="10" xfId="0" applyFont="1" applyFill="1" applyBorder="1" applyAlignment="1" applyProtection="1">
      <alignment vertical="center"/>
      <protection hidden="1"/>
    </xf>
    <xf numFmtId="0" fontId="87" fillId="2" borderId="11" xfId="0" applyFont="1" applyFill="1" applyBorder="1" applyAlignment="1" applyProtection="1">
      <alignment horizontal="left" vertical="center"/>
      <protection hidden="1"/>
    </xf>
    <xf numFmtId="0" fontId="10" fillId="2" borderId="12" xfId="0" applyFont="1" applyFill="1" applyBorder="1" applyAlignment="1" applyProtection="1">
      <alignment vertical="center"/>
      <protection hidden="1"/>
    </xf>
    <xf numFmtId="0" fontId="2" fillId="2" borderId="12" xfId="0" applyFont="1" applyFill="1" applyBorder="1" applyAlignment="1" applyProtection="1">
      <alignment vertical="center"/>
      <protection hidden="1"/>
    </xf>
    <xf numFmtId="0" fontId="87" fillId="2" borderId="12" xfId="0" applyFont="1" applyFill="1" applyBorder="1" applyAlignment="1" applyProtection="1">
      <alignment horizontal="left" vertical="center"/>
      <protection hidden="1"/>
    </xf>
    <xf numFmtId="0" fontId="83" fillId="2" borderId="12" xfId="0" applyFont="1" applyFill="1" applyBorder="1" applyAlignment="1" applyProtection="1">
      <alignment vertical="center"/>
      <protection hidden="1"/>
    </xf>
    <xf numFmtId="0" fontId="83" fillId="2" borderId="13" xfId="0" applyFont="1" applyFill="1" applyBorder="1" applyAlignment="1" applyProtection="1">
      <alignment vertical="center"/>
      <protection hidden="1"/>
    </xf>
    <xf numFmtId="0" fontId="33" fillId="2" borderId="9" xfId="0" applyFont="1" applyFill="1" applyBorder="1" applyAlignment="1" applyProtection="1">
      <alignment vertical="center"/>
      <protection hidden="1"/>
    </xf>
    <xf numFmtId="0" fontId="34" fillId="2" borderId="9" xfId="0" applyFont="1" applyFill="1" applyBorder="1" applyAlignment="1" applyProtection="1">
      <alignment vertical="center" wrapText="1"/>
      <protection hidden="1"/>
    </xf>
    <xf numFmtId="0" fontId="93" fillId="2" borderId="9" xfId="0" applyFont="1" applyFill="1" applyBorder="1" applyAlignment="1" applyProtection="1">
      <alignment horizontal="center" vertical="center" wrapText="1"/>
      <protection hidden="1"/>
    </xf>
    <xf numFmtId="0" fontId="110" fillId="2" borderId="10" xfId="0" applyFont="1" applyFill="1" applyBorder="1" applyAlignment="1" applyProtection="1">
      <alignment vertical="center"/>
      <protection hidden="1"/>
    </xf>
    <xf numFmtId="0" fontId="83" fillId="2" borderId="11" xfId="0" applyFont="1" applyFill="1" applyBorder="1" applyAlignment="1" applyProtection="1">
      <alignment horizontal="left" vertical="center"/>
      <protection hidden="1"/>
    </xf>
    <xf numFmtId="0" fontId="93" fillId="2" borderId="12" xfId="0" applyFont="1" applyFill="1" applyBorder="1" applyAlignment="1" applyProtection="1">
      <alignment vertical="center"/>
      <protection hidden="1"/>
    </xf>
    <xf numFmtId="0" fontId="93" fillId="2" borderId="12" xfId="0" applyFont="1" applyFill="1" applyBorder="1" applyAlignment="1" applyProtection="1">
      <alignment horizontal="center" vertical="center" wrapText="1"/>
      <protection hidden="1"/>
    </xf>
    <xf numFmtId="0" fontId="43" fillId="2" borderId="12" xfId="0" applyFont="1" applyFill="1" applyBorder="1" applyAlignment="1" applyProtection="1">
      <alignment vertical="center"/>
      <protection hidden="1"/>
    </xf>
    <xf numFmtId="0" fontId="83" fillId="2" borderId="13" xfId="0" applyFont="1" applyFill="1" applyBorder="1" applyAlignment="1" applyProtection="1">
      <alignment horizontal="left" vertical="center"/>
      <protection hidden="1"/>
    </xf>
    <xf numFmtId="0" fontId="34" fillId="2" borderId="7" xfId="0" applyFont="1" applyFill="1" applyBorder="1" applyAlignment="1" applyProtection="1">
      <alignment horizontal="left" vertical="center"/>
      <protection hidden="1"/>
    </xf>
    <xf numFmtId="0" fontId="3" fillId="2" borderId="9" xfId="0" applyFont="1" applyFill="1" applyBorder="1" applyAlignment="1" applyProtection="1">
      <alignment horizontal="left" vertical="center"/>
      <protection hidden="1"/>
    </xf>
    <xf numFmtId="0" fontId="87" fillId="2" borderId="47" xfId="0" applyFont="1" applyFill="1" applyBorder="1" applyAlignment="1" applyProtection="1">
      <alignment horizontal="left" vertical="center"/>
      <protection hidden="1"/>
    </xf>
    <xf numFmtId="0" fontId="87" fillId="2" borderId="14" xfId="0" applyFont="1" applyFill="1" applyBorder="1" applyAlignment="1" applyProtection="1">
      <alignment horizontal="left" vertical="center"/>
      <protection hidden="1"/>
    </xf>
    <xf numFmtId="0" fontId="87" fillId="2" borderId="47" xfId="0" applyFont="1" applyFill="1" applyBorder="1" applyAlignment="1" applyProtection="1">
      <alignment horizontal="center" vertical="center"/>
      <protection hidden="1"/>
    </xf>
    <xf numFmtId="0" fontId="87" fillId="2" borderId="47" xfId="0" applyFont="1" applyFill="1" applyBorder="1" applyAlignment="1" applyProtection="1">
      <alignment vertical="center"/>
      <protection hidden="1"/>
    </xf>
    <xf numFmtId="0" fontId="34" fillId="2" borderId="46" xfId="0" applyFont="1" applyFill="1" applyBorder="1" applyAlignment="1" applyProtection="1">
      <protection hidden="1"/>
    </xf>
    <xf numFmtId="0" fontId="34" fillId="2" borderId="51" xfId="0" applyFont="1" applyFill="1" applyBorder="1" applyAlignment="1" applyProtection="1">
      <protection hidden="1"/>
    </xf>
    <xf numFmtId="0" fontId="2" fillId="2" borderId="46" xfId="0" applyFont="1" applyFill="1" applyBorder="1" applyAlignment="1" applyProtection="1">
      <alignment vertical="center"/>
      <protection hidden="1"/>
    </xf>
    <xf numFmtId="0" fontId="7" fillId="2" borderId="46" xfId="0" applyFont="1" applyFill="1" applyBorder="1" applyAlignment="1" applyProtection="1">
      <alignment vertical="center"/>
      <protection hidden="1"/>
    </xf>
    <xf numFmtId="0" fontId="86" fillId="2" borderId="51" xfId="0" applyFont="1" applyFill="1" applyBorder="1" applyAlignment="1" applyProtection="1">
      <protection hidden="1"/>
    </xf>
    <xf numFmtId="0" fontId="0" fillId="2" borderId="0" xfId="0" applyFont="1" applyFill="1" applyAlignment="1"/>
    <xf numFmtId="0" fontId="8" fillId="2" borderId="51" xfId="0" applyFont="1" applyFill="1" applyBorder="1" applyAlignment="1" applyProtection="1">
      <alignment vertical="center"/>
      <protection hidden="1"/>
    </xf>
    <xf numFmtId="0" fontId="29" fillId="2" borderId="46" xfId="0" applyFont="1" applyFill="1" applyBorder="1" applyAlignment="1" applyProtection="1">
      <protection hidden="1"/>
    </xf>
    <xf numFmtId="0" fontId="32" fillId="2" borderId="51" xfId="0" applyFont="1" applyFill="1" applyBorder="1" applyAlignment="1" applyProtection="1">
      <protection hidden="1"/>
    </xf>
    <xf numFmtId="0" fontId="7" fillId="2" borderId="51" xfId="0" applyFont="1" applyFill="1" applyBorder="1" applyAlignment="1" applyProtection="1">
      <protection hidden="1"/>
    </xf>
    <xf numFmtId="0" fontId="100" fillId="2" borderId="46" xfId="0" applyFont="1" applyFill="1" applyBorder="1" applyAlignment="1" applyProtection="1">
      <protection hidden="1"/>
    </xf>
    <xf numFmtId="0" fontId="10" fillId="2" borderId="51" xfId="0" applyFont="1" applyFill="1" applyBorder="1" applyAlignment="1" applyProtection="1">
      <alignment horizontal="center"/>
      <protection hidden="1"/>
    </xf>
    <xf numFmtId="0" fontId="34" fillId="2" borderId="52" xfId="0" applyFont="1" applyFill="1" applyBorder="1" applyAlignment="1" applyProtection="1">
      <protection hidden="1"/>
    </xf>
    <xf numFmtId="0" fontId="34" fillId="2" borderId="15" xfId="0" applyFont="1" applyFill="1" applyBorder="1" applyAlignment="1" applyProtection="1">
      <protection hidden="1"/>
    </xf>
    <xf numFmtId="0" fontId="34" fillId="2" borderId="48" xfId="0" applyFont="1" applyFill="1" applyBorder="1" applyAlignment="1" applyProtection="1">
      <protection hidden="1"/>
    </xf>
    <xf numFmtId="0" fontId="34" fillId="2" borderId="53" xfId="0" applyFont="1" applyFill="1" applyBorder="1" applyAlignment="1" applyProtection="1">
      <protection hidden="1"/>
    </xf>
    <xf numFmtId="0" fontId="87" fillId="2" borderId="0" xfId="0" applyFont="1" applyFill="1" applyBorder="1" applyAlignment="1" applyProtection="1">
      <alignment vertical="center"/>
      <protection hidden="1"/>
    </xf>
    <xf numFmtId="0" fontId="34" fillId="2" borderId="0" xfId="0" applyFont="1" applyFill="1" applyBorder="1" applyAlignment="1" applyProtection="1">
      <protection hidden="1"/>
    </xf>
    <xf numFmtId="0" fontId="83" fillId="2" borderId="0" xfId="0" applyFont="1" applyFill="1" applyBorder="1" applyAlignment="1" applyProtection="1">
      <alignment horizontal="left" vertical="center"/>
      <protection hidden="1"/>
    </xf>
    <xf numFmtId="0" fontId="83" fillId="2" borderId="0" xfId="0" applyFont="1" applyFill="1" applyBorder="1" applyAlignment="1" applyProtection="1">
      <alignment horizontal="left"/>
      <protection hidden="1"/>
    </xf>
    <xf numFmtId="0" fontId="3" fillId="2" borderId="0" xfId="0" applyFont="1" applyFill="1" applyAlignment="1">
      <alignment horizontal="center" vertical="center" textRotation="90" wrapText="1"/>
    </xf>
    <xf numFmtId="0" fontId="3" fillId="2" borderId="0" xfId="0" applyFont="1" applyFill="1" applyAlignment="1"/>
    <xf numFmtId="0" fontId="0" fillId="2" borderId="0" xfId="0" applyFill="1" applyAlignment="1">
      <alignment horizontal="center" vertical="center" textRotation="90" wrapText="1"/>
    </xf>
    <xf numFmtId="0" fontId="34" fillId="2" borderId="0" xfId="0" applyFont="1" applyFill="1" applyBorder="1" applyAlignment="1"/>
    <xf numFmtId="0" fontId="84" fillId="2" borderId="0" xfId="0" applyFont="1" applyFill="1" applyBorder="1" applyAlignment="1" applyProtection="1">
      <alignment horizontal="right"/>
      <protection hidden="1"/>
    </xf>
    <xf numFmtId="0" fontId="83" fillId="2" borderId="0" xfId="0" applyFont="1" applyFill="1" applyAlignment="1">
      <alignment horizontal="right"/>
    </xf>
    <xf numFmtId="0" fontId="11" fillId="2" borderId="0" xfId="0" applyFont="1" applyFill="1" applyAlignment="1">
      <alignment horizontal="right" vertical="center" textRotation="90" wrapText="1"/>
    </xf>
    <xf numFmtId="0" fontId="102" fillId="2" borderId="0" xfId="0" applyFont="1" applyFill="1" applyAlignment="1">
      <alignment horizontal="center" vertical="center"/>
    </xf>
    <xf numFmtId="0" fontId="102" fillId="2" borderId="0" xfId="0" applyFont="1" applyFill="1" applyAlignment="1">
      <alignment vertical="center"/>
    </xf>
    <xf numFmtId="0" fontId="150" fillId="2" borderId="0" xfId="0" applyFont="1" applyFill="1" applyAlignment="1"/>
    <xf numFmtId="0" fontId="3" fillId="2" borderId="0" xfId="0" applyFont="1" applyFill="1" applyAlignment="1">
      <alignment horizontal="right" vertical="center" textRotation="90" wrapText="1"/>
    </xf>
    <xf numFmtId="0" fontId="151" fillId="2" borderId="0" xfId="0" applyFont="1" applyFill="1" applyAlignment="1">
      <alignment horizontal="center" vertical="center"/>
    </xf>
    <xf numFmtId="0" fontId="152" fillId="2" borderId="0" xfId="0" applyFont="1" applyFill="1" applyAlignment="1">
      <alignment horizontal="center" vertical="center"/>
    </xf>
    <xf numFmtId="0" fontId="152" fillId="2" borderId="0" xfId="0" applyFont="1" applyFill="1" applyAlignment="1">
      <alignment vertical="center"/>
    </xf>
    <xf numFmtId="0" fontId="83" fillId="2" borderId="0" xfId="0" applyFont="1" applyFill="1" applyAlignment="1">
      <alignment horizontal="left" vertical="center"/>
    </xf>
    <xf numFmtId="0" fontId="153" fillId="2" borderId="0" xfId="0" applyFont="1" applyFill="1" applyAlignment="1">
      <alignment horizontal="center"/>
    </xf>
    <xf numFmtId="0" fontId="154" fillId="2" borderId="0" xfId="0" applyFont="1" applyFill="1" applyAlignment="1">
      <alignment horizontal="center"/>
    </xf>
    <xf numFmtId="0" fontId="155" fillId="2" borderId="7" xfId="0" applyFont="1" applyFill="1" applyBorder="1" applyAlignment="1">
      <alignment horizontal="center" vertical="center"/>
    </xf>
    <xf numFmtId="0" fontId="84" fillId="2" borderId="0" xfId="0" applyFont="1" applyFill="1" applyAlignment="1">
      <alignment horizontal="left" vertical="center"/>
    </xf>
    <xf numFmtId="0" fontId="84" fillId="2" borderId="32" xfId="0" applyFont="1" applyFill="1" applyBorder="1" applyAlignment="1">
      <alignment horizontal="left" vertical="center"/>
    </xf>
    <xf numFmtId="0" fontId="154" fillId="2" borderId="0" xfId="0" applyFont="1" applyFill="1" applyAlignment="1">
      <alignment horizontal="left" vertical="center"/>
    </xf>
    <xf numFmtId="0" fontId="154" fillId="2" borderId="0" xfId="0" applyFont="1" applyFill="1" applyAlignment="1"/>
    <xf numFmtId="0" fontId="83" fillId="2" borderId="0" xfId="0" applyFont="1" applyFill="1" applyAlignment="1">
      <alignment vertical="center" wrapText="1"/>
    </xf>
    <xf numFmtId="0" fontId="155" fillId="2" borderId="5" xfId="0" applyFont="1" applyFill="1" applyBorder="1" applyAlignment="1">
      <alignment horizontal="center" vertical="center"/>
    </xf>
    <xf numFmtId="0" fontId="84" fillId="2" borderId="0" xfId="0" applyFont="1" applyFill="1" applyAlignment="1">
      <alignment horizontal="left" vertical="center" wrapText="1"/>
    </xf>
    <xf numFmtId="0" fontId="84" fillId="2" borderId="0" xfId="0" applyFont="1" applyFill="1" applyBorder="1" applyAlignment="1">
      <alignment horizontal="left" vertical="center" wrapText="1"/>
    </xf>
    <xf numFmtId="0" fontId="155" fillId="2" borderId="0" xfId="0" applyFont="1" applyFill="1" applyBorder="1" applyAlignment="1">
      <alignment vertical="center"/>
    </xf>
    <xf numFmtId="0" fontId="11" fillId="2" borderId="54" xfId="0" applyFont="1" applyFill="1" applyBorder="1" applyAlignment="1">
      <alignment vertical="center"/>
    </xf>
    <xf numFmtId="0" fontId="11" fillId="2" borderId="55" xfId="0" applyFont="1" applyFill="1" applyBorder="1" applyAlignment="1">
      <alignment vertical="center"/>
    </xf>
    <xf numFmtId="0" fontId="25" fillId="2" borderId="55" xfId="0" applyFont="1" applyFill="1" applyBorder="1" applyAlignment="1">
      <alignment vertical="center"/>
    </xf>
    <xf numFmtId="0" fontId="30" fillId="2" borderId="55" xfId="0" applyFont="1" applyFill="1" applyBorder="1" applyAlignment="1">
      <alignment horizontal="center" vertical="center"/>
    </xf>
    <xf numFmtId="0" fontId="96" fillId="2" borderId="56" xfId="0" applyFont="1" applyFill="1" applyBorder="1" applyAlignment="1">
      <alignment horizontal="center" vertical="center"/>
    </xf>
    <xf numFmtId="0" fontId="96" fillId="2" borderId="57" xfId="0" applyFont="1" applyFill="1" applyBorder="1" applyAlignment="1">
      <alignment horizontal="center" vertical="center"/>
    </xf>
    <xf numFmtId="0" fontId="11" fillId="2" borderId="58" xfId="0" applyFont="1" applyFill="1" applyBorder="1" applyAlignment="1">
      <alignment vertical="center"/>
    </xf>
    <xf numFmtId="0" fontId="3" fillId="2" borderId="55" xfId="0" applyFont="1" applyFill="1" applyBorder="1" applyAlignment="1">
      <alignment vertical="center"/>
    </xf>
    <xf numFmtId="0" fontId="33" fillId="2" borderId="55" xfId="0" applyFont="1" applyFill="1" applyBorder="1" applyAlignment="1">
      <alignment vertical="center"/>
    </xf>
    <xf numFmtId="0" fontId="33" fillId="2" borderId="57" xfId="0" applyFont="1" applyFill="1" applyBorder="1" applyAlignment="1">
      <alignment vertical="center"/>
    </xf>
    <xf numFmtId="0" fontId="8" fillId="2" borderId="58" xfId="0" applyFont="1" applyFill="1" applyBorder="1" applyAlignment="1">
      <alignment vertical="center"/>
    </xf>
    <xf numFmtId="0" fontId="9" fillId="2" borderId="55" xfId="0" applyFont="1" applyFill="1" applyBorder="1" applyAlignment="1">
      <alignment vertical="center"/>
    </xf>
    <xf numFmtId="14" fontId="156" fillId="2" borderId="59" xfId="0" applyNumberFormat="1" applyFont="1" applyFill="1" applyBorder="1" applyAlignment="1">
      <alignment horizontal="center" vertical="center"/>
    </xf>
    <xf numFmtId="0" fontId="87" fillId="2" borderId="60" xfId="0" applyFont="1" applyFill="1" applyBorder="1" applyAlignment="1">
      <alignment vertical="center"/>
    </xf>
    <xf numFmtId="0" fontId="86" fillId="2" borderId="12" xfId="0" applyFont="1" applyFill="1" applyBorder="1" applyAlignment="1">
      <alignment horizontal="center" vertical="center"/>
    </xf>
    <xf numFmtId="0" fontId="88" fillId="2" borderId="61" xfId="0" applyFont="1" applyFill="1" applyBorder="1" applyAlignment="1">
      <alignment horizontal="center" vertical="center"/>
    </xf>
    <xf numFmtId="0" fontId="88" fillId="2" borderId="13" xfId="0" applyFont="1" applyFill="1" applyBorder="1" applyAlignment="1">
      <alignment horizontal="center" vertical="center"/>
    </xf>
    <xf numFmtId="0" fontId="85" fillId="2" borderId="11" xfId="0" applyFont="1" applyFill="1" applyBorder="1" applyAlignment="1">
      <alignment vertical="center"/>
    </xf>
    <xf numFmtId="0" fontId="90" fillId="2" borderId="12" xfId="0" applyFont="1" applyFill="1" applyBorder="1" applyAlignment="1">
      <alignment vertical="center"/>
    </xf>
    <xf numFmtId="0" fontId="90" fillId="2" borderId="13" xfId="0" applyFont="1" applyFill="1" applyBorder="1" applyAlignment="1">
      <alignment vertical="center"/>
    </xf>
    <xf numFmtId="0" fontId="157" fillId="2" borderId="12" xfId="0" applyFont="1" applyFill="1" applyBorder="1" applyAlignment="1">
      <alignment vertical="center"/>
    </xf>
    <xf numFmtId="179" fontId="156" fillId="2" borderId="62" xfId="0" applyNumberFormat="1" applyFont="1" applyFill="1" applyBorder="1" applyAlignment="1">
      <alignment horizontal="center" vertical="center"/>
    </xf>
    <xf numFmtId="0" fontId="11" fillId="2" borderId="63" xfId="0" applyFont="1" applyFill="1" applyBorder="1" applyAlignment="1">
      <alignment vertical="center"/>
    </xf>
    <xf numFmtId="0" fontId="11" fillId="2" borderId="0" xfId="0" applyFont="1" applyFill="1" applyBorder="1" applyAlignment="1">
      <alignment vertical="center"/>
    </xf>
    <xf numFmtId="0" fontId="2" fillId="2" borderId="9"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11" fillId="2" borderId="0" xfId="0" applyFont="1" applyFill="1" applyBorder="1" applyAlignment="1"/>
    <xf numFmtId="0" fontId="3" fillId="2" borderId="0" xfId="0" applyFont="1" applyFill="1" applyBorder="1" applyAlignment="1"/>
    <xf numFmtId="0" fontId="47" fillId="2" borderId="9" xfId="0" applyFont="1" applyFill="1" applyBorder="1" applyAlignment="1">
      <alignment horizontal="left" vertical="center" wrapText="1"/>
    </xf>
    <xf numFmtId="0" fontId="47" fillId="2" borderId="10" xfId="0" applyFont="1" applyFill="1" applyBorder="1" applyAlignment="1">
      <alignment horizontal="left" vertical="center" wrapText="1"/>
    </xf>
    <xf numFmtId="0" fontId="11" fillId="2" borderId="8" xfId="0" applyFont="1" applyFill="1" applyBorder="1" applyAlignment="1">
      <alignment vertical="center"/>
    </xf>
    <xf numFmtId="0" fontId="3" fillId="2" borderId="9" xfId="0" applyFont="1" applyFill="1" applyBorder="1" applyAlignment="1">
      <alignment vertical="center"/>
    </xf>
    <xf numFmtId="0" fontId="158" fillId="2" borderId="9" xfId="0" applyFont="1" applyFill="1" applyBorder="1" applyAlignment="1">
      <alignment horizontal="left" vertical="center"/>
    </xf>
    <xf numFmtId="0" fontId="158" fillId="2" borderId="31" xfId="0" applyFont="1" applyFill="1" applyBorder="1" applyAlignment="1">
      <alignment horizontal="left" vertical="center"/>
    </xf>
    <xf numFmtId="0" fontId="32" fillId="2" borderId="12" xfId="0" applyFont="1" applyFill="1" applyBorder="1" applyAlignment="1">
      <alignment horizontal="center" vertical="center" wrapText="1"/>
    </xf>
    <xf numFmtId="0" fontId="34" fillId="2" borderId="12" xfId="0" applyFont="1" applyFill="1" applyBorder="1" applyAlignment="1">
      <alignment horizontal="center" vertical="center" wrapText="1"/>
    </xf>
    <xf numFmtId="0" fontId="34" fillId="2" borderId="13" xfId="0" applyFont="1" applyFill="1" applyBorder="1" applyAlignment="1">
      <alignment horizontal="center" vertical="center" wrapText="1"/>
    </xf>
    <xf numFmtId="0" fontId="87" fillId="2" borderId="12" xfId="0" applyFont="1" applyFill="1" applyBorder="1" applyAlignment="1">
      <alignment wrapText="1"/>
    </xf>
    <xf numFmtId="0" fontId="25" fillId="2" borderId="12" xfId="0" applyFont="1" applyFill="1" applyBorder="1" applyAlignment="1"/>
    <xf numFmtId="0" fontId="47" fillId="2" borderId="12" xfId="0" applyFont="1" applyFill="1" applyBorder="1" applyAlignment="1">
      <alignment horizontal="left" vertical="center" wrapText="1"/>
    </xf>
    <xf numFmtId="0" fontId="47" fillId="2" borderId="13" xfId="0" applyFont="1" applyFill="1" applyBorder="1" applyAlignment="1">
      <alignment horizontal="left" vertical="center" wrapText="1"/>
    </xf>
    <xf numFmtId="0" fontId="159" fillId="2" borderId="12" xfId="0" applyFont="1" applyFill="1" applyBorder="1" applyAlignment="1">
      <alignment horizontal="left" vertical="center"/>
    </xf>
    <xf numFmtId="0" fontId="159" fillId="2" borderId="62" xfId="0" applyFont="1" applyFill="1" applyBorder="1" applyAlignment="1">
      <alignment horizontal="left" vertical="center"/>
    </xf>
    <xf numFmtId="0" fontId="11" fillId="2" borderId="64" xfId="0" applyFont="1" applyFill="1" applyBorder="1" applyAlignment="1">
      <alignment horizontal="center" vertical="center" wrapText="1"/>
    </xf>
    <xf numFmtId="0" fontId="11" fillId="2" borderId="9" xfId="0" applyFont="1" applyFill="1" applyBorder="1" applyAlignment="1">
      <alignment horizontal="center" vertical="center" wrapText="1"/>
    </xf>
    <xf numFmtId="0" fontId="11" fillId="2" borderId="10" xfId="0" applyFont="1" applyFill="1" applyBorder="1" applyAlignment="1">
      <alignment horizontal="center" vertical="center" wrapText="1"/>
    </xf>
    <xf numFmtId="180" fontId="160" fillId="2" borderId="8" xfId="0" applyNumberFormat="1" applyFont="1" applyFill="1" applyBorder="1" applyAlignment="1">
      <alignment horizontal="center" vertical="center"/>
    </xf>
    <xf numFmtId="180" fontId="160" fillId="2" borderId="9" xfId="0" applyNumberFormat="1" applyFont="1" applyFill="1" applyBorder="1" applyAlignment="1">
      <alignment horizontal="center" vertical="center"/>
    </xf>
    <xf numFmtId="180" fontId="160" fillId="2" borderId="10" xfId="0" applyNumberFormat="1" applyFont="1" applyFill="1" applyBorder="1" applyAlignment="1">
      <alignment horizontal="center" vertical="center"/>
    </xf>
    <xf numFmtId="0" fontId="3" fillId="2" borderId="31" xfId="0" applyFont="1" applyFill="1" applyBorder="1" applyAlignment="1">
      <alignment vertical="center"/>
    </xf>
    <xf numFmtId="0" fontId="87" fillId="2" borderId="60" xfId="0" applyFont="1" applyFill="1" applyBorder="1" applyAlignment="1"/>
    <xf numFmtId="0" fontId="87" fillId="2" borderId="12" xfId="0" applyFont="1" applyFill="1" applyBorder="1" applyAlignment="1"/>
    <xf numFmtId="0" fontId="87" fillId="2" borderId="13" xfId="0" applyFont="1" applyFill="1" applyBorder="1" applyAlignment="1"/>
    <xf numFmtId="180" fontId="160" fillId="2" borderId="11" xfId="0" applyNumberFormat="1" applyFont="1" applyFill="1" applyBorder="1" applyAlignment="1">
      <alignment horizontal="center" vertical="center"/>
    </xf>
    <xf numFmtId="180" fontId="160" fillId="2" borderId="12" xfId="0" applyNumberFormat="1" applyFont="1" applyFill="1" applyBorder="1" applyAlignment="1">
      <alignment horizontal="center" vertical="center"/>
    </xf>
    <xf numFmtId="180" fontId="160" fillId="2" borderId="13" xfId="0" applyNumberFormat="1" applyFont="1" applyFill="1" applyBorder="1" applyAlignment="1">
      <alignment horizontal="center" vertical="center"/>
    </xf>
    <xf numFmtId="0" fontId="87" fillId="2" borderId="11" xfId="0" applyFont="1" applyFill="1" applyBorder="1" applyAlignment="1">
      <alignment vertical="center"/>
    </xf>
    <xf numFmtId="0" fontId="3" fillId="2" borderId="12" xfId="0" applyFont="1" applyFill="1" applyBorder="1" applyAlignment="1">
      <alignment vertical="center"/>
    </xf>
    <xf numFmtId="0" fontId="3" fillId="2" borderId="62" xfId="0" applyFont="1" applyFill="1" applyBorder="1" applyAlignment="1">
      <alignment vertical="center"/>
    </xf>
    <xf numFmtId="0" fontId="11" fillId="2" borderId="64" xfId="0" applyFont="1" applyFill="1" applyBorder="1" applyAlignment="1">
      <alignment vertical="center"/>
    </xf>
    <xf numFmtId="183" fontId="160" fillId="2" borderId="9" xfId="0" applyNumberFormat="1" applyFont="1" applyFill="1" applyBorder="1" applyAlignment="1">
      <alignment horizontal="center" vertical="center"/>
    </xf>
    <xf numFmtId="183" fontId="161" fillId="2" borderId="9" xfId="0" applyNumberFormat="1" applyFont="1" applyFill="1" applyBorder="1" applyAlignment="1">
      <alignment horizontal="center" vertical="center"/>
    </xf>
    <xf numFmtId="183" fontId="161" fillId="2" borderId="10" xfId="0" applyNumberFormat="1" applyFont="1" applyFill="1" applyBorder="1" applyAlignment="1">
      <alignment horizontal="center" vertical="center"/>
    </xf>
    <xf numFmtId="0" fontId="11" fillId="2" borderId="0" xfId="0" applyFont="1" applyFill="1" applyBorder="1" applyAlignment="1">
      <alignment wrapText="1"/>
    </xf>
    <xf numFmtId="0" fontId="3" fillId="2" borderId="0" xfId="0" applyFont="1" applyFill="1" applyBorder="1" applyAlignment="1">
      <alignment wrapText="1"/>
    </xf>
    <xf numFmtId="183" fontId="160" fillId="2" borderId="0" xfId="0" applyNumberFormat="1" applyFont="1" applyFill="1" applyBorder="1" applyAlignment="1">
      <alignment horizontal="center" vertical="center"/>
    </xf>
    <xf numFmtId="183" fontId="160" fillId="2" borderId="0" xfId="0" applyNumberFormat="1" applyFont="1" applyFill="1" applyBorder="1" applyAlignment="1"/>
    <xf numFmtId="183" fontId="160" fillId="2" borderId="39" xfId="0" applyNumberFormat="1" applyFont="1" applyFill="1" applyBorder="1" applyAlignment="1"/>
    <xf numFmtId="0" fontId="7" fillId="2" borderId="8" xfId="0" applyFont="1" applyFill="1" applyBorder="1" applyAlignment="1">
      <alignment vertical="center" wrapText="1"/>
    </xf>
    <xf numFmtId="0" fontId="162" fillId="2" borderId="9" xfId="0" applyFont="1" applyFill="1" applyBorder="1" applyAlignment="1">
      <alignment horizontal="center" vertical="center" wrapText="1"/>
    </xf>
    <xf numFmtId="0" fontId="161" fillId="2" borderId="9" xfId="0" applyFont="1" applyFill="1" applyBorder="1" applyAlignment="1">
      <alignment horizontal="center" vertical="center" wrapText="1"/>
    </xf>
    <xf numFmtId="0" fontId="161" fillId="2" borderId="31" xfId="0" applyFont="1" applyFill="1" applyBorder="1" applyAlignment="1">
      <alignment horizontal="center" vertical="center" wrapText="1"/>
    </xf>
    <xf numFmtId="183" fontId="161" fillId="2" borderId="12" xfId="0" applyNumberFormat="1" applyFont="1" applyFill="1" applyBorder="1" applyAlignment="1">
      <alignment horizontal="center" vertical="center"/>
    </xf>
    <xf numFmtId="183" fontId="161" fillId="2" borderId="13" xfId="0" applyNumberFormat="1" applyFont="1" applyFill="1" applyBorder="1" applyAlignment="1">
      <alignment horizontal="center" vertical="center"/>
    </xf>
    <xf numFmtId="0" fontId="25" fillId="2" borderId="12" xfId="0" applyFont="1" applyFill="1" applyBorder="1" applyAlignment="1">
      <alignment wrapText="1"/>
    </xf>
    <xf numFmtId="0" fontId="3" fillId="2" borderId="12" xfId="0" applyFont="1" applyFill="1" applyBorder="1" applyAlignment="1"/>
    <xf numFmtId="183" fontId="160" fillId="2" borderId="12" xfId="0" applyNumberFormat="1" applyFont="1" applyFill="1" applyBorder="1" applyAlignment="1"/>
    <xf numFmtId="183" fontId="160" fillId="2" borderId="13" xfId="0" applyNumberFormat="1" applyFont="1" applyFill="1" applyBorder="1" applyAlignment="1"/>
    <xf numFmtId="0" fontId="18" fillId="2" borderId="32" xfId="0" applyFont="1" applyFill="1" applyBorder="1" applyAlignment="1">
      <alignment vertical="center" wrapText="1"/>
    </xf>
    <xf numFmtId="0" fontId="162" fillId="2" borderId="0" xfId="0" applyFont="1" applyFill="1" applyBorder="1" applyAlignment="1">
      <alignment horizontal="center" vertical="center" wrapText="1"/>
    </xf>
    <xf numFmtId="0" fontId="161" fillId="2" borderId="0" xfId="0" applyFont="1" applyFill="1" applyBorder="1" applyAlignment="1">
      <alignment horizontal="center" vertical="center" wrapText="1"/>
    </xf>
    <xf numFmtId="0" fontId="161" fillId="2" borderId="33" xfId="0" applyFont="1" applyFill="1" applyBorder="1" applyAlignment="1">
      <alignment horizontal="center" vertical="center" wrapText="1"/>
    </xf>
    <xf numFmtId="0" fontId="11" fillId="2" borderId="64" xfId="0" applyFont="1" applyFill="1" applyBorder="1" applyAlignment="1"/>
    <xf numFmtId="0" fontId="11" fillId="2" borderId="9" xfId="0" applyFont="1" applyFill="1" applyBorder="1" applyAlignment="1"/>
    <xf numFmtId="0" fontId="87" fillId="2" borderId="9" xfId="0" applyFont="1" applyFill="1" applyBorder="1" applyAlignment="1"/>
    <xf numFmtId="0" fontId="163" fillId="2" borderId="9" xfId="0" applyFont="1" applyFill="1" applyBorder="1" applyAlignment="1">
      <alignment horizontal="left" vertical="center"/>
    </xf>
    <xf numFmtId="0" fontId="163" fillId="2" borderId="10" xfId="0" applyFont="1" applyFill="1" applyBorder="1" applyAlignment="1">
      <alignment horizontal="left" vertical="center"/>
    </xf>
    <xf numFmtId="0" fontId="86" fillId="2" borderId="32" xfId="0" applyFont="1" applyFill="1" applyBorder="1" applyAlignment="1">
      <alignment horizontal="center" vertical="center"/>
    </xf>
    <xf numFmtId="0" fontId="102" fillId="2" borderId="0" xfId="0" applyFont="1" applyFill="1" applyBorder="1" applyAlignment="1">
      <alignment horizontal="center" vertical="center"/>
    </xf>
    <xf numFmtId="0" fontId="164" fillId="2" borderId="0" xfId="0" applyFont="1" applyFill="1" applyBorder="1" applyAlignment="1">
      <alignment horizontal="center" vertical="center"/>
    </xf>
    <xf numFmtId="0" fontId="161" fillId="2" borderId="0" xfId="0" applyFont="1" applyFill="1" applyBorder="1" applyAlignment="1">
      <alignment horizontal="center" vertical="center"/>
    </xf>
    <xf numFmtId="0" fontId="165" fillId="2" borderId="0" xfId="0" applyFont="1" applyFill="1" applyAlignment="1">
      <alignment horizontal="center" vertical="center"/>
    </xf>
    <xf numFmtId="0" fontId="165" fillId="2" borderId="33" xfId="0" applyFont="1" applyFill="1" applyBorder="1" applyAlignment="1">
      <alignment horizontal="center" vertical="center"/>
    </xf>
    <xf numFmtId="0" fontId="163" fillId="2" borderId="12" xfId="0" applyFont="1" applyFill="1" applyBorder="1" applyAlignment="1">
      <alignment horizontal="left" vertical="center"/>
    </xf>
    <xf numFmtId="0" fontId="163" fillId="2" borderId="13" xfId="0" applyFont="1" applyFill="1" applyBorder="1" applyAlignment="1">
      <alignment horizontal="left" vertical="center"/>
    </xf>
    <xf numFmtId="0" fontId="30" fillId="2" borderId="11" xfId="0" applyFont="1" applyFill="1" applyBorder="1" applyAlignment="1">
      <alignment horizontal="center" vertical="center"/>
    </xf>
    <xf numFmtId="0" fontId="164" fillId="2" borderId="12" xfId="0" applyFont="1" applyFill="1" applyBorder="1" applyAlignment="1">
      <alignment horizontal="center" vertical="center"/>
    </xf>
    <xf numFmtId="0" fontId="165" fillId="2" borderId="12" xfId="0" applyFont="1" applyFill="1" applyBorder="1" applyAlignment="1">
      <alignment horizontal="center" vertical="center"/>
    </xf>
    <xf numFmtId="0" fontId="165" fillId="2" borderId="62" xfId="0" applyFont="1" applyFill="1" applyBorder="1" applyAlignment="1">
      <alignment horizontal="center" vertical="center"/>
    </xf>
    <xf numFmtId="0" fontId="3" fillId="2" borderId="0" xfId="0" applyFont="1" applyFill="1" applyBorder="1" applyAlignment="1">
      <alignment vertical="center"/>
    </xf>
    <xf numFmtId="0" fontId="3" fillId="2" borderId="33" xfId="0" applyFont="1" applyFill="1" applyBorder="1" applyAlignment="1">
      <alignment vertical="center"/>
    </xf>
    <xf numFmtId="0" fontId="87" fillId="2" borderId="63" xfId="0" applyFont="1" applyFill="1" applyBorder="1" applyAlignment="1">
      <alignment vertical="center"/>
    </xf>
    <xf numFmtId="0" fontId="109" fillId="2" borderId="63" xfId="0" applyFont="1" applyFill="1" applyBorder="1" applyAlignment="1">
      <alignment vertical="center"/>
    </xf>
    <xf numFmtId="0" fontId="30" fillId="2" borderId="0" xfId="0" applyFont="1" applyFill="1" applyBorder="1" applyAlignment="1">
      <alignment vertical="center"/>
    </xf>
    <xf numFmtId="0" fontId="86" fillId="2" borderId="0" xfId="0" applyFont="1" applyFill="1" applyBorder="1" applyAlignment="1">
      <alignment vertical="center"/>
    </xf>
    <xf numFmtId="0" fontId="30" fillId="2" borderId="0" xfId="0" applyFont="1" applyFill="1" applyBorder="1" applyAlignment="1">
      <alignment horizontal="right" vertical="center"/>
    </xf>
    <xf numFmtId="0" fontId="136" fillId="2" borderId="0" xfId="0" applyFont="1" applyFill="1" applyAlignment="1">
      <alignment horizontal="center" vertical="center"/>
    </xf>
    <xf numFmtId="0" fontId="166" fillId="2" borderId="0" xfId="0" applyFont="1" applyFill="1" applyAlignment="1">
      <alignment horizontal="center" vertical="center"/>
    </xf>
    <xf numFmtId="0" fontId="110" fillId="2" borderId="0" xfId="0" applyFont="1" applyFill="1" applyBorder="1" applyAlignment="1">
      <alignment vertical="center"/>
    </xf>
    <xf numFmtId="0" fontId="155" fillId="2" borderId="0" xfId="0" applyFont="1" applyFill="1" applyBorder="1" applyAlignment="1">
      <alignment horizontal="left" vertical="center"/>
    </xf>
    <xf numFmtId="0" fontId="84" fillId="2" borderId="33" xfId="0" applyFont="1" applyFill="1" applyBorder="1" applyAlignment="1">
      <alignment horizontal="center" vertical="center"/>
    </xf>
    <xf numFmtId="0" fontId="86" fillId="2" borderId="60" xfId="0" applyFont="1" applyFill="1" applyBorder="1" applyAlignment="1">
      <alignment horizontal="right" vertical="center"/>
    </xf>
    <xf numFmtId="0" fontId="86" fillId="2" borderId="12" xfId="0" applyFont="1" applyFill="1" applyBorder="1" applyAlignment="1">
      <alignment horizontal="right" vertical="center"/>
    </xf>
    <xf numFmtId="0" fontId="136" fillId="2" borderId="12" xfId="0" applyFont="1" applyFill="1" applyBorder="1" applyAlignment="1">
      <alignment horizontal="center" vertical="center"/>
    </xf>
    <xf numFmtId="0" fontId="137" fillId="2" borderId="12" xfId="0" applyFont="1" applyFill="1" applyBorder="1" applyAlignment="1">
      <alignment horizontal="center" vertical="center"/>
    </xf>
    <xf numFmtId="0" fontId="136" fillId="2" borderId="0" xfId="0" applyFont="1" applyFill="1" applyBorder="1" applyAlignment="1">
      <alignment vertical="center"/>
    </xf>
    <xf numFmtId="0" fontId="121" fillId="2" borderId="12" xfId="0" applyFont="1" applyFill="1" applyBorder="1" applyAlignment="1">
      <alignment vertical="center"/>
    </xf>
    <xf numFmtId="0" fontId="121" fillId="2" borderId="62" xfId="0" applyFont="1" applyFill="1" applyBorder="1" applyAlignment="1">
      <alignment vertical="center"/>
    </xf>
    <xf numFmtId="0" fontId="109" fillId="2" borderId="64" xfId="0" applyFont="1" applyFill="1" applyBorder="1" applyAlignment="1">
      <alignment vertical="center"/>
    </xf>
    <xf numFmtId="0" fontId="109" fillId="2" borderId="9" xfId="0" applyFont="1" applyFill="1" applyBorder="1" applyAlignment="1">
      <alignment vertical="center"/>
    </xf>
    <xf numFmtId="0" fontId="31" fillId="2" borderId="9" xfId="0" applyFont="1" applyFill="1" applyBorder="1" applyAlignment="1">
      <alignment vertical="center"/>
    </xf>
    <xf numFmtId="0" fontId="31" fillId="2" borderId="31" xfId="0" applyFont="1" applyFill="1" applyBorder="1" applyAlignment="1">
      <alignment vertical="center"/>
    </xf>
    <xf numFmtId="0" fontId="72" fillId="2" borderId="0" xfId="0" applyFont="1" applyFill="1" applyAlignment="1">
      <alignment vertical="center"/>
    </xf>
    <xf numFmtId="0" fontId="162" fillId="2" borderId="0" xfId="0" applyFont="1" applyFill="1" applyAlignment="1">
      <alignment vertical="center"/>
    </xf>
    <xf numFmtId="0" fontId="2" fillId="2" borderId="0" xfId="0" applyFont="1" applyFill="1" applyAlignment="1">
      <alignment horizontal="center" vertical="center"/>
    </xf>
    <xf numFmtId="0" fontId="20" fillId="2" borderId="0" xfId="0" applyFont="1" applyFill="1" applyAlignment="1">
      <alignment vertical="center"/>
    </xf>
    <xf numFmtId="0" fontId="31" fillId="2" borderId="0" xfId="0" applyFont="1" applyFill="1" applyBorder="1" applyAlignment="1">
      <alignment vertical="center"/>
    </xf>
    <xf numFmtId="0" fontId="31" fillId="2" borderId="33" xfId="0" applyFont="1" applyFill="1" applyBorder="1" applyAlignment="1">
      <alignment vertical="center"/>
    </xf>
    <xf numFmtId="0" fontId="109" fillId="2" borderId="63" xfId="0" applyFont="1" applyFill="1" applyBorder="1" applyAlignment="1">
      <alignment horizontal="left" vertical="center"/>
    </xf>
    <xf numFmtId="0" fontId="167" fillId="2" borderId="0" xfId="0" applyFont="1" applyFill="1" applyAlignment="1"/>
    <xf numFmtId="0" fontId="167" fillId="2" borderId="0" xfId="0" applyFont="1" applyFill="1" applyAlignment="1">
      <alignment vertical="center"/>
    </xf>
    <xf numFmtId="0" fontId="167" fillId="2" borderId="0" xfId="0" applyFont="1" applyFill="1" applyAlignment="1">
      <alignment horizontal="right" vertical="center"/>
    </xf>
    <xf numFmtId="0" fontId="30" fillId="2" borderId="0" xfId="0" applyFont="1" applyFill="1" applyAlignment="1">
      <alignment horizontal="left" vertical="center"/>
    </xf>
    <xf numFmtId="0" fontId="168" fillId="2" borderId="0" xfId="0" applyFont="1" applyFill="1" applyAlignment="1">
      <alignment horizontal="right" vertical="center"/>
    </xf>
    <xf numFmtId="0" fontId="168" fillId="2" borderId="0" xfId="0" applyFont="1" applyFill="1" applyAlignment="1">
      <alignment vertical="center"/>
    </xf>
    <xf numFmtId="0" fontId="168" fillId="0" borderId="0" xfId="0" applyFont="1" applyAlignment="1">
      <alignment horizontal="center" vertical="center"/>
    </xf>
    <xf numFmtId="0" fontId="20" fillId="2" borderId="0" xfId="0" applyFont="1" applyFill="1" applyAlignment="1">
      <alignment horizontal="center" vertical="center"/>
    </xf>
    <xf numFmtId="0" fontId="169" fillId="2" borderId="0" xfId="0" applyFont="1" applyFill="1" applyAlignment="1">
      <alignment vertical="center"/>
    </xf>
    <xf numFmtId="0" fontId="169" fillId="0" borderId="0" xfId="0" applyFont="1" applyAlignment="1">
      <alignment horizontal="center" vertical="center"/>
    </xf>
    <xf numFmtId="0" fontId="30" fillId="2" borderId="33" xfId="0" applyFont="1" applyFill="1" applyBorder="1" applyAlignment="1">
      <alignment horizontal="left" vertical="center"/>
    </xf>
    <xf numFmtId="0" fontId="78" fillId="2" borderId="0" xfId="0" applyFont="1" applyFill="1" applyBorder="1" applyAlignment="1">
      <alignment vertical="center"/>
    </xf>
    <xf numFmtId="0" fontId="167" fillId="2" borderId="0" xfId="0" applyFont="1" applyFill="1" applyBorder="1" applyAlignment="1">
      <alignment horizontal="right" vertical="center"/>
    </xf>
    <xf numFmtId="0" fontId="20" fillId="2" borderId="0" xfId="0" applyFont="1" applyFill="1" applyBorder="1" applyAlignment="1">
      <alignment horizontal="left" vertical="center"/>
    </xf>
    <xf numFmtId="0" fontId="18" fillId="2" borderId="0" xfId="0" applyFont="1" applyFill="1" applyBorder="1" applyAlignment="1">
      <alignment horizontal="right" vertical="center"/>
    </xf>
    <xf numFmtId="0" fontId="18" fillId="2" borderId="0" xfId="0" applyFont="1" applyFill="1" applyBorder="1" applyAlignment="1">
      <alignment vertical="center"/>
    </xf>
    <xf numFmtId="0" fontId="162" fillId="2" borderId="0" xfId="0" applyFont="1" applyFill="1" applyBorder="1" applyAlignment="1">
      <alignment horizontal="center" vertical="center"/>
    </xf>
    <xf numFmtId="0" fontId="78" fillId="2" borderId="0" xfId="0" applyFont="1" applyFill="1" applyBorder="1" applyAlignment="1">
      <alignment horizontal="center" vertical="center"/>
    </xf>
    <xf numFmtId="0" fontId="30" fillId="2" borderId="0" xfId="0" applyFont="1" applyFill="1" applyBorder="1" applyAlignment="1">
      <alignment horizontal="center" vertical="center"/>
    </xf>
    <xf numFmtId="0" fontId="31" fillId="2" borderId="33" xfId="0" applyFont="1" applyFill="1" applyBorder="1" applyAlignment="1">
      <alignment horizontal="left" vertical="center"/>
    </xf>
    <xf numFmtId="0" fontId="87" fillId="2" borderId="64" xfId="0" applyFont="1" applyFill="1" applyBorder="1" applyAlignment="1">
      <alignment vertical="center"/>
    </xf>
    <xf numFmtId="0" fontId="163" fillId="2" borderId="10" xfId="0" applyFont="1" applyFill="1" applyBorder="1" applyAlignment="1">
      <alignment horizontal="center" vertical="center"/>
    </xf>
    <xf numFmtId="0" fontId="161" fillId="2" borderId="10" xfId="0" applyFont="1" applyFill="1" applyBorder="1" applyAlignment="1">
      <alignment horizontal="center" vertical="center"/>
    </xf>
    <xf numFmtId="0" fontId="8" fillId="2" borderId="8" xfId="0" applyFont="1" applyFill="1" applyBorder="1" applyAlignment="1">
      <alignment vertical="center"/>
    </xf>
    <xf numFmtId="0" fontId="9" fillId="2" borderId="9" xfId="0" applyFont="1" applyFill="1" applyBorder="1" applyAlignment="1">
      <alignment vertical="center"/>
    </xf>
    <xf numFmtId="0" fontId="25" fillId="2" borderId="9" xfId="0" applyFont="1" applyFill="1" applyBorder="1" applyAlignment="1"/>
    <xf numFmtId="0" fontId="170" fillId="2" borderId="9" xfId="0" applyFont="1" applyFill="1" applyBorder="1" applyAlignment="1">
      <alignment horizontal="left" vertical="center"/>
    </xf>
    <xf numFmtId="0" fontId="170" fillId="2" borderId="65" xfId="0" applyFont="1" applyFill="1" applyBorder="1" applyAlignment="1">
      <alignment horizontal="left" vertical="center"/>
    </xf>
    <xf numFmtId="0" fontId="171" fillId="2" borderId="66" xfId="0" applyFont="1" applyFill="1" applyBorder="1" applyAlignment="1">
      <alignment horizontal="left" vertical="center"/>
    </xf>
    <xf numFmtId="0" fontId="171" fillId="2" borderId="31" xfId="0" applyFont="1" applyFill="1" applyBorder="1" applyAlignment="1">
      <alignment horizontal="left" vertical="center"/>
    </xf>
    <xf numFmtId="0" fontId="163" fillId="2" borderId="13" xfId="0" applyFont="1" applyFill="1" applyBorder="1" applyAlignment="1">
      <alignment horizontal="center" vertical="center"/>
    </xf>
    <xf numFmtId="0" fontId="161" fillId="2" borderId="13" xfId="0" applyFont="1" applyFill="1" applyBorder="1" applyAlignment="1">
      <alignment horizontal="center" vertical="center"/>
    </xf>
    <xf numFmtId="0" fontId="8" fillId="2" borderId="32" xfId="0" applyFont="1" applyFill="1" applyBorder="1" applyAlignment="1">
      <alignment horizontal="left" vertical="center"/>
    </xf>
    <xf numFmtId="0" fontId="9" fillId="2" borderId="0" xfId="0" applyFont="1" applyFill="1" applyBorder="1" applyAlignment="1">
      <alignment horizontal="left" vertical="center"/>
    </xf>
    <xf numFmtId="0" fontId="25" fillId="2" borderId="0" xfId="0" applyFont="1" applyFill="1" applyBorder="1" applyAlignment="1"/>
    <xf numFmtId="0" fontId="105" fillId="2" borderId="0" xfId="0" applyFont="1" applyFill="1" applyBorder="1" applyAlignment="1">
      <alignment horizontal="left" vertical="center"/>
    </xf>
    <xf numFmtId="0" fontId="105" fillId="2" borderId="67" xfId="0" applyFont="1" applyFill="1" applyBorder="1" applyAlignment="1">
      <alignment horizontal="left" vertical="center"/>
    </xf>
    <xf numFmtId="0" fontId="172" fillId="2" borderId="68" xfId="0" applyFont="1" applyFill="1" applyBorder="1" applyAlignment="1">
      <alignment vertical="center"/>
    </xf>
    <xf numFmtId="0" fontId="172" fillId="2" borderId="33" xfId="0" applyFont="1" applyFill="1" applyBorder="1" applyAlignment="1">
      <alignment vertical="center"/>
    </xf>
    <xf numFmtId="0" fontId="25" fillId="2" borderId="64" xfId="0" applyFont="1" applyFill="1" applyBorder="1" applyAlignment="1">
      <alignment horizontal="center" vertical="center"/>
    </xf>
    <xf numFmtId="0" fontId="25" fillId="2" borderId="9" xfId="0" applyFont="1" applyFill="1" applyBorder="1" applyAlignment="1">
      <alignment horizontal="center" vertical="center"/>
    </xf>
    <xf numFmtId="0" fontId="25" fillId="2" borderId="10" xfId="0" applyFont="1" applyFill="1" applyBorder="1" applyAlignment="1">
      <alignment horizontal="center" vertical="center"/>
    </xf>
    <xf numFmtId="0" fontId="9" fillId="2" borderId="32" xfId="0" applyFont="1" applyFill="1" applyBorder="1" applyAlignment="1">
      <alignment vertical="center"/>
    </xf>
    <xf numFmtId="0" fontId="9" fillId="2" borderId="0" xfId="0" applyFont="1" applyFill="1" applyBorder="1" applyAlignment="1"/>
    <xf numFmtId="0" fontId="87" fillId="2" borderId="60" xfId="0" applyFont="1" applyFill="1" applyBorder="1" applyAlignment="1">
      <alignment horizontal="center" vertical="center"/>
    </xf>
    <xf numFmtId="0" fontId="25" fillId="2" borderId="12" xfId="0" applyFont="1" applyFill="1" applyBorder="1" applyAlignment="1">
      <alignment horizontal="center" vertical="center"/>
    </xf>
    <xf numFmtId="0" fontId="25" fillId="2" borderId="13" xfId="0" applyFont="1" applyFill="1" applyBorder="1" applyAlignment="1">
      <alignment horizontal="center" vertical="center"/>
    </xf>
    <xf numFmtId="0" fontId="8" fillId="2" borderId="32" xfId="0" applyFont="1" applyFill="1" applyBorder="1" applyAlignment="1"/>
    <xf numFmtId="0" fontId="89" fillId="2" borderId="3" xfId="0" applyFont="1" applyFill="1" applyBorder="1" applyAlignment="1">
      <alignment horizontal="center" vertical="center"/>
    </xf>
    <xf numFmtId="184" fontId="92" fillId="2" borderId="3" xfId="0" applyNumberFormat="1" applyFont="1" applyFill="1" applyBorder="1" applyAlignment="1">
      <alignment horizontal="center" vertical="center"/>
    </xf>
    <xf numFmtId="0" fontId="9" fillId="2" borderId="0" xfId="0" applyFont="1" applyFill="1" applyBorder="1" applyAlignment="1">
      <alignment vertical="center"/>
    </xf>
    <xf numFmtId="0" fontId="3" fillId="2" borderId="0" xfId="0" applyFont="1" applyFill="1" applyBorder="1" applyAlignment="1">
      <alignment horizontal="left" wrapText="1"/>
    </xf>
    <xf numFmtId="0" fontId="29" fillId="2" borderId="11" xfId="0" applyFont="1" applyFill="1" applyBorder="1" applyAlignment="1">
      <alignment horizontal="left" vertical="center"/>
    </xf>
    <xf numFmtId="0" fontId="29" fillId="2" borderId="12" xfId="0" applyFont="1" applyFill="1" applyBorder="1" applyAlignment="1">
      <alignment horizontal="left" vertical="center"/>
    </xf>
    <xf numFmtId="0" fontId="86" fillId="2" borderId="0" xfId="0" applyFont="1" applyFill="1" applyBorder="1" applyAlignment="1">
      <alignment horizontal="left" vertical="center"/>
    </xf>
    <xf numFmtId="0" fontId="86" fillId="2" borderId="67" xfId="0" applyFont="1" applyFill="1" applyBorder="1" applyAlignment="1">
      <alignment horizontal="left" vertical="center"/>
    </xf>
    <xf numFmtId="0" fontId="172" fillId="2" borderId="69" xfId="0" applyFont="1" applyFill="1" applyBorder="1" applyAlignment="1">
      <alignment vertical="center"/>
    </xf>
    <xf numFmtId="0" fontId="172" fillId="2" borderId="62" xfId="0" applyFont="1" applyFill="1" applyBorder="1" applyAlignment="1">
      <alignment vertical="center"/>
    </xf>
    <xf numFmtId="0" fontId="160" fillId="2" borderId="3" xfId="0" applyFont="1" applyFill="1" applyBorder="1" applyAlignment="1">
      <alignment horizontal="center" vertical="center"/>
    </xf>
    <xf numFmtId="184" fontId="161" fillId="2" borderId="3" xfId="0" applyNumberFormat="1" applyFont="1" applyFill="1" applyBorder="1" applyAlignment="1">
      <alignment horizontal="center" vertical="center"/>
    </xf>
    <xf numFmtId="0" fontId="87" fillId="2" borderId="31" xfId="0" applyFont="1" applyFill="1" applyBorder="1" applyAlignment="1">
      <alignment vertical="center"/>
    </xf>
    <xf numFmtId="0" fontId="161" fillId="2" borderId="3" xfId="0" applyFont="1" applyFill="1" applyBorder="1" applyAlignment="1">
      <alignment horizontal="center" vertical="center"/>
    </xf>
    <xf numFmtId="0" fontId="25" fillId="2" borderId="33" xfId="0" applyFont="1" applyFill="1" applyBorder="1" applyAlignment="1">
      <alignment vertical="center"/>
    </xf>
    <xf numFmtId="0" fontId="25" fillId="2" borderId="32" xfId="0" applyFont="1" applyFill="1" applyBorder="1" applyAlignment="1"/>
    <xf numFmtId="0" fontId="0" fillId="0" borderId="33" xfId="0" applyBorder="1">
      <alignment vertical="center"/>
    </xf>
    <xf numFmtId="0" fontId="97" fillId="2" borderId="70" xfId="0" applyFont="1" applyFill="1" applyBorder="1" applyAlignment="1">
      <alignment vertical="center"/>
    </xf>
    <xf numFmtId="0" fontId="87" fillId="2" borderId="36" xfId="0" applyFont="1" applyFill="1" applyBorder="1" applyAlignment="1">
      <alignment vertical="center"/>
    </xf>
    <xf numFmtId="0" fontId="89" fillId="2" borderId="71" xfId="0" applyFont="1" applyFill="1" applyBorder="1" applyAlignment="1">
      <alignment horizontal="center" vertical="center"/>
    </xf>
    <xf numFmtId="0" fontId="85" fillId="2" borderId="36" xfId="0" applyFont="1" applyFill="1" applyBorder="1" applyAlignment="1">
      <alignment vertical="center"/>
    </xf>
    <xf numFmtId="0" fontId="25" fillId="2" borderId="36" xfId="0" applyFont="1" applyFill="1" applyBorder="1" applyAlignment="1">
      <alignment vertical="center"/>
    </xf>
    <xf numFmtId="184" fontId="92" fillId="2" borderId="71" xfId="0" applyNumberFormat="1" applyFont="1" applyFill="1" applyBorder="1" applyAlignment="1">
      <alignment horizontal="center" vertical="center"/>
    </xf>
    <xf numFmtId="0" fontId="0" fillId="0" borderId="35" xfId="0" applyBorder="1">
      <alignment vertical="center"/>
    </xf>
    <xf numFmtId="0" fontId="0" fillId="0" borderId="36" xfId="0" applyBorder="1">
      <alignment vertical="center"/>
    </xf>
    <xf numFmtId="0" fontId="0" fillId="0" borderId="37" xfId="0" applyBorder="1">
      <alignment vertical="center"/>
    </xf>
    <xf numFmtId="0" fontId="84" fillId="2" borderId="55" xfId="0" applyFont="1" applyFill="1" applyBorder="1" applyAlignment="1"/>
    <xf numFmtId="0" fontId="84" fillId="2" borderId="0" xfId="0" applyFont="1" applyFill="1" applyBorder="1" applyAlignment="1"/>
    <xf numFmtId="0" fontId="25" fillId="2" borderId="0" xfId="0" applyFont="1" applyFill="1" applyAlignment="1"/>
    <xf numFmtId="0" fontId="100" fillId="2" borderId="0" xfId="0" applyFont="1" applyFill="1" applyAlignment="1">
      <alignment vertical="center"/>
    </xf>
    <xf numFmtId="0" fontId="103" fillId="2" borderId="0" xfId="0" applyFont="1" applyFill="1" applyAlignment="1">
      <alignment vertical="center"/>
    </xf>
    <xf numFmtId="0" fontId="3" fillId="2" borderId="0" xfId="0" applyFont="1" applyFill="1" applyAlignment="1">
      <alignment vertical="center"/>
    </xf>
    <xf numFmtId="0" fontId="7" fillId="2" borderId="12" xfId="0" applyFont="1" applyFill="1" applyBorder="1" applyAlignment="1" applyProtection="1">
      <alignment vertical="center"/>
      <protection hidden="1"/>
    </xf>
    <xf numFmtId="0" fontId="87" fillId="2" borderId="0" xfId="0" applyFont="1" applyFill="1" applyAlignment="1">
      <alignment horizontal="right" vertical="center" textRotation="90" wrapText="1"/>
    </xf>
    <xf numFmtId="0" fontId="87" fillId="2" borderId="54" xfId="0" applyFont="1" applyFill="1" applyBorder="1" applyAlignment="1">
      <alignment vertical="center"/>
    </xf>
    <xf numFmtId="0" fontId="87" fillId="2" borderId="55" xfId="0" applyFont="1" applyFill="1" applyBorder="1" applyAlignment="1">
      <alignment vertical="center"/>
    </xf>
    <xf numFmtId="0" fontId="2" fillId="2" borderId="56" xfId="0" applyFont="1" applyFill="1" applyBorder="1" applyAlignment="1">
      <alignment horizontal="center" vertical="center"/>
    </xf>
    <xf numFmtId="0" fontId="2" fillId="2" borderId="57" xfId="0" applyFont="1" applyFill="1" applyBorder="1" applyAlignment="1">
      <alignment horizontal="center" vertical="center"/>
    </xf>
    <xf numFmtId="0" fontId="87" fillId="2" borderId="58" xfId="0" applyFont="1" applyFill="1" applyBorder="1" applyAlignment="1">
      <alignment vertical="center"/>
    </xf>
    <xf numFmtId="0" fontId="2" fillId="2" borderId="55" xfId="0" applyFont="1" applyFill="1" applyBorder="1" applyAlignment="1">
      <alignment vertical="center"/>
    </xf>
    <xf numFmtId="0" fontId="2" fillId="2" borderId="57" xfId="0" applyFont="1" applyFill="1" applyBorder="1" applyAlignment="1">
      <alignment vertical="center"/>
    </xf>
    <xf numFmtId="0" fontId="10" fillId="2" borderId="12" xfId="0" applyFont="1" applyFill="1" applyBorder="1" applyAlignment="1">
      <alignment horizontal="center" vertical="center"/>
    </xf>
    <xf numFmtId="0" fontId="7" fillId="2" borderId="61" xfId="0" applyFont="1" applyFill="1" applyBorder="1" applyAlignment="1">
      <alignment horizontal="center" vertical="center"/>
    </xf>
    <xf numFmtId="0" fontId="7" fillId="2" borderId="13" xfId="0" applyFont="1" applyFill="1" applyBorder="1" applyAlignment="1">
      <alignment horizontal="center" vertical="center"/>
    </xf>
    <xf numFmtId="0" fontId="10" fillId="2" borderId="12" xfId="0" applyFont="1" applyFill="1" applyBorder="1" applyAlignment="1">
      <alignment vertical="center" wrapText="1"/>
    </xf>
    <xf numFmtId="0" fontId="10" fillId="2" borderId="13" xfId="0" applyFont="1" applyFill="1" applyBorder="1" applyAlignment="1">
      <alignment vertical="center" wrapText="1"/>
    </xf>
    <xf numFmtId="0" fontId="87" fillId="2" borderId="0" xfId="0" applyFont="1" applyFill="1" applyBorder="1" applyAlignment="1"/>
    <xf numFmtId="0" fontId="173" fillId="2" borderId="9" xfId="0" applyFont="1" applyFill="1" applyBorder="1" applyAlignment="1">
      <alignment horizontal="left" vertical="center" wrapText="1"/>
    </xf>
    <xf numFmtId="0" fontId="46" fillId="2" borderId="10" xfId="0" applyFont="1" applyFill="1" applyBorder="1" applyAlignment="1">
      <alignment horizontal="left" vertical="center" wrapText="1"/>
    </xf>
    <xf numFmtId="0" fontId="87" fillId="2" borderId="8" xfId="0" applyFont="1" applyFill="1" applyBorder="1" applyAlignment="1">
      <alignment vertical="center"/>
    </xf>
    <xf numFmtId="0" fontId="36" fillId="2" borderId="9" xfId="0" applyFont="1" applyFill="1" applyBorder="1" applyAlignment="1">
      <alignment horizontal="left" vertical="center"/>
    </xf>
    <xf numFmtId="0" fontId="36" fillId="2" borderId="31" xfId="0" applyFont="1" applyFill="1" applyBorder="1" applyAlignment="1">
      <alignment horizontal="left" vertical="center"/>
    </xf>
    <xf numFmtId="0" fontId="7" fillId="2" borderId="12" xfId="0" applyFont="1" applyFill="1" applyBorder="1" applyAlignment="1">
      <alignment horizontal="center" vertical="center" wrapText="1"/>
    </xf>
    <xf numFmtId="0" fontId="11" fillId="2" borderId="12" xfId="0" applyFont="1" applyFill="1" applyBorder="1" applyAlignment="1">
      <alignment horizontal="center" vertical="center" wrapText="1"/>
    </xf>
    <xf numFmtId="0" fontId="11" fillId="2" borderId="13" xfId="0" applyFont="1" applyFill="1" applyBorder="1" applyAlignment="1">
      <alignment horizontal="center" vertical="center" wrapText="1"/>
    </xf>
    <xf numFmtId="0" fontId="46" fillId="2" borderId="12" xfId="0" applyFont="1" applyFill="1" applyBorder="1" applyAlignment="1">
      <alignment horizontal="left" vertical="center" wrapText="1"/>
    </xf>
    <xf numFmtId="0" fontId="46" fillId="2" borderId="13" xfId="0" applyFont="1" applyFill="1" applyBorder="1" applyAlignment="1">
      <alignment horizontal="left" vertical="center" wrapText="1"/>
    </xf>
    <xf numFmtId="0" fontId="174" fillId="2" borderId="12" xfId="0" applyFont="1" applyFill="1" applyBorder="1" applyAlignment="1">
      <alignment horizontal="left" vertical="center"/>
    </xf>
    <xf numFmtId="0" fontId="174" fillId="2" borderId="62" xfId="0" applyFont="1" applyFill="1" applyBorder="1" applyAlignment="1">
      <alignment horizontal="left" vertical="center"/>
    </xf>
    <xf numFmtId="0" fontId="160" fillId="2" borderId="60" xfId="0" applyFont="1" applyFill="1" applyBorder="1" applyAlignment="1">
      <alignment horizontal="center"/>
    </xf>
    <xf numFmtId="0" fontId="160" fillId="2" borderId="12" xfId="0" applyFont="1" applyFill="1" applyBorder="1" applyAlignment="1">
      <alignment horizontal="center"/>
    </xf>
    <xf numFmtId="0" fontId="160" fillId="2" borderId="13" xfId="0" applyFont="1" applyFill="1" applyBorder="1" applyAlignment="1">
      <alignment horizontal="center"/>
    </xf>
    <xf numFmtId="0" fontId="87" fillId="2" borderId="0" xfId="0" applyFont="1" applyFill="1" applyBorder="1" applyAlignment="1">
      <alignment wrapText="1"/>
    </xf>
    <xf numFmtId="0" fontId="155" fillId="2" borderId="8" xfId="0" applyFont="1" applyFill="1" applyBorder="1" applyAlignment="1">
      <alignment horizontal="center" vertical="center" wrapText="1"/>
    </xf>
    <xf numFmtId="0" fontId="105" fillId="2" borderId="9" xfId="0" applyFont="1" applyFill="1" applyBorder="1" applyAlignment="1">
      <alignment horizontal="center" vertical="center" wrapText="1"/>
    </xf>
    <xf numFmtId="0" fontId="102" fillId="2" borderId="9" xfId="0" applyFont="1" applyFill="1" applyBorder="1" applyAlignment="1">
      <alignment horizontal="center" vertical="center" wrapText="1"/>
    </xf>
    <xf numFmtId="0" fontId="102" fillId="2" borderId="31" xfId="0" applyFont="1" applyFill="1" applyBorder="1" applyAlignment="1">
      <alignment horizontal="center" vertical="center" wrapText="1"/>
    </xf>
    <xf numFmtId="0" fontId="105" fillId="2" borderId="32" xfId="0" applyFont="1" applyFill="1" applyBorder="1" applyAlignment="1">
      <alignment horizontal="center" vertical="center" wrapText="1"/>
    </xf>
    <xf numFmtId="0" fontId="105" fillId="2" borderId="0" xfId="0" applyFont="1" applyFill="1" applyAlignment="1">
      <alignment horizontal="center" vertical="center" wrapText="1"/>
    </xf>
    <xf numFmtId="0" fontId="102" fillId="2" borderId="0" xfId="0" applyFont="1" applyFill="1" applyAlignment="1">
      <alignment horizontal="center" vertical="center" wrapText="1"/>
    </xf>
    <xf numFmtId="0" fontId="102" fillId="2" borderId="33" xfId="0" applyFont="1" applyFill="1" applyBorder="1" applyAlignment="1">
      <alignment horizontal="center" vertical="center" wrapText="1"/>
    </xf>
    <xf numFmtId="0" fontId="87" fillId="2" borderId="64" xfId="0" applyFont="1" applyFill="1" applyBorder="1" applyAlignment="1"/>
    <xf numFmtId="0" fontId="175" fillId="2" borderId="0" xfId="0" applyFont="1" applyFill="1" applyAlignment="1">
      <alignment horizontal="center" vertical="center"/>
    </xf>
    <xf numFmtId="0" fontId="175" fillId="2" borderId="33" xfId="0" applyFont="1" applyFill="1" applyBorder="1" applyAlignment="1">
      <alignment horizontal="center" vertical="center"/>
    </xf>
    <xf numFmtId="0" fontId="175" fillId="2" borderId="12" xfId="0" applyFont="1" applyFill="1" applyBorder="1" applyAlignment="1">
      <alignment horizontal="center" vertical="center"/>
    </xf>
    <xf numFmtId="0" fontId="175" fillId="2" borderId="62" xfId="0" applyFont="1" applyFill="1" applyBorder="1" applyAlignment="1">
      <alignment horizontal="center" vertical="center"/>
    </xf>
    <xf numFmtId="0" fontId="155" fillId="2" borderId="0" xfId="0" applyFont="1" applyFill="1" applyBorder="1" applyAlignment="1">
      <alignment horizontal="center" vertical="center"/>
    </xf>
    <xf numFmtId="0" fontId="124" fillId="2" borderId="12" xfId="0" applyFont="1" applyFill="1" applyBorder="1" applyAlignment="1">
      <alignment horizontal="center" vertical="center"/>
    </xf>
    <xf numFmtId="0" fontId="162" fillId="2" borderId="0" xfId="0" applyFont="1" applyFill="1" applyBorder="1" applyAlignment="1">
      <alignment horizontal="right" vertical="center"/>
    </xf>
    <xf numFmtId="0" fontId="162" fillId="2" borderId="0" xfId="0" applyFont="1" applyFill="1" applyBorder="1" applyAlignment="1">
      <alignment vertical="center"/>
    </xf>
    <xf numFmtId="0" fontId="20" fillId="2" borderId="0" xfId="0" applyFont="1" applyFill="1" applyBorder="1" applyAlignment="1">
      <alignment horizontal="center" vertical="center"/>
    </xf>
    <xf numFmtId="0" fontId="20" fillId="2" borderId="0" xfId="0" applyFont="1" applyFill="1" applyBorder="1" applyAlignment="1">
      <alignment vertical="center"/>
    </xf>
    <xf numFmtId="0" fontId="155" fillId="2" borderId="68" xfId="0" applyFont="1" applyFill="1" applyBorder="1" applyAlignment="1">
      <alignment horizontal="left" vertical="center"/>
    </xf>
    <xf numFmtId="0" fontId="176" fillId="2" borderId="68" xfId="0" applyFont="1" applyFill="1" applyBorder="1" applyAlignment="1">
      <alignment horizontal="left" vertical="center"/>
    </xf>
    <xf numFmtId="0" fontId="8" fillId="2" borderId="32" xfId="0" applyFont="1" applyFill="1" applyBorder="1" applyAlignment="1">
      <alignment vertical="center"/>
    </xf>
    <xf numFmtId="0" fontId="2" fillId="2" borderId="0" xfId="0" applyFont="1" applyFill="1" applyBorder="1" applyAlignment="1">
      <alignment horizontal="left" vertical="center" wrapText="1"/>
    </xf>
    <xf numFmtId="0" fontId="7" fillId="2" borderId="0" xfId="0" applyFont="1" applyFill="1" applyBorder="1" applyAlignment="1">
      <alignment horizontal="left" vertical="center" wrapText="1"/>
    </xf>
    <xf numFmtId="0" fontId="7" fillId="2" borderId="67" xfId="0" applyFont="1" applyFill="1" applyBorder="1" applyAlignment="1">
      <alignment horizontal="left" vertical="center" wrapText="1"/>
    </xf>
    <xf numFmtId="0" fontId="172" fillId="2" borderId="68" xfId="0" applyFont="1" applyFill="1" applyBorder="1" applyAlignment="1">
      <alignment horizontal="center" vertical="center"/>
    </xf>
    <xf numFmtId="0" fontId="105" fillId="2" borderId="3" xfId="0" applyFont="1" applyFill="1" applyBorder="1" applyAlignment="1">
      <alignment horizontal="center" vertical="center"/>
    </xf>
    <xf numFmtId="0" fontId="155" fillId="2" borderId="3" xfId="0" applyFont="1" applyFill="1" applyBorder="1" applyAlignment="1">
      <alignment horizontal="center" vertical="center"/>
    </xf>
    <xf numFmtId="0" fontId="0" fillId="2" borderId="54" xfId="0" applyFill="1" applyBorder="1">
      <alignment vertical="center"/>
    </xf>
    <xf numFmtId="0" fontId="0" fillId="2" borderId="55" xfId="0" applyFill="1" applyBorder="1">
      <alignment vertical="center"/>
    </xf>
    <xf numFmtId="0" fontId="0" fillId="2" borderId="59" xfId="0" applyFill="1" applyBorder="1">
      <alignment vertical="center"/>
    </xf>
    <xf numFmtId="0" fontId="0" fillId="2" borderId="63" xfId="0" applyFont="1" applyFill="1" applyBorder="1">
      <alignment vertical="center"/>
    </xf>
    <xf numFmtId="0" fontId="0" fillId="2" borderId="0" xfId="0" applyFill="1" applyBorder="1">
      <alignment vertical="center"/>
    </xf>
    <xf numFmtId="0" fontId="177" fillId="2" borderId="0" xfId="0" applyFont="1" applyFill="1" applyBorder="1" applyAlignment="1">
      <alignment horizontal="center" vertical="center"/>
    </xf>
    <xf numFmtId="0" fontId="0" fillId="2" borderId="33" xfId="0" applyFill="1" applyBorder="1">
      <alignment vertical="center"/>
    </xf>
    <xf numFmtId="0" fontId="0" fillId="2" borderId="63" xfId="0" applyFill="1" applyBorder="1">
      <alignment vertical="center"/>
    </xf>
    <xf numFmtId="0" fontId="0" fillId="2" borderId="70" xfId="0" applyFill="1" applyBorder="1">
      <alignment vertical="center"/>
    </xf>
    <xf numFmtId="0" fontId="0" fillId="2" borderId="36" xfId="0" applyFill="1" applyBorder="1">
      <alignment vertical="center"/>
    </xf>
    <xf numFmtId="0" fontId="0" fillId="2" borderId="37" xfId="0" applyFill="1" applyBorder="1">
      <alignment vertical="center"/>
    </xf>
    <xf numFmtId="0" fontId="178" fillId="2" borderId="0" xfId="0" applyFont="1" applyFill="1">
      <alignment vertical="center"/>
    </xf>
    <xf numFmtId="0" fontId="178" fillId="2" borderId="54" xfId="0" applyFont="1" applyFill="1" applyBorder="1">
      <alignment vertical="center"/>
    </xf>
    <xf numFmtId="0" fontId="178" fillId="2" borderId="55" xfId="0" applyFont="1" applyFill="1" applyBorder="1">
      <alignment vertical="center"/>
    </xf>
    <xf numFmtId="0" fontId="178" fillId="2" borderId="59" xfId="0" applyFont="1" applyFill="1" applyBorder="1">
      <alignment vertical="center"/>
    </xf>
    <xf numFmtId="0" fontId="178" fillId="2" borderId="63" xfId="0" applyFont="1" applyFill="1" applyBorder="1">
      <alignment vertical="center"/>
    </xf>
    <xf numFmtId="0" fontId="178" fillId="2" borderId="0" xfId="0" applyFont="1" applyFill="1" applyBorder="1">
      <alignment vertical="center"/>
    </xf>
    <xf numFmtId="0" fontId="178" fillId="2" borderId="33" xfId="0" applyFont="1" applyFill="1" applyBorder="1">
      <alignment vertical="center"/>
    </xf>
    <xf numFmtId="0" fontId="179" fillId="2" borderId="7" xfId="0" applyFont="1" applyFill="1" applyBorder="1" applyAlignment="1">
      <alignment vertical="center"/>
    </xf>
    <xf numFmtId="0" fontId="179" fillId="2" borderId="2" xfId="0" applyFont="1" applyFill="1" applyBorder="1">
      <alignment vertical="center"/>
    </xf>
    <xf numFmtId="0" fontId="180" fillId="2" borderId="6" xfId="0" applyFont="1" applyFill="1" applyBorder="1" applyAlignment="1">
      <alignment vertical="center"/>
    </xf>
    <xf numFmtId="0" fontId="181" fillId="2" borderId="6" xfId="0" applyFont="1" applyFill="1" applyBorder="1" applyAlignment="1">
      <alignment horizontal="center" vertical="center"/>
    </xf>
    <xf numFmtId="0" fontId="182" fillId="2" borderId="6" xfId="0" applyFont="1" applyFill="1" applyBorder="1" applyAlignment="1">
      <alignment horizontal="center" vertical="center"/>
    </xf>
    <xf numFmtId="0" fontId="180" fillId="2" borderId="3" xfId="0" applyFont="1" applyFill="1" applyBorder="1" applyAlignment="1">
      <alignment vertical="center"/>
    </xf>
    <xf numFmtId="0" fontId="179" fillId="2" borderId="1" xfId="0" applyFont="1" applyFill="1" applyBorder="1">
      <alignment vertical="center"/>
    </xf>
    <xf numFmtId="0" fontId="180" fillId="2" borderId="2" xfId="0" applyFont="1" applyFill="1" applyBorder="1" applyAlignment="1">
      <alignment horizontal="center" vertical="center"/>
    </xf>
    <xf numFmtId="0" fontId="180" fillId="2" borderId="6" xfId="0" applyFont="1" applyFill="1" applyBorder="1" applyAlignment="1">
      <alignment horizontal="center" vertical="center"/>
    </xf>
    <xf numFmtId="0" fontId="180" fillId="2" borderId="3" xfId="0" applyFont="1" applyFill="1" applyBorder="1" applyAlignment="1">
      <alignment horizontal="center" vertical="center"/>
    </xf>
    <xf numFmtId="0" fontId="179" fillId="2" borderId="7" xfId="0" applyFont="1" applyFill="1" applyBorder="1" applyAlignment="1">
      <alignment horizontal="left" vertical="center"/>
    </xf>
    <xf numFmtId="0" fontId="179" fillId="2" borderId="1" xfId="0" applyFont="1" applyFill="1" applyBorder="1" applyAlignment="1">
      <alignment horizontal="center" vertical="center"/>
    </xf>
    <xf numFmtId="0" fontId="179" fillId="2" borderId="2" xfId="0" applyFont="1" applyFill="1" applyBorder="1" applyAlignment="1">
      <alignment horizontal="center" vertical="center"/>
    </xf>
    <xf numFmtId="0" fontId="179" fillId="2" borderId="3" xfId="0" applyFont="1" applyFill="1" applyBorder="1" applyAlignment="1">
      <alignment horizontal="center" vertical="center"/>
    </xf>
    <xf numFmtId="0" fontId="179" fillId="2" borderId="38" xfId="0" applyFont="1" applyFill="1" applyBorder="1" applyAlignment="1">
      <alignment horizontal="left" vertical="center"/>
    </xf>
    <xf numFmtId="0" fontId="179" fillId="2" borderId="5" xfId="0" applyFont="1" applyFill="1" applyBorder="1" applyAlignment="1">
      <alignment horizontal="left" vertical="center"/>
    </xf>
    <xf numFmtId="0" fontId="183" fillId="2" borderId="1" xfId="0" applyFont="1" applyFill="1" applyBorder="1" applyAlignment="1">
      <alignment horizontal="center" vertical="center"/>
    </xf>
    <xf numFmtId="0" fontId="183" fillId="2" borderId="2" xfId="0" applyFont="1" applyFill="1" applyBorder="1" applyAlignment="1">
      <alignment horizontal="center" vertical="center"/>
    </xf>
    <xf numFmtId="0" fontId="183" fillId="2" borderId="3" xfId="0" applyFont="1" applyFill="1" applyBorder="1" applyAlignment="1">
      <alignment horizontal="center" vertical="center"/>
    </xf>
    <xf numFmtId="0" fontId="179" fillId="2" borderId="7" xfId="0" applyFont="1" applyFill="1" applyBorder="1" applyAlignment="1">
      <alignment horizontal="center" vertical="center"/>
    </xf>
    <xf numFmtId="0" fontId="179" fillId="2" borderId="8" xfId="0" applyFont="1" applyFill="1" applyBorder="1" applyAlignment="1">
      <alignment horizontal="center" vertical="center"/>
    </xf>
    <xf numFmtId="0" fontId="179" fillId="2" borderId="10" xfId="0" applyFont="1" applyFill="1" applyBorder="1" applyAlignment="1">
      <alignment horizontal="center" vertical="center"/>
    </xf>
    <xf numFmtId="0" fontId="179" fillId="2" borderId="11" xfId="0" applyFont="1" applyFill="1" applyBorder="1" applyAlignment="1">
      <alignment horizontal="left" vertical="center"/>
    </xf>
    <xf numFmtId="0" fontId="184" fillId="2" borderId="72" xfId="0" applyFont="1" applyFill="1" applyBorder="1" applyAlignment="1">
      <alignment horizontal="center" vertical="center"/>
    </xf>
    <xf numFmtId="0" fontId="179" fillId="2" borderId="12" xfId="0" applyFont="1" applyFill="1" applyBorder="1" applyAlignment="1">
      <alignment horizontal="left" vertical="center"/>
    </xf>
    <xf numFmtId="0" fontId="179" fillId="2" borderId="2" xfId="0" applyFont="1" applyFill="1" applyBorder="1" applyAlignment="1">
      <alignment horizontal="right" vertical="center"/>
    </xf>
    <xf numFmtId="0" fontId="179" fillId="2" borderId="12" xfId="0" applyFont="1" applyFill="1" applyBorder="1" applyAlignment="1">
      <alignment horizontal="right" vertical="center"/>
    </xf>
    <xf numFmtId="0" fontId="183" fillId="2" borderId="12" xfId="0" applyFont="1" applyFill="1" applyBorder="1" applyAlignment="1">
      <alignment horizontal="center" vertical="center"/>
    </xf>
    <xf numFmtId="0" fontId="179" fillId="2" borderId="6" xfId="0" applyFont="1" applyFill="1" applyBorder="1" applyAlignment="1">
      <alignment horizontal="left" vertical="center"/>
    </xf>
    <xf numFmtId="0" fontId="179" fillId="2" borderId="13" xfId="0" applyFont="1" applyFill="1" applyBorder="1" applyAlignment="1">
      <alignment horizontal="left" vertical="center"/>
    </xf>
    <xf numFmtId="14" fontId="185" fillId="2" borderId="1" xfId="0" applyNumberFormat="1" applyFont="1" applyFill="1" applyBorder="1" applyAlignment="1">
      <alignment horizontal="center" vertical="center"/>
    </xf>
    <xf numFmtId="0" fontId="180" fillId="2" borderId="1" xfId="0" applyFont="1" applyFill="1" applyBorder="1" applyAlignment="1">
      <alignment horizontal="center" vertical="center"/>
    </xf>
    <xf numFmtId="0" fontId="179" fillId="2" borderId="6" xfId="0" applyFont="1" applyFill="1" applyBorder="1" applyAlignment="1">
      <alignment horizontal="center" vertical="center"/>
    </xf>
    <xf numFmtId="0" fontId="179" fillId="2" borderId="2" xfId="0" applyFont="1" applyFill="1" applyBorder="1" applyAlignment="1">
      <alignment horizontal="left" vertical="center"/>
    </xf>
    <xf numFmtId="0" fontId="179" fillId="2" borderId="3" xfId="0" applyFont="1" applyFill="1" applyBorder="1" applyAlignment="1">
      <alignment horizontal="left" vertical="center"/>
    </xf>
    <xf numFmtId="0" fontId="180" fillId="2" borderId="1" xfId="0" applyFont="1" applyFill="1" applyBorder="1">
      <alignment vertical="center"/>
    </xf>
    <xf numFmtId="0" fontId="179" fillId="2" borderId="6" xfId="0" applyFont="1" applyFill="1" applyBorder="1">
      <alignment vertical="center"/>
    </xf>
    <xf numFmtId="0" fontId="180" fillId="2" borderId="6" xfId="0" applyFont="1" applyFill="1" applyBorder="1">
      <alignment vertical="center"/>
    </xf>
    <xf numFmtId="0" fontId="180" fillId="2" borderId="3" xfId="0" applyFont="1" applyFill="1" applyBorder="1">
      <alignment vertical="center"/>
    </xf>
    <xf numFmtId="0" fontId="186" fillId="2" borderId="8" xfId="0" applyFont="1" applyFill="1" applyBorder="1" applyAlignment="1">
      <alignment horizontal="left" vertical="center"/>
    </xf>
    <xf numFmtId="0" fontId="186" fillId="2" borderId="9" xfId="0" applyFont="1" applyFill="1" applyBorder="1" applyAlignment="1">
      <alignment horizontal="left" vertical="center"/>
    </xf>
    <xf numFmtId="0" fontId="186" fillId="2" borderId="10" xfId="0" applyFont="1" applyFill="1" applyBorder="1" applyAlignment="1">
      <alignment horizontal="left" vertical="center"/>
    </xf>
    <xf numFmtId="0" fontId="186" fillId="2" borderId="32" xfId="0" applyFont="1" applyFill="1" applyBorder="1" applyAlignment="1">
      <alignment horizontal="left" vertical="center"/>
    </xf>
    <xf numFmtId="0" fontId="186" fillId="2" borderId="0" xfId="0" applyFont="1" applyFill="1" applyBorder="1" applyAlignment="1">
      <alignment horizontal="left" vertical="center"/>
    </xf>
    <xf numFmtId="0" fontId="186" fillId="2" borderId="39" xfId="0" applyFont="1" applyFill="1" applyBorder="1" applyAlignment="1">
      <alignment horizontal="left" vertical="center"/>
    </xf>
    <xf numFmtId="0" fontId="61" fillId="2" borderId="32" xfId="0" applyFont="1" applyFill="1" applyBorder="1" applyAlignment="1">
      <alignment horizontal="left" vertical="center"/>
    </xf>
    <xf numFmtId="0" fontId="61" fillId="2" borderId="0" xfId="0" applyFont="1" applyFill="1" applyBorder="1" applyAlignment="1">
      <alignment horizontal="left" vertical="center"/>
    </xf>
    <xf numFmtId="0" fontId="61" fillId="2" borderId="39" xfId="0" applyFont="1" applyFill="1" applyBorder="1" applyAlignment="1">
      <alignment horizontal="left" vertical="center"/>
    </xf>
    <xf numFmtId="0" fontId="186" fillId="2" borderId="11" xfId="0" applyFont="1" applyFill="1" applyBorder="1" applyAlignment="1">
      <alignment horizontal="left" vertical="center"/>
    </xf>
    <xf numFmtId="0" fontId="186" fillId="2" borderId="12" xfId="0" applyFont="1" applyFill="1" applyBorder="1" applyAlignment="1">
      <alignment horizontal="left" vertical="center"/>
    </xf>
    <xf numFmtId="0" fontId="61" fillId="2" borderId="11"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3" xfId="0" applyFont="1" applyFill="1" applyBorder="1" applyAlignment="1">
      <alignment horizontal="left" vertical="center"/>
    </xf>
    <xf numFmtId="0" fontId="178" fillId="2" borderId="70" xfId="0" applyFont="1" applyFill="1" applyBorder="1">
      <alignment vertical="center"/>
    </xf>
    <xf numFmtId="0" fontId="178" fillId="2" borderId="36" xfId="0" applyFont="1" applyFill="1" applyBorder="1">
      <alignment vertical="center"/>
    </xf>
    <xf numFmtId="0" fontId="178" fillId="2" borderId="37" xfId="0" applyFont="1" applyFill="1" applyBorder="1">
      <alignment vertical="center"/>
    </xf>
    <xf numFmtId="0" fontId="180" fillId="2" borderId="2" xfId="0" applyFont="1" applyFill="1" applyBorder="1" applyAlignment="1">
      <alignment vertical="center"/>
    </xf>
    <xf numFmtId="0" fontId="187" fillId="2" borderId="6" xfId="0" applyFont="1" applyFill="1" applyBorder="1" applyAlignment="1">
      <alignment horizontal="center" vertical="center"/>
    </xf>
    <xf numFmtId="0" fontId="179" fillId="2" borderId="1" xfId="0" applyFont="1" applyFill="1" applyBorder="1" applyAlignment="1">
      <alignment horizontal="left" vertical="center"/>
    </xf>
    <xf numFmtId="0" fontId="180" fillId="2" borderId="2" xfId="0" applyFont="1" applyFill="1" applyBorder="1" applyAlignment="1">
      <alignment horizontal="right" vertical="center"/>
    </xf>
    <xf numFmtId="0" fontId="0" fillId="0" borderId="6" xfId="0" applyBorder="1">
      <alignment vertical="center"/>
    </xf>
    <xf numFmtId="0" fontId="183" fillId="2" borderId="6" xfId="0" applyFont="1" applyFill="1" applyBorder="1" applyAlignment="1">
      <alignment horizontal="center" vertical="center"/>
    </xf>
    <xf numFmtId="178" fontId="188" fillId="2" borderId="6" xfId="0" applyNumberFormat="1" applyFont="1" applyFill="1" applyBorder="1" applyAlignment="1">
      <alignment horizontal="left" vertical="center"/>
    </xf>
    <xf numFmtId="0" fontId="189" fillId="0" borderId="6" xfId="0" applyFont="1" applyBorder="1">
      <alignment vertical="center"/>
    </xf>
    <xf numFmtId="0" fontId="189" fillId="0" borderId="3" xfId="0" applyFont="1" applyBorder="1">
      <alignment vertical="center"/>
    </xf>
    <xf numFmtId="0" fontId="179" fillId="2" borderId="6" xfId="0" applyFont="1" applyFill="1" applyBorder="1" applyAlignment="1">
      <alignment horizontal="right" vertical="center"/>
    </xf>
    <xf numFmtId="0" fontId="179" fillId="2" borderId="6" xfId="0" applyFont="1" applyFill="1" applyBorder="1" applyAlignment="1">
      <alignment vertical="center"/>
    </xf>
    <xf numFmtId="0" fontId="186" fillId="2" borderId="13" xfId="0" applyFont="1" applyFill="1" applyBorder="1" applyAlignment="1">
      <alignment horizontal="left" vertical="center"/>
    </xf>
    <xf numFmtId="0" fontId="177" fillId="2" borderId="0" xfId="0" applyFont="1" applyFill="1">
      <alignment vertical="center"/>
    </xf>
    <xf numFmtId="0" fontId="177" fillId="2" borderId="54" xfId="0" applyFont="1" applyFill="1" applyBorder="1">
      <alignment vertical="center"/>
    </xf>
    <xf numFmtId="0" fontId="177" fillId="2" borderId="55" xfId="0" applyFont="1" applyFill="1" applyBorder="1">
      <alignment vertical="center"/>
    </xf>
    <xf numFmtId="0" fontId="177" fillId="2" borderId="59" xfId="0" applyFont="1" applyFill="1" applyBorder="1">
      <alignment vertical="center"/>
    </xf>
    <xf numFmtId="0" fontId="177" fillId="2" borderId="63" xfId="0" applyFont="1" applyFill="1" applyBorder="1">
      <alignment vertical="center"/>
    </xf>
    <xf numFmtId="0" fontId="177" fillId="2" borderId="0" xfId="0" applyFont="1" applyFill="1" applyBorder="1">
      <alignment vertical="center"/>
    </xf>
    <xf numFmtId="0" fontId="177" fillId="2" borderId="33" xfId="0" applyFont="1" applyFill="1" applyBorder="1">
      <alignment vertical="center"/>
    </xf>
    <xf numFmtId="0" fontId="179" fillId="2" borderId="0" xfId="0" applyFont="1" applyFill="1" applyBorder="1" applyAlignment="1">
      <alignment horizontal="right" vertical="center"/>
    </xf>
    <xf numFmtId="0" fontId="180" fillId="2" borderId="0" xfId="0" applyFont="1" applyFill="1" applyBorder="1" applyAlignment="1">
      <alignment horizontal="left" vertical="center"/>
    </xf>
    <xf numFmtId="0" fontId="177" fillId="2" borderId="0" xfId="0" applyFont="1" applyFill="1" applyBorder="1" applyAlignment="1">
      <alignment horizontal="right" vertical="center"/>
    </xf>
    <xf numFmtId="0" fontId="180" fillId="2" borderId="12" xfId="0" applyFont="1" applyFill="1" applyBorder="1" applyAlignment="1">
      <alignment horizontal="center" vertical="center"/>
    </xf>
    <xf numFmtId="14" fontId="180" fillId="2" borderId="12" xfId="0" applyNumberFormat="1" applyFont="1" applyFill="1" applyBorder="1" applyAlignment="1">
      <alignment horizontal="center" vertical="center"/>
    </xf>
    <xf numFmtId="0" fontId="177" fillId="2" borderId="70" xfId="0" applyFont="1" applyFill="1" applyBorder="1">
      <alignment vertical="center"/>
    </xf>
    <xf numFmtId="0" fontId="177" fillId="2" borderId="36" xfId="0" applyFont="1" applyFill="1" applyBorder="1">
      <alignment vertical="center"/>
    </xf>
    <xf numFmtId="0" fontId="177" fillId="2" borderId="37" xfId="0" applyFont="1" applyFill="1" applyBorder="1">
      <alignment vertical="center"/>
    </xf>
    <xf numFmtId="0" fontId="102" fillId="2" borderId="0" xfId="0" applyFont="1" applyFill="1" applyAlignment="1" quotePrefix="1">
      <alignment horizontal="center" vertical="center" wrapText="1"/>
    </xf>
    <xf numFmtId="49" fontId="121" fillId="3" borderId="45" xfId="0" applyNumberFormat="1" applyFont="1" applyFill="1" applyBorder="1" applyAlignment="1" quotePrefix="1">
      <alignment horizontal="center" vertical="center" wrapText="1"/>
    </xf>
    <xf numFmtId="0" fontId="0" fillId="0" borderId="0" xfId="0" quotePrefix="1">
      <alignment vertical="center"/>
    </xf>
    <xf numFmtId="49" fontId="121" fillId="3" borderId="43" xfId="0" applyNumberFormat="1" applyFont="1" applyFill="1" applyBorder="1" applyAlignment="1" quotePrefix="1">
      <alignment horizontal="center" vertical="center" wrapText="1"/>
    </xf>
    <xf numFmtId="0" fontId="38" fillId="0" borderId="0" xfId="0" applyFont="1" applyAlignment="1" quotePrefix="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常规 3" xfId="50"/>
  </cellStyles>
  <dxfs count="3">
    <dxf>
      <font>
        <b val="0"/>
        <i val="0"/>
        <color theme="0"/>
      </font>
    </dxf>
    <dxf>
      <font>
        <color theme="0"/>
      </font>
    </dxf>
    <dxf>
      <font>
        <b val="1"/>
        <i val="0"/>
        <color rgb="FFFF0000"/>
      </font>
    </dxf>
  </dxfs>
  <tableStyles count="0" defaultTableStyle="TableStyleMedium9"/>
  <colors>
    <mruColors>
      <color rgb="000000FF"/>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9" Type="http://schemas.openxmlformats.org/officeDocument/2006/relationships/styles" Target="styles.xml"/><Relationship Id="rId38" Type="http://schemas.openxmlformats.org/officeDocument/2006/relationships/sharedStrings" Target="sharedStrings.xml"/><Relationship Id="rId37" Type="http://schemas.openxmlformats.org/officeDocument/2006/relationships/theme" Target="theme/theme1.xml"/><Relationship Id="rId36" Type="http://schemas.openxmlformats.org/officeDocument/2006/relationships/externalLink" Target="externalLinks/externalLink1.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trlProps/ctrlProp1.xml><?xml version="1.0" encoding="utf-8"?>
<formControlPr xmlns="http://schemas.microsoft.com/office/spreadsheetml/2009/9/main" objectType="CheckBox" checked="Checked" noThreeD="1" val="0"/>
</file>

<file path=xl/ctrlProps/ctrlProp2.xml><?xml version="1.0" encoding="utf-8"?>
<formControlPr xmlns="http://schemas.microsoft.com/office/spreadsheetml/2009/9/main" objectType="CheckBox" checked="Checked" noThreeD="1" val="0"/>
</file>

<file path=xl/ctrlProps/ctrlProp3.xml><?xml version="1.0" encoding="utf-8"?>
<formControlPr xmlns="http://schemas.microsoft.com/office/spreadsheetml/2009/9/main" objectType="CheckBox" checked="Checked" noThreeD="1" val="0"/>
</file>

<file path=xl/ctrlProps/ctrlProp4.xml><?xml version="1.0" encoding="utf-8"?>
<formControlPr xmlns="http://schemas.microsoft.com/office/spreadsheetml/2009/9/main" objectType="CheckBox" checked="Checked" noThreeD="1" val="0"/>
</file>

<file path=xl/ctrlProps/ctrlProp5.xml><?xml version="1.0" encoding="utf-8"?>
<formControlPr xmlns="http://schemas.microsoft.com/office/spreadsheetml/2009/9/main" objectType="CheckBox" checked="Checked" noThreeD="1" val="0"/>
</file>

<file path=xl/ctrlProps/ctrlProp6.xml><?xml version="1.0" encoding="utf-8"?>
<formControlPr xmlns="http://schemas.microsoft.com/office/spreadsheetml/2009/9/main" objectType="CheckBox" checked="Checked" noThreeD="1" val="0"/>
</file>

<file path=xl/ctrlProps/ctrlProp7.xml><?xml version="1.0" encoding="utf-8"?>
<formControlPr xmlns="http://schemas.microsoft.com/office/spreadsheetml/2009/9/main" objectType="CheckBox" noThreeD="1" val="0"/>
</file>

<file path=xl/ctrlProps/ctrlProp8.xml><?xml version="1.0" encoding="utf-8"?>
<formControlPr xmlns="http://schemas.microsoft.com/office/spreadsheetml/2009/9/main" objectType="CheckBox" noThreeD="1" val="0"/>
</file>

<file path=xl/ctrlProps/ctrlProp9.xml><?xml version="1.0" encoding="utf-8"?>
<formControlPr xmlns="http://schemas.microsoft.com/office/spreadsheetml/2009/9/main" objectType="CheckBox" checked="Checked" noThreeD="1" val="0"/>
</file>

<file path=xl/ctrlProps/ctrlProp10.xml><?xml version="1.0" encoding="utf-8"?>
<formControlPr xmlns="http://schemas.microsoft.com/office/spreadsheetml/2009/9/main" objectType="CheckBox" checked="Checked" noThreeD="1" val="0"/>
</file>

<file path=xl/ctrlProps/ctrlProp11.xml><?xml version="1.0" encoding="utf-8"?>
<formControlPr xmlns="http://schemas.microsoft.com/office/spreadsheetml/2009/9/main" objectType="CheckBox" checked="Checked" noThreeD="1" val="0"/>
</file>

<file path=xl/ctrlProps/ctrlProp12.xml><?xml version="1.0" encoding="utf-8"?>
<formControlPr xmlns="http://schemas.microsoft.com/office/spreadsheetml/2009/9/main" objectType="CheckBox" checked="Checked" noThreeD="1" val="0"/>
</file>

<file path=xl/ctrlProps/ctrlProp13.xml><?xml version="1.0" encoding="utf-8"?>
<formControlPr xmlns="http://schemas.microsoft.com/office/spreadsheetml/2009/9/main" objectType="CheckBox" checked="Checked" noThreeD="1" val="0"/>
</file>

<file path=xl/ctrlProps/ctrlProp14.xml><?xml version="1.0" encoding="utf-8"?>
<formControlPr xmlns="http://schemas.microsoft.com/office/spreadsheetml/2009/9/main" objectType="CheckBox" checked="Checked" noThreeD="1" val="0"/>
</file>

<file path=xl/ctrlProps/ctrlProp15.xml><?xml version="1.0" encoding="utf-8"?>
<formControlPr xmlns="http://schemas.microsoft.com/office/spreadsheetml/2009/9/main" objectType="CheckBox" noThreeD="1" val="0"/>
</file>

<file path=xl/ctrlProps/ctrlProp16.xml><?xml version="1.0" encoding="utf-8"?>
<formControlPr xmlns="http://schemas.microsoft.com/office/spreadsheetml/2009/9/main" objectType="CheckBox" noThreeD="1" val="0"/>
</file>

<file path=xl/ctrlProps/ctrlProp17.xml><?xml version="1.0" encoding="utf-8"?>
<formControlPr xmlns="http://schemas.microsoft.com/office/spreadsheetml/2009/9/main" objectType="CheckBox" checked="Checked" noThreeD="1" val="0"/>
</file>

<file path=xl/ctrlProps/ctrlProp18.xml><?xml version="1.0" encoding="utf-8"?>
<formControlPr xmlns="http://schemas.microsoft.com/office/spreadsheetml/2009/9/main" objectType="CheckBox" noThreeD="1" val="0"/>
</file>

<file path=xl/ctrlProps/ctrlProp19.xml><?xml version="1.0" encoding="utf-8"?>
<formControlPr xmlns="http://schemas.microsoft.com/office/spreadsheetml/2009/9/main" objectType="CheckBox" noThreeD="1" val="0"/>
</file>

<file path=xl/ctrlProps/ctrlProp20.xml><?xml version="1.0" encoding="utf-8"?>
<formControlPr xmlns="http://schemas.microsoft.com/office/spreadsheetml/2009/9/main" objectType="CheckBox" checked="Checked" noThreeD="1" val="0"/>
</file>

<file path=xl/ctrlProps/ctrlProp21.xml><?xml version="1.0" encoding="utf-8"?>
<formControlPr xmlns="http://schemas.microsoft.com/office/spreadsheetml/2009/9/main" objectType="CheckBox" checked="Checked" noThreeD="1" val="0"/>
</file>

<file path=xl/ctrlProps/ctrlProp22.xml><?xml version="1.0" encoding="utf-8"?>
<formControlPr xmlns="http://schemas.microsoft.com/office/spreadsheetml/2009/9/main" objectType="CheckBox" noThreeD="1" val="0"/>
</file>

<file path=xl/ctrlProps/ctrlProp23.xml><?xml version="1.0" encoding="utf-8"?>
<formControlPr xmlns="http://schemas.microsoft.com/office/spreadsheetml/2009/9/main" objectType="CheckBox" checked="Checked" noThreeD="1" val="0"/>
</file>

<file path=xl/ctrlProps/ctrlProp24.xml><?xml version="1.0" encoding="utf-8"?>
<formControlPr xmlns="http://schemas.microsoft.com/office/spreadsheetml/2009/9/main" objectType="CheckBox" noThreeD="1" val="0"/>
</file>

<file path=xl/ctrlProps/ctrlProp25.xml><?xml version="1.0" encoding="utf-8"?>
<formControlPr xmlns="http://schemas.microsoft.com/office/spreadsheetml/2009/9/main" objectType="CheckBox" noThreeD="1" val="0"/>
</file>

<file path=xl/ctrlProps/ctrlProp26.xml><?xml version="1.0" encoding="utf-8"?>
<formControlPr xmlns="http://schemas.microsoft.com/office/spreadsheetml/2009/9/main" objectType="CheckBox" checked="Checked" noThreeD="1" val="0"/>
</file>

<file path=xl/ctrlProps/ctrlProp27.xml><?xml version="1.0" encoding="utf-8"?>
<formControlPr xmlns="http://schemas.microsoft.com/office/spreadsheetml/2009/9/main" objectType="CheckBox" noThreeD="1" val="0"/>
</file>

<file path=xl/ctrlProps/ctrlProp28.xml><?xml version="1.0" encoding="utf-8"?>
<formControlPr xmlns="http://schemas.microsoft.com/office/spreadsheetml/2009/9/main" objectType="CheckBox" checked="Checked" noThreeD="1" val="0"/>
</file>

<file path=xl/ctrlProps/ctrlProp29.xml><?xml version="1.0" encoding="utf-8"?>
<formControlPr xmlns="http://schemas.microsoft.com/office/spreadsheetml/2009/9/main" objectType="CheckBox" noThreeD="1" val="0"/>
</file>

<file path=xl/ctrlProps/ctrlProp30.xml><?xml version="1.0" encoding="utf-8"?>
<formControlPr xmlns="http://schemas.microsoft.com/office/spreadsheetml/2009/9/main" objectType="CheckBox" checked="Checked" noThreeD="1" val="0"/>
</file>

<file path=xl/ctrlProps/ctrlProp31.xml><?xml version="1.0" encoding="utf-8"?>
<formControlPr xmlns="http://schemas.microsoft.com/office/spreadsheetml/2009/9/main" objectType="CheckBox" noThreeD="1" val="0"/>
</file>

<file path=xl/ctrlProps/ctrlProp32.xml><?xml version="1.0" encoding="utf-8"?>
<formControlPr xmlns="http://schemas.microsoft.com/office/spreadsheetml/2009/9/main" objectType="CheckBox" noThreeD="1" val="0"/>
</file>

<file path=xl/ctrlProps/ctrlProp33.xml><?xml version="1.0" encoding="utf-8"?>
<formControlPr xmlns="http://schemas.microsoft.com/office/spreadsheetml/2009/9/main" objectType="CheckBox" noThreeD="1" val="0"/>
</file>

<file path=xl/ctrlProps/ctrlProp34.xml><?xml version="1.0" encoding="utf-8"?>
<formControlPr xmlns="http://schemas.microsoft.com/office/spreadsheetml/2009/9/main" objectType="CheckBox" noThreeD="1" val="0"/>
</file>

<file path=xl/ctrlProps/ctrlProp35.xml><?xml version="1.0" encoding="utf-8"?>
<formControlPr xmlns="http://schemas.microsoft.com/office/spreadsheetml/2009/9/main" objectType="CheckBox" noThreeD="1" val="0"/>
</file>

<file path=xl/ctrlProps/ctrlProp36.xml><?xml version="1.0" encoding="utf-8"?>
<formControlPr xmlns="http://schemas.microsoft.com/office/spreadsheetml/2009/9/main" objectType="CheckBox" noThreeD="1" val="0"/>
</file>

<file path=xl/ctrlProps/ctrlProp37.xml><?xml version="1.0" encoding="utf-8"?>
<formControlPr xmlns="http://schemas.microsoft.com/office/spreadsheetml/2009/9/main" objectType="CheckBox" noThreeD="1" val="0"/>
</file>

<file path=xl/ctrlProps/ctrlProp38.xml><?xml version="1.0" encoding="utf-8"?>
<formControlPr xmlns="http://schemas.microsoft.com/office/spreadsheetml/2009/9/main" objectType="CheckBox" noThreeD="1" val="0"/>
</file>

<file path=xl/ctrlProps/ctrlProp39.xml><?xml version="1.0" encoding="utf-8"?>
<formControlPr xmlns="http://schemas.microsoft.com/office/spreadsheetml/2009/9/main" objectType="CheckBox" noThreeD="1" val="0"/>
</file>

<file path=xl/ctrlProps/ctrlProp40.xml><?xml version="1.0" encoding="utf-8"?>
<formControlPr xmlns="http://schemas.microsoft.com/office/spreadsheetml/2009/9/main" objectType="CheckBox" noThreeD="1" val="0"/>
</file>

<file path=xl/ctrlProps/ctrlProp41.xml><?xml version="1.0" encoding="utf-8"?>
<formControlPr xmlns="http://schemas.microsoft.com/office/spreadsheetml/2009/9/main" objectType="CheckBox" noThreeD="1" val="0"/>
</file>

<file path=xl/ctrlProps/ctrlProp42.xml><?xml version="1.0" encoding="utf-8"?>
<formControlPr xmlns="http://schemas.microsoft.com/office/spreadsheetml/2009/9/main" objectType="CheckBox" noThreeD="1" val="0"/>
</file>

<file path=xl/ctrlProps/ctrlProp43.xml><?xml version="1.0" encoding="utf-8"?>
<formControlPr xmlns="http://schemas.microsoft.com/office/spreadsheetml/2009/9/main" objectType="CheckBox" checked="Checked" noThreeD="1" val="0"/>
</file>

<file path=xl/ctrlProps/ctrlProp44.xml><?xml version="1.0" encoding="utf-8"?>
<formControlPr xmlns="http://schemas.microsoft.com/office/spreadsheetml/2009/9/main" objectType="CheckBox" checked="Checked" noThreeD="1" val="0"/>
</file>

<file path=xl/ctrlProps/ctrlProp45.xml><?xml version="1.0" encoding="utf-8"?>
<formControlPr xmlns="http://schemas.microsoft.com/office/spreadsheetml/2009/9/main" objectType="CheckBox" noThreeD="1" val="0"/>
</file>

<file path=xl/ctrlProps/ctrlProp46.xml><?xml version="1.0" encoding="utf-8"?>
<formControlPr xmlns="http://schemas.microsoft.com/office/spreadsheetml/2009/9/main" objectType="CheckBox" checked="Checked" noThreeD="1" val="0"/>
</file>

<file path=xl/ctrlProps/ctrlProp47.xml><?xml version="1.0" encoding="utf-8"?>
<formControlPr xmlns="http://schemas.microsoft.com/office/spreadsheetml/2009/9/main" objectType="CheckBox" noThreeD="1" val="0"/>
</file>

<file path=xl/ctrlProps/ctrlProp48.xml><?xml version="1.0" encoding="utf-8"?>
<formControlPr xmlns="http://schemas.microsoft.com/office/spreadsheetml/2009/9/main" objectType="CheckBox" checked="Checked" noThreeD="1" val="0"/>
</file>

<file path=xl/ctrlProps/ctrlProp49.xml><?xml version="1.0" encoding="utf-8"?>
<formControlPr xmlns="http://schemas.microsoft.com/office/spreadsheetml/2009/9/main" objectType="CheckBox" noThreeD="1" val="0"/>
</file>

<file path=xl/ctrlProps/ctrlProp50.xml><?xml version="1.0" encoding="utf-8"?>
<formControlPr xmlns="http://schemas.microsoft.com/office/spreadsheetml/2009/9/main" objectType="CheckBox" noThreeD="1" val="0"/>
</file>

<file path=xl/ctrlProps/ctrlProp51.xml><?xml version="1.0" encoding="utf-8"?>
<formControlPr xmlns="http://schemas.microsoft.com/office/spreadsheetml/2009/9/main" objectType="CheckBox" noThreeD="1" val="0"/>
</file>

<file path=xl/ctrlProps/ctrlProp52.xml><?xml version="1.0" encoding="utf-8"?>
<formControlPr xmlns="http://schemas.microsoft.com/office/spreadsheetml/2009/9/main" objectType="CheckBox" noThreeD="1" val="0"/>
</file>

<file path=xl/ctrlProps/ctrlProp53.xml><?xml version="1.0" encoding="utf-8"?>
<formControlPr xmlns="http://schemas.microsoft.com/office/spreadsheetml/2009/9/main" objectType="CheckBox" checked="Checked" noThreeD="1" val="0"/>
</file>

<file path=xl/ctrlProps/ctrlProp54.xml><?xml version="1.0" encoding="utf-8"?>
<formControlPr xmlns="http://schemas.microsoft.com/office/spreadsheetml/2009/9/main" objectType="CheckBox" noThreeD="1" val="0"/>
</file>

<file path=xl/ctrlProps/ctrlProp55.xml><?xml version="1.0" encoding="utf-8"?>
<formControlPr xmlns="http://schemas.microsoft.com/office/spreadsheetml/2009/9/main" objectType="CheckBox" checked="Checked" noThreeD="1" val="0"/>
</file>

<file path=xl/ctrlProps/ctrlProp56.xml><?xml version="1.0" encoding="utf-8"?>
<formControlPr xmlns="http://schemas.microsoft.com/office/spreadsheetml/2009/9/main" objectType="CheckBox" noThreeD="1" val="0"/>
</file>

<file path=xl/ctrlProps/ctrlProp57.xml><?xml version="1.0" encoding="utf-8"?>
<formControlPr xmlns="http://schemas.microsoft.com/office/spreadsheetml/2009/9/main" objectType="CheckBox" checked="Checked" noThreeD="1" val="0"/>
</file>

<file path=xl/ctrlProps/ctrlProp58.xml><?xml version="1.0" encoding="utf-8"?>
<formControlPr xmlns="http://schemas.microsoft.com/office/spreadsheetml/2009/9/main" objectType="CheckBox" noThreeD="1" val="0"/>
</file>

<file path=xl/ctrlProps/ctrlProp59.xml><?xml version="1.0" encoding="utf-8"?>
<formControlPr xmlns="http://schemas.microsoft.com/office/spreadsheetml/2009/9/main" objectType="CheckBox" noThreeD="1" val="0"/>
</file>

<file path=xl/ctrlProps/ctrlProp60.xml><?xml version="1.0" encoding="utf-8"?>
<formControlPr xmlns="http://schemas.microsoft.com/office/spreadsheetml/2009/9/main" objectType="CheckBox" checked="Checked" noThreeD="1" val="0"/>
</file>

<file path=xl/ctrlProps/ctrlProp61.xml><?xml version="1.0" encoding="utf-8"?>
<formControlPr xmlns="http://schemas.microsoft.com/office/spreadsheetml/2009/9/main" objectType="CheckBox" noThreeD="1" val="0"/>
</file>

<file path=xl/ctrlProps/ctrlProp62.xml><?xml version="1.0" encoding="utf-8"?>
<formControlPr xmlns="http://schemas.microsoft.com/office/spreadsheetml/2009/9/main" objectType="CheckBox" noThreeD="1" val="0"/>
</file>

<file path=xl/ctrlProps/ctrlProp63.xml><?xml version="1.0" encoding="utf-8"?>
<formControlPr xmlns="http://schemas.microsoft.com/office/spreadsheetml/2009/9/main" objectType="CheckBox" noThreeD="1" val="0"/>
</file>

<file path=xl/ctrlProps/ctrlProp64.xml><?xml version="1.0" encoding="utf-8"?>
<formControlPr xmlns="http://schemas.microsoft.com/office/spreadsheetml/2009/9/main" objectType="CheckBox" noThreeD="1" val="0"/>
</file>

<file path=xl/ctrlProps/ctrlProp65.xml><?xml version="1.0" encoding="utf-8"?>
<formControlPr xmlns="http://schemas.microsoft.com/office/spreadsheetml/2009/9/main" objectType="CheckBox" checked="Checked" noThreeD="1" val="0"/>
</file>

<file path=xl/ctrlProps/ctrlProp66.xml><?xml version="1.0" encoding="utf-8"?>
<formControlPr xmlns="http://schemas.microsoft.com/office/spreadsheetml/2009/9/main" objectType="CheckBox" noThreeD="1" val="0"/>
</file>

<file path=xl/ctrlProps/ctrlProp67.xml><?xml version="1.0" encoding="utf-8"?>
<formControlPr xmlns="http://schemas.microsoft.com/office/spreadsheetml/2009/9/main" objectType="CheckBox" noThreeD="1" val="0"/>
</file>

<file path=xl/ctrlProps/ctrlProp68.xml><?xml version="1.0" encoding="utf-8"?>
<formControlPr xmlns="http://schemas.microsoft.com/office/spreadsheetml/2009/9/main" objectType="CheckBox" checked="Checked" noThreeD="1" val="0"/>
</file>

<file path=xl/ctrlProps/ctrlProp69.xml><?xml version="1.0" encoding="utf-8"?>
<formControlPr xmlns="http://schemas.microsoft.com/office/spreadsheetml/2009/9/main" objectType="CheckBox" noThreeD="1" val="0"/>
</file>

<file path=xl/ctrlProps/ctrlProp70.xml><?xml version="1.0" encoding="utf-8"?>
<formControlPr xmlns="http://schemas.microsoft.com/office/spreadsheetml/2009/9/main" objectType="CheckBox" noThreeD="1" val="0"/>
</file>

<file path=xl/ctrlProps/ctrlProp71.xml><?xml version="1.0" encoding="utf-8"?>
<formControlPr xmlns="http://schemas.microsoft.com/office/spreadsheetml/2009/9/main" objectType="CheckBox" noThreeD="1" val="0"/>
</file>

<file path=xl/ctrlProps/ctrlProp72.xml><?xml version="1.0" encoding="utf-8"?>
<formControlPr xmlns="http://schemas.microsoft.com/office/spreadsheetml/2009/9/main" objectType="CheckBox" noThreeD="1" val="0"/>
</file>

<file path=xl/ctrlProps/ctrlProp73.xml><?xml version="1.0" encoding="utf-8"?>
<formControlPr xmlns="http://schemas.microsoft.com/office/spreadsheetml/2009/9/main" objectType="CheckBox" noThreeD="1" val="0"/>
</file>

<file path=xl/ctrlProps/ctrlProp74.xml><?xml version="1.0" encoding="utf-8"?>
<formControlPr xmlns="http://schemas.microsoft.com/office/spreadsheetml/2009/9/main" objectType="CheckBox" noThreeD="1" val="0"/>
</file>

<file path=xl/ctrlProps/ctrlProp75.xml><?xml version="1.0" encoding="utf-8"?>
<formControlPr xmlns="http://schemas.microsoft.com/office/spreadsheetml/2009/9/main" objectType="CheckBox" noThreeD="1" val="0"/>
</file>

<file path=xl/ctrlProps/ctrlProp76.xml><?xml version="1.0" encoding="utf-8"?>
<formControlPr xmlns="http://schemas.microsoft.com/office/spreadsheetml/2009/9/main" objectType="CheckBox" noThreeD="1" val="0"/>
</file>

<file path=xl/ctrlProps/ctrlProp77.xml><?xml version="1.0" encoding="utf-8"?>
<formControlPr xmlns="http://schemas.microsoft.com/office/spreadsheetml/2009/9/main" objectType="CheckBox" noThreeD="1" val="0"/>
</file>

<file path=xl/ctrlProps/ctrlProp78.xml><?xml version="1.0" encoding="utf-8"?>
<formControlPr xmlns="http://schemas.microsoft.com/office/spreadsheetml/2009/9/main" objectType="CheckBox" noThreeD="1" val="0"/>
</file>

<file path=xl/ctrlProps/ctrlProp79.xml><?xml version="1.0" encoding="utf-8"?>
<formControlPr xmlns="http://schemas.microsoft.com/office/spreadsheetml/2009/9/main" objectType="CheckBox" noThreeD="1" val="0"/>
</file>

<file path=xl/ctrlProps/ctrlProp80.xml><?xml version="1.0" encoding="utf-8"?>
<formControlPr xmlns="http://schemas.microsoft.com/office/spreadsheetml/2009/9/main" objectType="CheckBox" noThreeD="1" val="0"/>
</file>

<file path=xl/ctrlProps/ctrlProp81.xml><?xml version="1.0" encoding="utf-8"?>
<formControlPr xmlns="http://schemas.microsoft.com/office/spreadsheetml/2009/9/main" objectType="CheckBox" noThreeD="1" val="0"/>
</file>

<file path=xl/ctrlProps/ctrlProp82.xml><?xml version="1.0" encoding="utf-8"?>
<formControlPr xmlns="http://schemas.microsoft.com/office/spreadsheetml/2009/9/main" objectType="CheckBox" noThreeD="1" val="0"/>
</file>

<file path=xl/ctrlProps/ctrlProp83.xml><?xml version="1.0" encoding="utf-8"?>
<formControlPr xmlns="http://schemas.microsoft.com/office/spreadsheetml/2009/9/main" objectType="CheckBox" checked="Checked" noThreeD="1" val="0"/>
</file>

<file path=xl/ctrlProps/ctrlProp84.xml><?xml version="1.0" encoding="utf-8"?>
<formControlPr xmlns="http://schemas.microsoft.com/office/spreadsheetml/2009/9/main" objectType="CheckBox" noThreeD="1" val="0"/>
</file>

<file path=xl/ctrlProps/ctrlProp85.xml><?xml version="1.0" encoding="utf-8"?>
<formControlPr xmlns="http://schemas.microsoft.com/office/spreadsheetml/2009/9/main" objectType="CheckBox" checked="Checked" noThreeD="1" val="0"/>
</file>

<file path=xl/ctrlProps/ctrlProp86.xml><?xml version="1.0" encoding="utf-8"?>
<formControlPr xmlns="http://schemas.microsoft.com/office/spreadsheetml/2009/9/main" objectType="CheckBox" noThreeD="1" val="0"/>
</file>

<file path=xl/ctrlProps/ctrlProp87.xml><?xml version="1.0" encoding="utf-8"?>
<formControlPr xmlns="http://schemas.microsoft.com/office/spreadsheetml/2009/9/main" objectType="CheckBox" checked="Checked" noThreeD="1" val="0"/>
</file>

<file path=xl/ctrlProps/ctrlProp88.xml><?xml version="1.0" encoding="utf-8"?>
<formControlPr xmlns="http://schemas.microsoft.com/office/spreadsheetml/2009/9/main" objectType="CheckBox" noThreeD="1" val="0"/>
</file>

<file path=xl/ctrlProps/ctrlProp89.xml><?xml version="1.0" encoding="utf-8"?>
<formControlPr xmlns="http://schemas.microsoft.com/office/spreadsheetml/2009/9/main" objectType="CheckBox" noThreeD="1" val="0"/>
</file>

<file path=xl/ctrlProps/ctrlProp90.xml><?xml version="1.0" encoding="utf-8"?>
<formControlPr xmlns="http://schemas.microsoft.com/office/spreadsheetml/2009/9/main" objectType="CheckBox" noThreeD="1" val="0"/>
</file>

<file path=xl/ctrlProps/ctrlProp91.xml><?xml version="1.0" encoding="utf-8"?>
<formControlPr xmlns="http://schemas.microsoft.com/office/spreadsheetml/2009/9/main" objectType="CheckBox" noThreeD="1" val="0"/>
</file>

<file path=xl/ctrlProps/ctrlProp92.xml><?xml version="1.0" encoding="utf-8"?>
<formControlPr xmlns="http://schemas.microsoft.com/office/spreadsheetml/2009/9/main" objectType="CheckBox" checked="Checked" noThreeD="1" val="0"/>
</file>

<file path=xl/ctrlProps/ctrlProp93.xml><?xml version="1.0" encoding="utf-8"?>
<formControlPr xmlns="http://schemas.microsoft.com/office/spreadsheetml/2009/9/main" objectType="CheckBox" noThreeD="1" val="0"/>
</file>

<file path=xl/ctrlProps/ctrlProp94.xml><?xml version="1.0" encoding="utf-8"?>
<formControlPr xmlns="http://schemas.microsoft.com/office/spreadsheetml/2009/9/main" objectType="CheckBox" checked="Checked" noThreeD="1" val="0"/>
</file>

<file path=xl/ctrlProps/ctrlProp95.xml><?xml version="1.0" encoding="utf-8"?>
<formControlPr xmlns="http://schemas.microsoft.com/office/spreadsheetml/2009/9/main" objectType="CheckBox" noThreeD="1" val="0"/>
</file>

<file path=xl/ctrlProps/ctrlProp96.xml><?xml version="1.0" encoding="utf-8"?>
<formControlPr xmlns="http://schemas.microsoft.com/office/spreadsheetml/2009/9/main" objectType="CheckBox" checked="Checked" noThreeD="1" val="0"/>
</file>

<file path=xl/ctrlProps/ctrlProp97.xml><?xml version="1.0" encoding="utf-8"?>
<formControlPr xmlns="http://schemas.microsoft.com/office/spreadsheetml/2009/9/main" objectType="CheckBox" noThreeD="1" val="0"/>
</file>

<file path=xl/ctrlProps/ctrlProp98.xml><?xml version="1.0" encoding="utf-8"?>
<formControlPr xmlns="http://schemas.microsoft.com/office/spreadsheetml/2009/9/main" objectType="CheckBox" noThreeD="1" val="0"/>
</file>

<file path=xl/ctrlProps/ctrlProp99.xml><?xml version="1.0" encoding="utf-8"?>
<formControlPr xmlns="http://schemas.microsoft.com/office/spreadsheetml/2009/9/main" objectType="CheckBox" checked="Checked" noThreeD="1" val="0"/>
</file>

<file path=xl/ctrlProps/ctrlProp100.xml><?xml version="1.0" encoding="utf-8"?>
<formControlPr xmlns="http://schemas.microsoft.com/office/spreadsheetml/2009/9/main" objectType="CheckBox" noThreeD="1" val="0"/>
</file>

<file path=xl/ctrlProps/ctrlProp101.xml><?xml version="1.0" encoding="utf-8"?>
<formControlPr xmlns="http://schemas.microsoft.com/office/spreadsheetml/2009/9/main" objectType="CheckBox" noThreeD="1" val="0"/>
</file>

<file path=xl/ctrlProps/ctrlProp102.xml><?xml version="1.0" encoding="utf-8"?>
<formControlPr xmlns="http://schemas.microsoft.com/office/spreadsheetml/2009/9/main" objectType="CheckBox" noThreeD="1" val="0"/>
</file>

<file path=xl/ctrlProps/ctrlProp103.xml><?xml version="1.0" encoding="utf-8"?>
<formControlPr xmlns="http://schemas.microsoft.com/office/spreadsheetml/2009/9/main" objectType="CheckBox" noThreeD="1" val="0"/>
</file>

<file path=xl/ctrlProps/ctrlProp104.xml><?xml version="1.0" encoding="utf-8"?>
<formControlPr xmlns="http://schemas.microsoft.com/office/spreadsheetml/2009/9/main" objectType="CheckBox" checked="Checked" noThreeD="1" val="0"/>
</file>

<file path=xl/ctrlProps/ctrlProp105.xml><?xml version="1.0" encoding="utf-8"?>
<formControlPr xmlns="http://schemas.microsoft.com/office/spreadsheetml/2009/9/main" objectType="CheckBox" noThreeD="1" val="0"/>
</file>

<file path=xl/ctrlProps/ctrlProp106.xml><?xml version="1.0" encoding="utf-8"?>
<formControlPr xmlns="http://schemas.microsoft.com/office/spreadsheetml/2009/9/main" objectType="CheckBox" noThreeD="1" val="0"/>
</file>

<file path=xl/ctrlProps/ctrlProp107.xml><?xml version="1.0" encoding="utf-8"?>
<formControlPr xmlns="http://schemas.microsoft.com/office/spreadsheetml/2009/9/main" objectType="CheckBox" checked="Checked" noThreeD="1" val="0"/>
</file>

<file path=xl/ctrlProps/ctrlProp108.xml><?xml version="1.0" encoding="utf-8"?>
<formControlPr xmlns="http://schemas.microsoft.com/office/spreadsheetml/2009/9/main" objectType="CheckBox" noThreeD="1" val="0"/>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1</xdr:col>
          <xdr:colOff>182880</xdr:colOff>
          <xdr:row>17</xdr:row>
          <xdr:rowOff>137160</xdr:rowOff>
        </xdr:from>
        <xdr:to>
          <xdr:col>1</xdr:col>
          <xdr:colOff>487680</xdr:colOff>
          <xdr:row>17</xdr:row>
          <xdr:rowOff>342900</xdr:rowOff>
        </xdr:to>
        <xdr:sp>
          <xdr:nvSpPr>
            <xdr:cNvPr id="15361" name="Check Box 1" hidden="1">
              <a:extLst>
                <a:ext uri="{63B3BB69-23CF-44E3-9099-C40C66FF867C}">
                  <a14:compatExt spid="_x0000_s15361"/>
                </a:ext>
              </a:extLst>
            </xdr:cNvPr>
            <xdr:cNvSpPr/>
          </xdr:nvSpPr>
          <xdr:spPr>
            <a:xfrm>
              <a:off x="292735" y="66713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18</xdr:row>
          <xdr:rowOff>121920</xdr:rowOff>
        </xdr:from>
        <xdr:to>
          <xdr:col>1</xdr:col>
          <xdr:colOff>487680</xdr:colOff>
          <xdr:row>18</xdr:row>
          <xdr:rowOff>335280</xdr:rowOff>
        </xdr:to>
        <xdr:sp>
          <xdr:nvSpPr>
            <xdr:cNvPr id="15362" name="Check Box 2" hidden="1">
              <a:extLst>
                <a:ext uri="{63B3BB69-23CF-44E3-9099-C40C66FF867C}">
                  <a14:compatExt spid="_x0000_s15362"/>
                </a:ext>
              </a:extLst>
            </xdr:cNvPr>
            <xdr:cNvSpPr/>
          </xdr:nvSpPr>
          <xdr:spPr>
            <a:xfrm>
              <a:off x="292735" y="709422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19</xdr:row>
          <xdr:rowOff>121920</xdr:rowOff>
        </xdr:from>
        <xdr:to>
          <xdr:col>1</xdr:col>
          <xdr:colOff>487680</xdr:colOff>
          <xdr:row>19</xdr:row>
          <xdr:rowOff>335280</xdr:rowOff>
        </xdr:to>
        <xdr:sp>
          <xdr:nvSpPr>
            <xdr:cNvPr id="15363" name="Check Box 3" hidden="1">
              <a:extLst>
                <a:ext uri="{63B3BB69-23CF-44E3-9099-C40C66FF867C}">
                  <a14:compatExt spid="_x0000_s15363"/>
                </a:ext>
              </a:extLst>
            </xdr:cNvPr>
            <xdr:cNvSpPr/>
          </xdr:nvSpPr>
          <xdr:spPr>
            <a:xfrm>
              <a:off x="292735" y="75323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20</xdr:row>
          <xdr:rowOff>121920</xdr:rowOff>
        </xdr:from>
        <xdr:to>
          <xdr:col>1</xdr:col>
          <xdr:colOff>487680</xdr:colOff>
          <xdr:row>20</xdr:row>
          <xdr:rowOff>335280</xdr:rowOff>
        </xdr:to>
        <xdr:sp>
          <xdr:nvSpPr>
            <xdr:cNvPr id="15364" name="Check Box 4" hidden="1">
              <a:extLst>
                <a:ext uri="{63B3BB69-23CF-44E3-9099-C40C66FF867C}">
                  <a14:compatExt spid="_x0000_s15364"/>
                </a:ext>
              </a:extLst>
            </xdr:cNvPr>
            <xdr:cNvSpPr/>
          </xdr:nvSpPr>
          <xdr:spPr>
            <a:xfrm>
              <a:off x="292735" y="797052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21</xdr:row>
          <xdr:rowOff>114300</xdr:rowOff>
        </xdr:from>
        <xdr:to>
          <xdr:col>1</xdr:col>
          <xdr:colOff>487680</xdr:colOff>
          <xdr:row>21</xdr:row>
          <xdr:rowOff>327660</xdr:rowOff>
        </xdr:to>
        <xdr:sp>
          <xdr:nvSpPr>
            <xdr:cNvPr id="15365" name="Check Box 5" hidden="1">
              <a:extLst>
                <a:ext uri="{63B3BB69-23CF-44E3-9099-C40C66FF867C}">
                  <a14:compatExt spid="_x0000_s15365"/>
                </a:ext>
              </a:extLst>
            </xdr:cNvPr>
            <xdr:cNvSpPr/>
          </xdr:nvSpPr>
          <xdr:spPr>
            <a:xfrm>
              <a:off x="292735" y="84010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17</xdr:row>
          <xdr:rowOff>137160</xdr:rowOff>
        </xdr:from>
        <xdr:to>
          <xdr:col>6</xdr:col>
          <xdr:colOff>22860</xdr:colOff>
          <xdr:row>17</xdr:row>
          <xdr:rowOff>342900</xdr:rowOff>
        </xdr:to>
        <xdr:sp>
          <xdr:nvSpPr>
            <xdr:cNvPr id="15366" name="Check Box 6" hidden="1">
              <a:extLst>
                <a:ext uri="{63B3BB69-23CF-44E3-9099-C40C66FF867C}">
                  <a14:compatExt spid="_x0000_s15366"/>
                </a:ext>
              </a:extLst>
            </xdr:cNvPr>
            <xdr:cNvSpPr/>
          </xdr:nvSpPr>
          <xdr:spPr>
            <a:xfrm>
              <a:off x="3550920" y="667131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18</xdr:row>
          <xdr:rowOff>121920</xdr:rowOff>
        </xdr:from>
        <xdr:to>
          <xdr:col>6</xdr:col>
          <xdr:colOff>22860</xdr:colOff>
          <xdr:row>18</xdr:row>
          <xdr:rowOff>335280</xdr:rowOff>
        </xdr:to>
        <xdr:sp>
          <xdr:nvSpPr>
            <xdr:cNvPr id="15367" name="Check Box 7" hidden="1">
              <a:extLst>
                <a:ext uri="{63B3BB69-23CF-44E3-9099-C40C66FF867C}">
                  <a14:compatExt spid="_x0000_s15367"/>
                </a:ext>
              </a:extLst>
            </xdr:cNvPr>
            <xdr:cNvSpPr/>
          </xdr:nvSpPr>
          <xdr:spPr>
            <a:xfrm>
              <a:off x="3550920" y="709422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19</xdr:row>
          <xdr:rowOff>121920</xdr:rowOff>
        </xdr:from>
        <xdr:to>
          <xdr:col>6</xdr:col>
          <xdr:colOff>22860</xdr:colOff>
          <xdr:row>19</xdr:row>
          <xdr:rowOff>335280</xdr:rowOff>
        </xdr:to>
        <xdr:sp>
          <xdr:nvSpPr>
            <xdr:cNvPr id="15368" name="Check Box 8" hidden="1">
              <a:extLst>
                <a:ext uri="{63B3BB69-23CF-44E3-9099-C40C66FF867C}">
                  <a14:compatExt spid="_x0000_s15368"/>
                </a:ext>
              </a:extLst>
            </xdr:cNvPr>
            <xdr:cNvSpPr/>
          </xdr:nvSpPr>
          <xdr:spPr>
            <a:xfrm>
              <a:off x="3550920" y="75323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2.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1</xdr:col>
          <xdr:colOff>182880</xdr:colOff>
          <xdr:row>16</xdr:row>
          <xdr:rowOff>137160</xdr:rowOff>
        </xdr:from>
        <xdr:to>
          <xdr:col>1</xdr:col>
          <xdr:colOff>487680</xdr:colOff>
          <xdr:row>16</xdr:row>
          <xdr:rowOff>342900</xdr:rowOff>
        </xdr:to>
        <xdr:sp>
          <xdr:nvSpPr>
            <xdr:cNvPr id="3077" name="Check Box 5" hidden="1">
              <a:extLst>
                <a:ext uri="{63B3BB69-23CF-44E3-9099-C40C66FF867C}">
                  <a14:compatExt spid="_x0000_s3077"/>
                </a:ext>
              </a:extLst>
            </xdr:cNvPr>
            <xdr:cNvSpPr/>
          </xdr:nvSpPr>
          <xdr:spPr>
            <a:xfrm>
              <a:off x="292735" y="623316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17</xdr:row>
          <xdr:rowOff>121920</xdr:rowOff>
        </xdr:from>
        <xdr:to>
          <xdr:col>1</xdr:col>
          <xdr:colOff>487680</xdr:colOff>
          <xdr:row>17</xdr:row>
          <xdr:rowOff>335280</xdr:rowOff>
        </xdr:to>
        <xdr:sp>
          <xdr:nvSpPr>
            <xdr:cNvPr id="3078" name="Check Box 6" hidden="1">
              <a:extLst>
                <a:ext uri="{63B3BB69-23CF-44E3-9099-C40C66FF867C}">
                  <a14:compatExt spid="_x0000_s3078"/>
                </a:ext>
              </a:extLst>
            </xdr:cNvPr>
            <xdr:cNvSpPr/>
          </xdr:nvSpPr>
          <xdr:spPr>
            <a:xfrm>
              <a:off x="292735" y="66560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18</xdr:row>
          <xdr:rowOff>121920</xdr:rowOff>
        </xdr:from>
        <xdr:to>
          <xdr:col>1</xdr:col>
          <xdr:colOff>487680</xdr:colOff>
          <xdr:row>18</xdr:row>
          <xdr:rowOff>335280</xdr:rowOff>
        </xdr:to>
        <xdr:sp>
          <xdr:nvSpPr>
            <xdr:cNvPr id="3079" name="Check Box 7" hidden="1">
              <a:extLst>
                <a:ext uri="{63B3BB69-23CF-44E3-9099-C40C66FF867C}">
                  <a14:compatExt spid="_x0000_s3079"/>
                </a:ext>
              </a:extLst>
            </xdr:cNvPr>
            <xdr:cNvSpPr/>
          </xdr:nvSpPr>
          <xdr:spPr>
            <a:xfrm>
              <a:off x="292735" y="709422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19</xdr:row>
          <xdr:rowOff>121920</xdr:rowOff>
        </xdr:from>
        <xdr:to>
          <xdr:col>1</xdr:col>
          <xdr:colOff>487680</xdr:colOff>
          <xdr:row>19</xdr:row>
          <xdr:rowOff>335280</xdr:rowOff>
        </xdr:to>
        <xdr:sp>
          <xdr:nvSpPr>
            <xdr:cNvPr id="3080" name="Check Box 8" hidden="1">
              <a:extLst>
                <a:ext uri="{63B3BB69-23CF-44E3-9099-C40C66FF867C}">
                  <a14:compatExt spid="_x0000_s3080"/>
                </a:ext>
              </a:extLst>
            </xdr:cNvPr>
            <xdr:cNvSpPr/>
          </xdr:nvSpPr>
          <xdr:spPr>
            <a:xfrm>
              <a:off x="292735" y="75323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20</xdr:row>
          <xdr:rowOff>114300</xdr:rowOff>
        </xdr:from>
        <xdr:to>
          <xdr:col>1</xdr:col>
          <xdr:colOff>487680</xdr:colOff>
          <xdr:row>20</xdr:row>
          <xdr:rowOff>327660</xdr:rowOff>
        </xdr:to>
        <xdr:sp>
          <xdr:nvSpPr>
            <xdr:cNvPr id="3081" name="Check Box 9" hidden="1">
              <a:extLst>
                <a:ext uri="{63B3BB69-23CF-44E3-9099-C40C66FF867C}">
                  <a14:compatExt spid="_x0000_s3081"/>
                </a:ext>
              </a:extLst>
            </xdr:cNvPr>
            <xdr:cNvSpPr/>
          </xdr:nvSpPr>
          <xdr:spPr>
            <a:xfrm>
              <a:off x="292735" y="796290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16</xdr:row>
          <xdr:rowOff>137160</xdr:rowOff>
        </xdr:from>
        <xdr:to>
          <xdr:col>6</xdr:col>
          <xdr:colOff>22860</xdr:colOff>
          <xdr:row>16</xdr:row>
          <xdr:rowOff>342900</xdr:rowOff>
        </xdr:to>
        <xdr:sp>
          <xdr:nvSpPr>
            <xdr:cNvPr id="3083" name="Check Box 11" hidden="1">
              <a:extLst>
                <a:ext uri="{63B3BB69-23CF-44E3-9099-C40C66FF867C}">
                  <a14:compatExt spid="_x0000_s3083"/>
                </a:ext>
              </a:extLst>
            </xdr:cNvPr>
            <xdr:cNvSpPr/>
          </xdr:nvSpPr>
          <xdr:spPr>
            <a:xfrm>
              <a:off x="3550920" y="623316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17</xdr:row>
          <xdr:rowOff>121920</xdr:rowOff>
        </xdr:from>
        <xdr:to>
          <xdr:col>6</xdr:col>
          <xdr:colOff>22860</xdr:colOff>
          <xdr:row>17</xdr:row>
          <xdr:rowOff>335280</xdr:rowOff>
        </xdr:to>
        <xdr:sp>
          <xdr:nvSpPr>
            <xdr:cNvPr id="3084" name="Check Box 12" hidden="1">
              <a:extLst>
                <a:ext uri="{63B3BB69-23CF-44E3-9099-C40C66FF867C}">
                  <a14:compatExt spid="_x0000_s3084"/>
                </a:ext>
              </a:extLst>
            </xdr:cNvPr>
            <xdr:cNvSpPr/>
          </xdr:nvSpPr>
          <xdr:spPr>
            <a:xfrm>
              <a:off x="3550920" y="6656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18</xdr:row>
          <xdr:rowOff>121920</xdr:rowOff>
        </xdr:from>
        <xdr:to>
          <xdr:col>6</xdr:col>
          <xdr:colOff>22860</xdr:colOff>
          <xdr:row>18</xdr:row>
          <xdr:rowOff>335280</xdr:rowOff>
        </xdr:to>
        <xdr:sp>
          <xdr:nvSpPr>
            <xdr:cNvPr id="3085" name="Check Box 13" hidden="1">
              <a:extLst>
                <a:ext uri="{63B3BB69-23CF-44E3-9099-C40C66FF867C}">
                  <a14:compatExt spid="_x0000_s3085"/>
                </a:ext>
              </a:extLst>
            </xdr:cNvPr>
            <xdr:cNvSpPr/>
          </xdr:nvSpPr>
          <xdr:spPr>
            <a:xfrm>
              <a:off x="3550920" y="709422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3.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4</xdr:col>
          <xdr:colOff>228600</xdr:colOff>
          <xdr:row>2</xdr:row>
          <xdr:rowOff>7620</xdr:rowOff>
        </xdr:from>
        <xdr:to>
          <xdr:col>4</xdr:col>
          <xdr:colOff>533400</xdr:colOff>
          <xdr:row>4</xdr:row>
          <xdr:rowOff>7620</xdr:rowOff>
        </xdr:to>
        <xdr:sp>
          <xdr:nvSpPr>
            <xdr:cNvPr id="26625" name="Check Box 1" hidden="1">
              <a:extLst>
                <a:ext uri="{63B3BB69-23CF-44E3-9099-C40C66FF867C}">
                  <a14:compatExt spid="_x0000_s26625"/>
                </a:ext>
              </a:extLst>
            </xdr:cNvPr>
            <xdr:cNvSpPr/>
          </xdr:nvSpPr>
          <xdr:spPr>
            <a:xfrm>
              <a:off x="3504565"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xdr:row>
          <xdr:rowOff>7620</xdr:rowOff>
        </xdr:from>
        <xdr:to>
          <xdr:col>5</xdr:col>
          <xdr:colOff>304800</xdr:colOff>
          <xdr:row>4</xdr:row>
          <xdr:rowOff>7620</xdr:rowOff>
        </xdr:to>
        <xdr:sp>
          <xdr:nvSpPr>
            <xdr:cNvPr id="26626" name="Check Box 2" hidden="1">
              <a:extLst>
                <a:ext uri="{63B3BB69-23CF-44E3-9099-C40C66FF867C}">
                  <a14:compatExt spid="_x0000_s26626"/>
                </a:ext>
              </a:extLst>
            </xdr:cNvPr>
            <xdr:cNvSpPr/>
          </xdr:nvSpPr>
          <xdr:spPr>
            <a:xfrm>
              <a:off x="4427220"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4.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4</xdr:col>
          <xdr:colOff>228600</xdr:colOff>
          <xdr:row>2</xdr:row>
          <xdr:rowOff>7620</xdr:rowOff>
        </xdr:from>
        <xdr:to>
          <xdr:col>4</xdr:col>
          <xdr:colOff>533400</xdr:colOff>
          <xdr:row>4</xdr:row>
          <xdr:rowOff>7620</xdr:rowOff>
        </xdr:to>
        <xdr:sp>
          <xdr:nvSpPr>
            <xdr:cNvPr id="25608" name="Check Box 8" hidden="1">
              <a:extLst>
                <a:ext uri="{63B3BB69-23CF-44E3-9099-C40C66FF867C}">
                  <a14:compatExt spid="_x0000_s25608"/>
                </a:ext>
              </a:extLst>
            </xdr:cNvPr>
            <xdr:cNvSpPr/>
          </xdr:nvSpPr>
          <xdr:spPr>
            <a:xfrm>
              <a:off x="3504565"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xdr:row>
          <xdr:rowOff>7620</xdr:rowOff>
        </xdr:from>
        <xdr:to>
          <xdr:col>5</xdr:col>
          <xdr:colOff>304800</xdr:colOff>
          <xdr:row>4</xdr:row>
          <xdr:rowOff>7620</xdr:rowOff>
        </xdr:to>
        <xdr:sp>
          <xdr:nvSpPr>
            <xdr:cNvPr id="25609" name="Check Box 9" hidden="1">
              <a:extLst>
                <a:ext uri="{63B3BB69-23CF-44E3-9099-C40C66FF867C}">
                  <a14:compatExt spid="_x0000_s25609"/>
                </a:ext>
              </a:extLst>
            </xdr:cNvPr>
            <xdr:cNvSpPr/>
          </xdr:nvSpPr>
          <xdr:spPr>
            <a:xfrm>
              <a:off x="4427220"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5.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0481" name="Check Box 1" hidden="1">
              <a:extLst>
                <a:ext uri="{63B3BB69-23CF-44E3-9099-C40C66FF867C}">
                  <a14:compatExt spid="_x0000_s20481"/>
                </a:ext>
              </a:extLst>
            </xdr:cNvPr>
            <xdr:cNvSpPr/>
          </xdr:nvSpPr>
          <xdr:spPr>
            <a:xfrm>
              <a:off x="72955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0482" name="Check Box 2" hidden="1">
              <a:extLst>
                <a:ext uri="{63B3BB69-23CF-44E3-9099-C40C66FF867C}">
                  <a14:compatExt spid="_x0000_s20482"/>
                </a:ext>
              </a:extLst>
            </xdr:cNvPr>
            <xdr:cNvSpPr/>
          </xdr:nvSpPr>
          <xdr:spPr>
            <a:xfrm>
              <a:off x="81292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0483" name="Check Box 3" hidden="1">
              <a:extLst>
                <a:ext uri="{63B3BB69-23CF-44E3-9099-C40C66FF867C}">
                  <a14:compatExt spid="_x0000_s20483"/>
                </a:ext>
              </a:extLst>
            </xdr:cNvPr>
            <xdr:cNvSpPr/>
          </xdr:nvSpPr>
          <xdr:spPr>
            <a:xfrm>
              <a:off x="72955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0484" name="Check Box 4" hidden="1">
              <a:extLst>
                <a:ext uri="{63B3BB69-23CF-44E3-9099-C40C66FF867C}">
                  <a14:compatExt spid="_x0000_s20484"/>
                </a:ext>
              </a:extLst>
            </xdr:cNvPr>
            <xdr:cNvSpPr/>
          </xdr:nvSpPr>
          <xdr:spPr>
            <a:xfrm>
              <a:off x="81292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xdr:wsDr>
</file>

<file path=xl/drawings/drawing6.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1505" name="Check Box 1" hidden="1">
              <a:extLst>
                <a:ext uri="{63B3BB69-23CF-44E3-9099-C40C66FF867C}">
                  <a14:compatExt spid="_x0000_s21505"/>
                </a:ext>
              </a:extLst>
            </xdr:cNvPr>
            <xdr:cNvSpPr/>
          </xdr:nvSpPr>
          <xdr:spPr>
            <a:xfrm>
              <a:off x="70161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1506" name="Check Box 2" hidden="1">
              <a:extLst>
                <a:ext uri="{63B3BB69-23CF-44E3-9099-C40C66FF867C}">
                  <a14:compatExt spid="_x0000_s21506"/>
                </a:ext>
              </a:extLst>
            </xdr:cNvPr>
            <xdr:cNvSpPr/>
          </xdr:nvSpPr>
          <xdr:spPr>
            <a:xfrm>
              <a:off x="78498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1507" name="Check Box 3" hidden="1">
              <a:extLst>
                <a:ext uri="{63B3BB69-23CF-44E3-9099-C40C66FF867C}">
                  <a14:compatExt spid="_x0000_s21507"/>
                </a:ext>
              </a:extLst>
            </xdr:cNvPr>
            <xdr:cNvSpPr/>
          </xdr:nvSpPr>
          <xdr:spPr>
            <a:xfrm>
              <a:off x="70161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1508" name="Check Box 4" hidden="1">
              <a:extLst>
                <a:ext uri="{63B3BB69-23CF-44E3-9099-C40C66FF867C}">
                  <a14:compatExt spid="_x0000_s21508"/>
                </a:ext>
              </a:extLst>
            </xdr:cNvPr>
            <xdr:cNvSpPr/>
          </xdr:nvSpPr>
          <xdr:spPr>
            <a:xfrm>
              <a:off x="78498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0</xdr:col>
      <xdr:colOff>114300</xdr:colOff>
      <xdr:row>0</xdr:row>
      <xdr:rowOff>57150</xdr:rowOff>
    </xdr:from>
    <xdr:to>
      <xdr:col>3</xdr:col>
      <xdr:colOff>361950</xdr:colOff>
      <xdr:row>5</xdr:row>
      <xdr:rowOff>32329</xdr:rowOff>
    </xdr:to>
    <xdr:pic>
      <xdr:nvPicPr>
        <xdr:cNvPr id="3" name="图片 2"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114300" y="57150"/>
          <a:ext cx="738505" cy="688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7</xdr:col>
          <xdr:colOff>236220</xdr:colOff>
          <xdr:row>12</xdr:row>
          <xdr:rowOff>160020</xdr:rowOff>
        </xdr:from>
        <xdr:to>
          <xdr:col>8</xdr:col>
          <xdr:colOff>60960</xdr:colOff>
          <xdr:row>14</xdr:row>
          <xdr:rowOff>30480</xdr:rowOff>
        </xdr:to>
        <xdr:sp>
          <xdr:nvSpPr>
            <xdr:cNvPr id="37889" name="Check Box 1" hidden="1">
              <a:extLst>
                <a:ext uri="{63B3BB69-23CF-44E3-9099-C40C66FF867C}">
                  <a14:compatExt spid="_x0000_s37889"/>
                </a:ext>
              </a:extLst>
            </xdr:cNvPr>
            <xdr:cNvSpPr/>
          </xdr:nvSpPr>
          <xdr:spPr>
            <a:xfrm>
              <a:off x="5104130" y="2446020"/>
              <a:ext cx="30734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236220</xdr:colOff>
          <xdr:row>13</xdr:row>
          <xdr:rowOff>152400</xdr:rowOff>
        </xdr:from>
        <xdr:to>
          <xdr:col>8</xdr:col>
          <xdr:colOff>60960</xdr:colOff>
          <xdr:row>15</xdr:row>
          <xdr:rowOff>22860</xdr:rowOff>
        </xdr:to>
        <xdr:sp>
          <xdr:nvSpPr>
            <xdr:cNvPr id="37890" name="Check Box 2" hidden="1">
              <a:extLst>
                <a:ext uri="{63B3BB69-23CF-44E3-9099-C40C66FF867C}">
                  <a14:compatExt spid="_x0000_s37890"/>
                </a:ext>
              </a:extLst>
            </xdr:cNvPr>
            <xdr:cNvSpPr/>
          </xdr:nvSpPr>
          <xdr:spPr>
            <a:xfrm>
              <a:off x="5104130" y="2609850"/>
              <a:ext cx="30734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twoCellAnchor>
    <xdr:from>
      <xdr:col>0</xdr:col>
      <xdr:colOff>466725</xdr:colOff>
      <xdr:row>0</xdr:row>
      <xdr:rowOff>154305</xdr:rowOff>
    </xdr:from>
    <xdr:to>
      <xdr:col>1</xdr:col>
      <xdr:colOff>495300</xdr:colOff>
      <xdr:row>4</xdr:row>
      <xdr:rowOff>68580</xdr:rowOff>
    </xdr:to>
    <xdr:pic>
      <xdr:nvPicPr>
        <xdr:cNvPr id="2" name="图片 1" descr="关徽"/>
        <xdr:cNvPicPr>
          <a:picLocks noChangeAspect="1"/>
        </xdr:cNvPicPr>
      </xdr:nvPicPr>
      <xdr:blipFill>
        <a:blip r:embed="rId1"/>
        <a:stretch>
          <a:fillRect/>
        </a:stretch>
      </xdr:blipFill>
      <xdr:spPr>
        <a:xfrm>
          <a:off x="466725" y="154305"/>
          <a:ext cx="790575" cy="790575"/>
        </a:xfrm>
        <a:prstGeom prst="rect">
          <a:avLst/>
        </a:prstGeom>
        <a:noFill/>
        <a:ln w="9525">
          <a:noFill/>
        </a:ln>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8</xdr:col>
          <xdr:colOff>266700</xdr:colOff>
          <xdr:row>7</xdr:row>
          <xdr:rowOff>274320</xdr:rowOff>
        </xdr:from>
        <xdr:to>
          <xdr:col>11</xdr:col>
          <xdr:colOff>45720</xdr:colOff>
          <xdr:row>9</xdr:row>
          <xdr:rowOff>7620</xdr:rowOff>
        </xdr:to>
        <xdr:sp>
          <xdr:nvSpPr>
            <xdr:cNvPr id="48129" name="Check Box 1" hidden="1">
              <a:extLst>
                <a:ext uri="{63B3BB69-23CF-44E3-9099-C40C66FF867C}">
                  <a14:compatExt spid="_x0000_s48129"/>
                </a:ext>
              </a:extLst>
            </xdr:cNvPr>
            <xdr:cNvSpPr/>
          </xdr:nvSpPr>
          <xdr:spPr>
            <a:xfrm>
              <a:off x="2508885" y="246507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76200</xdr:colOff>
          <xdr:row>7</xdr:row>
          <xdr:rowOff>274320</xdr:rowOff>
        </xdr:from>
        <xdr:to>
          <xdr:col>14</xdr:col>
          <xdr:colOff>0</xdr:colOff>
          <xdr:row>9</xdr:row>
          <xdr:rowOff>7620</xdr:rowOff>
        </xdr:to>
        <xdr:sp>
          <xdr:nvSpPr>
            <xdr:cNvPr id="48130" name="Check Box 2" hidden="1">
              <a:extLst>
                <a:ext uri="{63B3BB69-23CF-44E3-9099-C40C66FF867C}">
                  <a14:compatExt spid="_x0000_s48130"/>
                </a:ext>
              </a:extLst>
            </xdr:cNvPr>
            <xdr:cNvSpPr/>
          </xdr:nvSpPr>
          <xdr:spPr>
            <a:xfrm>
              <a:off x="3079750" y="2465070"/>
              <a:ext cx="30416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99060</xdr:colOff>
          <xdr:row>7</xdr:row>
          <xdr:rowOff>289560</xdr:rowOff>
        </xdr:from>
        <xdr:to>
          <xdr:col>25</xdr:col>
          <xdr:colOff>76200</xdr:colOff>
          <xdr:row>9</xdr:row>
          <xdr:rowOff>22860</xdr:rowOff>
        </xdr:to>
        <xdr:sp>
          <xdr:nvSpPr>
            <xdr:cNvPr id="48131" name="Check Box 3" hidden="1">
              <a:extLst>
                <a:ext uri="{63B3BB69-23CF-44E3-9099-C40C66FF867C}">
                  <a14:compatExt spid="_x0000_s48131"/>
                </a:ext>
              </a:extLst>
            </xdr:cNvPr>
            <xdr:cNvSpPr/>
          </xdr:nvSpPr>
          <xdr:spPr>
            <a:xfrm>
              <a:off x="5995670" y="2480310"/>
              <a:ext cx="2984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7620</xdr:colOff>
          <xdr:row>7</xdr:row>
          <xdr:rowOff>289560</xdr:rowOff>
        </xdr:from>
        <xdr:to>
          <xdr:col>29</xdr:col>
          <xdr:colOff>22860</xdr:colOff>
          <xdr:row>9</xdr:row>
          <xdr:rowOff>22860</xdr:rowOff>
        </xdr:to>
        <xdr:sp>
          <xdr:nvSpPr>
            <xdr:cNvPr id="48132" name="Check Box 4" hidden="1">
              <a:extLst>
                <a:ext uri="{63B3BB69-23CF-44E3-9099-C40C66FF867C}">
                  <a14:compatExt spid="_x0000_s48132"/>
                </a:ext>
              </a:extLst>
            </xdr:cNvPr>
            <xdr:cNvSpPr/>
          </xdr:nvSpPr>
          <xdr:spPr>
            <a:xfrm>
              <a:off x="6682105" y="24803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9</xdr:row>
          <xdr:rowOff>297180</xdr:rowOff>
        </xdr:from>
        <xdr:to>
          <xdr:col>11</xdr:col>
          <xdr:colOff>68580</xdr:colOff>
          <xdr:row>11</xdr:row>
          <xdr:rowOff>30480</xdr:rowOff>
        </xdr:to>
        <xdr:sp>
          <xdr:nvSpPr>
            <xdr:cNvPr id="48133" name="Check Box 5" hidden="1">
              <a:extLst>
                <a:ext uri="{63B3BB69-23CF-44E3-9099-C40C66FF867C}">
                  <a14:compatExt spid="_x0000_s48133"/>
                </a:ext>
              </a:extLst>
            </xdr:cNvPr>
            <xdr:cNvSpPr/>
          </xdr:nvSpPr>
          <xdr:spPr>
            <a:xfrm>
              <a:off x="2529840" y="309753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30480</xdr:colOff>
          <xdr:row>9</xdr:row>
          <xdr:rowOff>297180</xdr:rowOff>
        </xdr:from>
        <xdr:to>
          <xdr:col>14</xdr:col>
          <xdr:colOff>335280</xdr:colOff>
          <xdr:row>11</xdr:row>
          <xdr:rowOff>30480</xdr:rowOff>
        </xdr:to>
        <xdr:sp>
          <xdr:nvSpPr>
            <xdr:cNvPr id="48134" name="Check Box 6" hidden="1">
              <a:extLst>
                <a:ext uri="{63B3BB69-23CF-44E3-9099-C40C66FF867C}">
                  <a14:compatExt spid="_x0000_s48134"/>
                </a:ext>
              </a:extLst>
            </xdr:cNvPr>
            <xdr:cNvSpPr/>
          </xdr:nvSpPr>
          <xdr:spPr>
            <a:xfrm>
              <a:off x="3414395" y="30975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30480</xdr:colOff>
          <xdr:row>9</xdr:row>
          <xdr:rowOff>297180</xdr:rowOff>
        </xdr:from>
        <xdr:to>
          <xdr:col>20</xdr:col>
          <xdr:colOff>335280</xdr:colOff>
          <xdr:row>11</xdr:row>
          <xdr:rowOff>30480</xdr:rowOff>
        </xdr:to>
        <xdr:sp>
          <xdr:nvSpPr>
            <xdr:cNvPr id="48135" name="Check Box 7" hidden="1">
              <a:extLst>
                <a:ext uri="{63B3BB69-23CF-44E3-9099-C40C66FF867C}">
                  <a14:compatExt spid="_x0000_s48135"/>
                </a:ext>
              </a:extLst>
            </xdr:cNvPr>
            <xdr:cNvSpPr/>
          </xdr:nvSpPr>
          <xdr:spPr>
            <a:xfrm>
              <a:off x="5089525" y="30975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9</xdr:row>
          <xdr:rowOff>297180</xdr:rowOff>
        </xdr:from>
        <xdr:to>
          <xdr:col>29</xdr:col>
          <xdr:colOff>144780</xdr:colOff>
          <xdr:row>11</xdr:row>
          <xdr:rowOff>30480</xdr:rowOff>
        </xdr:to>
        <xdr:sp>
          <xdr:nvSpPr>
            <xdr:cNvPr id="48136" name="Check Box 8" hidden="1">
              <a:extLst>
                <a:ext uri="{63B3BB69-23CF-44E3-9099-C40C66FF867C}">
                  <a14:compatExt spid="_x0000_s48136"/>
                </a:ext>
              </a:extLst>
            </xdr:cNvPr>
            <xdr:cNvSpPr/>
          </xdr:nvSpPr>
          <xdr:spPr>
            <a:xfrm>
              <a:off x="6811645" y="30975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10</xdr:row>
          <xdr:rowOff>297180</xdr:rowOff>
        </xdr:from>
        <xdr:to>
          <xdr:col>29</xdr:col>
          <xdr:colOff>144780</xdr:colOff>
          <xdr:row>12</xdr:row>
          <xdr:rowOff>30480</xdr:rowOff>
        </xdr:to>
        <xdr:sp>
          <xdr:nvSpPr>
            <xdr:cNvPr id="48137" name="Check Box 9" hidden="1">
              <a:extLst>
                <a:ext uri="{63B3BB69-23CF-44E3-9099-C40C66FF867C}">
                  <a14:compatExt spid="_x0000_s48137"/>
                </a:ext>
              </a:extLst>
            </xdr:cNvPr>
            <xdr:cNvSpPr/>
          </xdr:nvSpPr>
          <xdr:spPr>
            <a:xfrm>
              <a:off x="6811645" y="34023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38100</xdr:colOff>
          <xdr:row>10</xdr:row>
          <xdr:rowOff>297180</xdr:rowOff>
        </xdr:from>
        <xdr:to>
          <xdr:col>20</xdr:col>
          <xdr:colOff>342900</xdr:colOff>
          <xdr:row>12</xdr:row>
          <xdr:rowOff>30480</xdr:rowOff>
        </xdr:to>
        <xdr:sp>
          <xdr:nvSpPr>
            <xdr:cNvPr id="48138" name="Check Box 10" hidden="1">
              <a:extLst>
                <a:ext uri="{63B3BB69-23CF-44E3-9099-C40C66FF867C}">
                  <a14:compatExt spid="_x0000_s48138"/>
                </a:ext>
              </a:extLst>
            </xdr:cNvPr>
            <xdr:cNvSpPr/>
          </xdr:nvSpPr>
          <xdr:spPr>
            <a:xfrm>
              <a:off x="5097145" y="3402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30480</xdr:colOff>
          <xdr:row>10</xdr:row>
          <xdr:rowOff>297180</xdr:rowOff>
        </xdr:from>
        <xdr:to>
          <xdr:col>14</xdr:col>
          <xdr:colOff>335280</xdr:colOff>
          <xdr:row>12</xdr:row>
          <xdr:rowOff>30480</xdr:rowOff>
        </xdr:to>
        <xdr:sp>
          <xdr:nvSpPr>
            <xdr:cNvPr id="48139" name="Check Box 11" hidden="1">
              <a:extLst>
                <a:ext uri="{63B3BB69-23CF-44E3-9099-C40C66FF867C}">
                  <a14:compatExt spid="_x0000_s48139"/>
                </a:ext>
              </a:extLst>
            </xdr:cNvPr>
            <xdr:cNvSpPr/>
          </xdr:nvSpPr>
          <xdr:spPr>
            <a:xfrm>
              <a:off x="3414395" y="3402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10</xdr:row>
          <xdr:rowOff>297180</xdr:rowOff>
        </xdr:from>
        <xdr:to>
          <xdr:col>11</xdr:col>
          <xdr:colOff>68580</xdr:colOff>
          <xdr:row>12</xdr:row>
          <xdr:rowOff>30480</xdr:rowOff>
        </xdr:to>
        <xdr:sp>
          <xdr:nvSpPr>
            <xdr:cNvPr id="48140" name="Check Box 12" hidden="1">
              <a:extLst>
                <a:ext uri="{63B3BB69-23CF-44E3-9099-C40C66FF867C}">
                  <a14:compatExt spid="_x0000_s48140"/>
                </a:ext>
              </a:extLst>
            </xdr:cNvPr>
            <xdr:cNvSpPr/>
          </xdr:nvSpPr>
          <xdr:spPr>
            <a:xfrm>
              <a:off x="2529840" y="340233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22860</xdr:colOff>
          <xdr:row>15</xdr:row>
          <xdr:rowOff>297180</xdr:rowOff>
        </xdr:from>
        <xdr:to>
          <xdr:col>12</xdr:col>
          <xdr:colOff>83820</xdr:colOff>
          <xdr:row>17</xdr:row>
          <xdr:rowOff>30480</xdr:rowOff>
        </xdr:to>
        <xdr:sp>
          <xdr:nvSpPr>
            <xdr:cNvPr id="48141" name="Check Box 13" hidden="1">
              <a:extLst>
                <a:ext uri="{63B3BB69-23CF-44E3-9099-C40C66FF867C}">
                  <a14:compatExt spid="_x0000_s48141"/>
                </a:ext>
              </a:extLst>
            </xdr:cNvPr>
            <xdr:cNvSpPr/>
          </xdr:nvSpPr>
          <xdr:spPr>
            <a:xfrm>
              <a:off x="2789555" y="492633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16</xdr:row>
          <xdr:rowOff>289560</xdr:rowOff>
        </xdr:from>
        <xdr:to>
          <xdr:col>29</xdr:col>
          <xdr:colOff>251460</xdr:colOff>
          <xdr:row>18</xdr:row>
          <xdr:rowOff>22860</xdr:rowOff>
        </xdr:to>
        <xdr:sp>
          <xdr:nvSpPr>
            <xdr:cNvPr id="48142" name="Check Box 14" hidden="1">
              <a:extLst>
                <a:ext uri="{63B3BB69-23CF-44E3-9099-C40C66FF867C}">
                  <a14:compatExt spid="_x0000_s48142"/>
                </a:ext>
              </a:extLst>
            </xdr:cNvPr>
            <xdr:cNvSpPr/>
          </xdr:nvSpPr>
          <xdr:spPr>
            <a:xfrm>
              <a:off x="6910705" y="52235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17</xdr:row>
          <xdr:rowOff>289560</xdr:rowOff>
        </xdr:from>
        <xdr:to>
          <xdr:col>29</xdr:col>
          <xdr:colOff>251460</xdr:colOff>
          <xdr:row>19</xdr:row>
          <xdr:rowOff>22860</xdr:rowOff>
        </xdr:to>
        <xdr:sp>
          <xdr:nvSpPr>
            <xdr:cNvPr id="48143" name="Check Box 15" hidden="1">
              <a:extLst>
                <a:ext uri="{63B3BB69-23CF-44E3-9099-C40C66FF867C}">
                  <a14:compatExt spid="_x0000_s48143"/>
                </a:ext>
              </a:extLst>
            </xdr:cNvPr>
            <xdr:cNvSpPr/>
          </xdr:nvSpPr>
          <xdr:spPr>
            <a:xfrm>
              <a:off x="6910705" y="55283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18</xdr:row>
          <xdr:rowOff>289560</xdr:rowOff>
        </xdr:from>
        <xdr:to>
          <xdr:col>29</xdr:col>
          <xdr:colOff>251460</xdr:colOff>
          <xdr:row>20</xdr:row>
          <xdr:rowOff>22860</xdr:rowOff>
        </xdr:to>
        <xdr:sp>
          <xdr:nvSpPr>
            <xdr:cNvPr id="48144" name="Check Box 16" hidden="1">
              <a:extLst>
                <a:ext uri="{63B3BB69-23CF-44E3-9099-C40C66FF867C}">
                  <a14:compatExt spid="_x0000_s48144"/>
                </a:ext>
              </a:extLst>
            </xdr:cNvPr>
            <xdr:cNvSpPr/>
          </xdr:nvSpPr>
          <xdr:spPr>
            <a:xfrm>
              <a:off x="6910705" y="58331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19</xdr:row>
          <xdr:rowOff>289560</xdr:rowOff>
        </xdr:from>
        <xdr:to>
          <xdr:col>29</xdr:col>
          <xdr:colOff>251460</xdr:colOff>
          <xdr:row>21</xdr:row>
          <xdr:rowOff>22860</xdr:rowOff>
        </xdr:to>
        <xdr:sp>
          <xdr:nvSpPr>
            <xdr:cNvPr id="48145" name="Check Box 17" hidden="1">
              <a:extLst>
                <a:ext uri="{63B3BB69-23CF-44E3-9099-C40C66FF867C}">
                  <a14:compatExt spid="_x0000_s48145"/>
                </a:ext>
              </a:extLst>
            </xdr:cNvPr>
            <xdr:cNvSpPr/>
          </xdr:nvSpPr>
          <xdr:spPr>
            <a:xfrm>
              <a:off x="6910705" y="61379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20</xdr:row>
          <xdr:rowOff>289560</xdr:rowOff>
        </xdr:from>
        <xdr:to>
          <xdr:col>29</xdr:col>
          <xdr:colOff>251460</xdr:colOff>
          <xdr:row>22</xdr:row>
          <xdr:rowOff>22860</xdr:rowOff>
        </xdr:to>
        <xdr:sp>
          <xdr:nvSpPr>
            <xdr:cNvPr id="48146" name="Check Box 18" hidden="1">
              <a:extLst>
                <a:ext uri="{63B3BB69-23CF-44E3-9099-C40C66FF867C}">
                  <a14:compatExt spid="_x0000_s48146"/>
                </a:ext>
              </a:extLst>
            </xdr:cNvPr>
            <xdr:cNvSpPr/>
          </xdr:nvSpPr>
          <xdr:spPr>
            <a:xfrm>
              <a:off x="6910705" y="64427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16</xdr:row>
          <xdr:rowOff>289560</xdr:rowOff>
        </xdr:from>
        <xdr:to>
          <xdr:col>17</xdr:col>
          <xdr:colOff>7620</xdr:colOff>
          <xdr:row>18</xdr:row>
          <xdr:rowOff>22860</xdr:rowOff>
        </xdr:to>
        <xdr:sp>
          <xdr:nvSpPr>
            <xdr:cNvPr id="48147" name="Check Box 19" hidden="1">
              <a:extLst>
                <a:ext uri="{63B3BB69-23CF-44E3-9099-C40C66FF867C}">
                  <a14:compatExt spid="_x0000_s48147"/>
                </a:ext>
              </a:extLst>
            </xdr:cNvPr>
            <xdr:cNvSpPr/>
          </xdr:nvSpPr>
          <xdr:spPr>
            <a:xfrm>
              <a:off x="4145915" y="52235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350520</xdr:colOff>
          <xdr:row>15</xdr:row>
          <xdr:rowOff>297180</xdr:rowOff>
        </xdr:from>
        <xdr:to>
          <xdr:col>16</xdr:col>
          <xdr:colOff>121920</xdr:colOff>
          <xdr:row>17</xdr:row>
          <xdr:rowOff>30480</xdr:rowOff>
        </xdr:to>
        <xdr:sp>
          <xdr:nvSpPr>
            <xdr:cNvPr id="48152" name="Check Box 24" hidden="1">
              <a:extLst>
                <a:ext uri="{63B3BB69-23CF-44E3-9099-C40C66FF867C}">
                  <a14:compatExt spid="_x0000_s48152"/>
                </a:ext>
              </a:extLst>
            </xdr:cNvPr>
            <xdr:cNvSpPr/>
          </xdr:nvSpPr>
          <xdr:spPr>
            <a:xfrm>
              <a:off x="4115435" y="4926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7620</xdr:colOff>
          <xdr:row>15</xdr:row>
          <xdr:rowOff>297180</xdr:rowOff>
        </xdr:from>
        <xdr:to>
          <xdr:col>21</xdr:col>
          <xdr:colOff>312420</xdr:colOff>
          <xdr:row>17</xdr:row>
          <xdr:rowOff>30480</xdr:rowOff>
        </xdr:to>
        <xdr:sp>
          <xdr:nvSpPr>
            <xdr:cNvPr id="48153" name="Check Box 25" hidden="1">
              <a:extLst>
                <a:ext uri="{63B3BB69-23CF-44E3-9099-C40C66FF867C}">
                  <a14:compatExt spid="_x0000_s48153"/>
                </a:ext>
              </a:extLst>
            </xdr:cNvPr>
            <xdr:cNvSpPr/>
          </xdr:nvSpPr>
          <xdr:spPr>
            <a:xfrm>
              <a:off x="5455920" y="4926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15</xdr:row>
          <xdr:rowOff>297180</xdr:rowOff>
        </xdr:from>
        <xdr:to>
          <xdr:col>29</xdr:col>
          <xdr:colOff>144780</xdr:colOff>
          <xdr:row>17</xdr:row>
          <xdr:rowOff>30480</xdr:rowOff>
        </xdr:to>
        <xdr:sp>
          <xdr:nvSpPr>
            <xdr:cNvPr id="48154" name="Check Box 26" hidden="1">
              <a:extLst>
                <a:ext uri="{63B3BB69-23CF-44E3-9099-C40C66FF867C}">
                  <a14:compatExt spid="_x0000_s48154"/>
                </a:ext>
              </a:extLst>
            </xdr:cNvPr>
            <xdr:cNvSpPr/>
          </xdr:nvSpPr>
          <xdr:spPr>
            <a:xfrm>
              <a:off x="6811645" y="49263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289560</xdr:rowOff>
        </xdr:from>
        <xdr:to>
          <xdr:col>11</xdr:col>
          <xdr:colOff>68580</xdr:colOff>
          <xdr:row>15</xdr:row>
          <xdr:rowOff>22860</xdr:rowOff>
        </xdr:to>
        <xdr:sp>
          <xdr:nvSpPr>
            <xdr:cNvPr id="48155" name="Check Box 27" hidden="1">
              <a:extLst>
                <a:ext uri="{63B3BB69-23CF-44E3-9099-C40C66FF867C}">
                  <a14:compatExt spid="_x0000_s48155"/>
                </a:ext>
              </a:extLst>
            </xdr:cNvPr>
            <xdr:cNvSpPr/>
          </xdr:nvSpPr>
          <xdr:spPr>
            <a:xfrm>
              <a:off x="2529840" y="430911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45720</xdr:colOff>
          <xdr:row>13</xdr:row>
          <xdr:rowOff>289560</xdr:rowOff>
        </xdr:from>
        <xdr:to>
          <xdr:col>13</xdr:col>
          <xdr:colOff>38100</xdr:colOff>
          <xdr:row>15</xdr:row>
          <xdr:rowOff>22860</xdr:rowOff>
        </xdr:to>
        <xdr:sp>
          <xdr:nvSpPr>
            <xdr:cNvPr id="48156" name="Check Box 28" hidden="1">
              <a:extLst>
                <a:ext uri="{63B3BB69-23CF-44E3-9099-C40C66FF867C}">
                  <a14:compatExt spid="_x0000_s48156"/>
                </a:ext>
              </a:extLst>
            </xdr:cNvPr>
            <xdr:cNvSpPr/>
          </xdr:nvSpPr>
          <xdr:spPr>
            <a:xfrm>
              <a:off x="3049270" y="430911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17</xdr:row>
          <xdr:rowOff>289560</xdr:rowOff>
        </xdr:from>
        <xdr:to>
          <xdr:col>17</xdr:col>
          <xdr:colOff>7620</xdr:colOff>
          <xdr:row>19</xdr:row>
          <xdr:rowOff>22860</xdr:rowOff>
        </xdr:to>
        <xdr:sp>
          <xdr:nvSpPr>
            <xdr:cNvPr id="48157" name="Check Box 29" hidden="1">
              <a:extLst>
                <a:ext uri="{63B3BB69-23CF-44E3-9099-C40C66FF867C}">
                  <a14:compatExt spid="_x0000_s48157"/>
                </a:ext>
              </a:extLst>
            </xdr:cNvPr>
            <xdr:cNvSpPr/>
          </xdr:nvSpPr>
          <xdr:spPr>
            <a:xfrm>
              <a:off x="4145915" y="55283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18</xdr:row>
          <xdr:rowOff>289560</xdr:rowOff>
        </xdr:from>
        <xdr:to>
          <xdr:col>17</xdr:col>
          <xdr:colOff>7620</xdr:colOff>
          <xdr:row>20</xdr:row>
          <xdr:rowOff>22860</xdr:rowOff>
        </xdr:to>
        <xdr:sp>
          <xdr:nvSpPr>
            <xdr:cNvPr id="48158" name="Check Box 30" hidden="1">
              <a:extLst>
                <a:ext uri="{63B3BB69-23CF-44E3-9099-C40C66FF867C}">
                  <a14:compatExt spid="_x0000_s48158"/>
                </a:ext>
              </a:extLst>
            </xdr:cNvPr>
            <xdr:cNvSpPr/>
          </xdr:nvSpPr>
          <xdr:spPr>
            <a:xfrm>
              <a:off x="4145915" y="58331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19</xdr:row>
          <xdr:rowOff>289560</xdr:rowOff>
        </xdr:from>
        <xdr:to>
          <xdr:col>17</xdr:col>
          <xdr:colOff>7620</xdr:colOff>
          <xdr:row>21</xdr:row>
          <xdr:rowOff>22860</xdr:rowOff>
        </xdr:to>
        <xdr:sp>
          <xdr:nvSpPr>
            <xdr:cNvPr id="48159" name="Check Box 31" hidden="1">
              <a:extLst>
                <a:ext uri="{63B3BB69-23CF-44E3-9099-C40C66FF867C}">
                  <a14:compatExt spid="_x0000_s48159"/>
                </a:ext>
              </a:extLst>
            </xdr:cNvPr>
            <xdr:cNvSpPr/>
          </xdr:nvSpPr>
          <xdr:spPr>
            <a:xfrm>
              <a:off x="4145915" y="61379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20</xdr:row>
          <xdr:rowOff>289560</xdr:rowOff>
        </xdr:from>
        <xdr:to>
          <xdr:col>17</xdr:col>
          <xdr:colOff>7620</xdr:colOff>
          <xdr:row>22</xdr:row>
          <xdr:rowOff>22860</xdr:rowOff>
        </xdr:to>
        <xdr:sp>
          <xdr:nvSpPr>
            <xdr:cNvPr id="48160" name="Check Box 32" hidden="1">
              <a:extLst>
                <a:ext uri="{63B3BB69-23CF-44E3-9099-C40C66FF867C}">
                  <a14:compatExt spid="_x0000_s48160"/>
                </a:ext>
              </a:extLst>
            </xdr:cNvPr>
            <xdr:cNvSpPr/>
          </xdr:nvSpPr>
          <xdr:spPr>
            <a:xfrm>
              <a:off x="4145915" y="64427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99060</xdr:colOff>
          <xdr:row>13</xdr:row>
          <xdr:rowOff>289560</xdr:rowOff>
        </xdr:from>
        <xdr:to>
          <xdr:col>25</xdr:col>
          <xdr:colOff>76200</xdr:colOff>
          <xdr:row>15</xdr:row>
          <xdr:rowOff>22860</xdr:rowOff>
        </xdr:to>
        <xdr:sp>
          <xdr:nvSpPr>
            <xdr:cNvPr id="48161" name="Check Box 33" hidden="1">
              <a:extLst>
                <a:ext uri="{63B3BB69-23CF-44E3-9099-C40C66FF867C}">
                  <a14:compatExt spid="_x0000_s48161"/>
                </a:ext>
              </a:extLst>
            </xdr:cNvPr>
            <xdr:cNvSpPr/>
          </xdr:nvSpPr>
          <xdr:spPr>
            <a:xfrm>
              <a:off x="5995670" y="4309110"/>
              <a:ext cx="2984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0</xdr:colOff>
          <xdr:row>13</xdr:row>
          <xdr:rowOff>289560</xdr:rowOff>
        </xdr:from>
        <xdr:to>
          <xdr:col>29</xdr:col>
          <xdr:colOff>7620</xdr:colOff>
          <xdr:row>15</xdr:row>
          <xdr:rowOff>22860</xdr:rowOff>
        </xdr:to>
        <xdr:sp>
          <xdr:nvSpPr>
            <xdr:cNvPr id="48162" name="Check Box 34" hidden="1">
              <a:extLst>
                <a:ext uri="{63B3BB69-23CF-44E3-9099-C40C66FF867C}">
                  <a14:compatExt spid="_x0000_s48162"/>
                </a:ext>
              </a:extLst>
            </xdr:cNvPr>
            <xdr:cNvSpPr/>
          </xdr:nvSpPr>
          <xdr:spPr>
            <a:xfrm>
              <a:off x="6674485" y="43091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21</xdr:row>
          <xdr:rowOff>289560</xdr:rowOff>
        </xdr:from>
        <xdr:to>
          <xdr:col>11</xdr:col>
          <xdr:colOff>83820</xdr:colOff>
          <xdr:row>23</xdr:row>
          <xdr:rowOff>22860</xdr:rowOff>
        </xdr:to>
        <xdr:sp>
          <xdr:nvSpPr>
            <xdr:cNvPr id="48163" name="Check Box 35" hidden="1">
              <a:extLst>
                <a:ext uri="{63B3BB69-23CF-44E3-9099-C40C66FF867C}">
                  <a14:compatExt spid="_x0000_s48163"/>
                </a:ext>
              </a:extLst>
            </xdr:cNvPr>
            <xdr:cNvSpPr/>
          </xdr:nvSpPr>
          <xdr:spPr>
            <a:xfrm>
              <a:off x="2552700" y="67475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21</xdr:row>
          <xdr:rowOff>289560</xdr:rowOff>
        </xdr:from>
        <xdr:to>
          <xdr:col>14</xdr:col>
          <xdr:colOff>365760</xdr:colOff>
          <xdr:row>23</xdr:row>
          <xdr:rowOff>22860</xdr:rowOff>
        </xdr:to>
        <xdr:sp>
          <xdr:nvSpPr>
            <xdr:cNvPr id="48164" name="Check Box 36" hidden="1">
              <a:extLst>
                <a:ext uri="{63B3BB69-23CF-44E3-9099-C40C66FF867C}">
                  <a14:compatExt spid="_x0000_s48164"/>
                </a:ext>
              </a:extLst>
            </xdr:cNvPr>
            <xdr:cNvSpPr/>
          </xdr:nvSpPr>
          <xdr:spPr>
            <a:xfrm>
              <a:off x="3444875" y="67475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22</xdr:row>
          <xdr:rowOff>289560</xdr:rowOff>
        </xdr:from>
        <xdr:to>
          <xdr:col>11</xdr:col>
          <xdr:colOff>83820</xdr:colOff>
          <xdr:row>24</xdr:row>
          <xdr:rowOff>22860</xdr:rowOff>
        </xdr:to>
        <xdr:sp>
          <xdr:nvSpPr>
            <xdr:cNvPr id="48165" name="Check Box 37" hidden="1">
              <a:extLst>
                <a:ext uri="{63B3BB69-23CF-44E3-9099-C40C66FF867C}">
                  <a14:compatExt spid="_x0000_s48165"/>
                </a:ext>
              </a:extLst>
            </xdr:cNvPr>
            <xdr:cNvSpPr/>
          </xdr:nvSpPr>
          <xdr:spPr>
            <a:xfrm>
              <a:off x="2552700" y="70523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22</xdr:row>
          <xdr:rowOff>289560</xdr:rowOff>
        </xdr:from>
        <xdr:to>
          <xdr:col>14</xdr:col>
          <xdr:colOff>365760</xdr:colOff>
          <xdr:row>24</xdr:row>
          <xdr:rowOff>22860</xdr:rowOff>
        </xdr:to>
        <xdr:sp>
          <xdr:nvSpPr>
            <xdr:cNvPr id="48166" name="Check Box 38" hidden="1">
              <a:extLst>
                <a:ext uri="{63B3BB69-23CF-44E3-9099-C40C66FF867C}">
                  <a14:compatExt spid="_x0000_s48166"/>
                </a:ext>
              </a:extLst>
            </xdr:cNvPr>
            <xdr:cNvSpPr/>
          </xdr:nvSpPr>
          <xdr:spPr>
            <a:xfrm>
              <a:off x="3444875" y="70523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23</xdr:row>
          <xdr:rowOff>289560</xdr:rowOff>
        </xdr:from>
        <xdr:to>
          <xdr:col>11</xdr:col>
          <xdr:colOff>83820</xdr:colOff>
          <xdr:row>25</xdr:row>
          <xdr:rowOff>22860</xdr:rowOff>
        </xdr:to>
        <xdr:sp>
          <xdr:nvSpPr>
            <xdr:cNvPr id="48167" name="Check Box 39" hidden="1">
              <a:extLst>
                <a:ext uri="{63B3BB69-23CF-44E3-9099-C40C66FF867C}">
                  <a14:compatExt spid="_x0000_s48167"/>
                </a:ext>
              </a:extLst>
            </xdr:cNvPr>
            <xdr:cNvSpPr/>
          </xdr:nvSpPr>
          <xdr:spPr>
            <a:xfrm>
              <a:off x="2552700" y="73571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23</xdr:row>
          <xdr:rowOff>289560</xdr:rowOff>
        </xdr:from>
        <xdr:to>
          <xdr:col>14</xdr:col>
          <xdr:colOff>365760</xdr:colOff>
          <xdr:row>25</xdr:row>
          <xdr:rowOff>22860</xdr:rowOff>
        </xdr:to>
        <xdr:sp>
          <xdr:nvSpPr>
            <xdr:cNvPr id="48168" name="Check Box 40" hidden="1">
              <a:extLst>
                <a:ext uri="{63B3BB69-23CF-44E3-9099-C40C66FF867C}">
                  <a14:compatExt spid="_x0000_s48168"/>
                </a:ext>
              </a:extLst>
            </xdr:cNvPr>
            <xdr:cNvSpPr/>
          </xdr:nvSpPr>
          <xdr:spPr>
            <a:xfrm>
              <a:off x="3444875" y="73571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335280</xdr:colOff>
          <xdr:row>2</xdr:row>
          <xdr:rowOff>289560</xdr:rowOff>
        </xdr:from>
        <xdr:to>
          <xdr:col>24</xdr:col>
          <xdr:colOff>76200</xdr:colOff>
          <xdr:row>4</xdr:row>
          <xdr:rowOff>22860</xdr:rowOff>
        </xdr:to>
        <xdr:sp>
          <xdr:nvSpPr>
            <xdr:cNvPr id="48169" name="Check Box 41" hidden="1">
              <a:extLst>
                <a:ext uri="{63B3BB69-23CF-44E3-9099-C40C66FF867C}">
                  <a14:compatExt spid="_x0000_s48169"/>
                </a:ext>
              </a:extLst>
            </xdr:cNvPr>
            <xdr:cNvSpPr/>
          </xdr:nvSpPr>
          <xdr:spPr>
            <a:xfrm>
              <a:off x="5783580" y="956310"/>
              <a:ext cx="29908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38100</xdr:colOff>
          <xdr:row>2</xdr:row>
          <xdr:rowOff>289560</xdr:rowOff>
        </xdr:from>
        <xdr:to>
          <xdr:col>28</xdr:col>
          <xdr:colOff>22860</xdr:colOff>
          <xdr:row>4</xdr:row>
          <xdr:rowOff>22860</xdr:rowOff>
        </xdr:to>
        <xdr:sp>
          <xdr:nvSpPr>
            <xdr:cNvPr id="48170" name="Check Box 42" hidden="1">
              <a:extLst>
                <a:ext uri="{63B3BB69-23CF-44E3-9099-C40C66FF867C}">
                  <a14:compatExt spid="_x0000_s48170"/>
                </a:ext>
              </a:extLst>
            </xdr:cNvPr>
            <xdr:cNvSpPr/>
          </xdr:nvSpPr>
          <xdr:spPr>
            <a:xfrm>
              <a:off x="6391275" y="956310"/>
              <a:ext cx="30607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99060</xdr:colOff>
          <xdr:row>2</xdr:row>
          <xdr:rowOff>289560</xdr:rowOff>
        </xdr:from>
        <xdr:to>
          <xdr:col>30</xdr:col>
          <xdr:colOff>22860</xdr:colOff>
          <xdr:row>4</xdr:row>
          <xdr:rowOff>22860</xdr:rowOff>
        </xdr:to>
        <xdr:sp>
          <xdr:nvSpPr>
            <xdr:cNvPr id="48171" name="Check Box 43" hidden="1">
              <a:extLst>
                <a:ext uri="{63B3BB69-23CF-44E3-9099-C40C66FF867C}">
                  <a14:compatExt spid="_x0000_s48171"/>
                </a:ext>
              </a:extLst>
            </xdr:cNvPr>
            <xdr:cNvSpPr/>
          </xdr:nvSpPr>
          <xdr:spPr>
            <a:xfrm>
              <a:off x="7069455" y="9563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twoCellAnchor>
    <xdr:from>
      <xdr:col>1</xdr:col>
      <xdr:colOff>123825</xdr:colOff>
      <xdr:row>0</xdr:row>
      <xdr:rowOff>38100</xdr:rowOff>
    </xdr:from>
    <xdr:to>
      <xdr:col>2</xdr:col>
      <xdr:colOff>352425</xdr:colOff>
      <xdr:row>2</xdr:row>
      <xdr:rowOff>85725</xdr:rowOff>
    </xdr:to>
    <xdr:pic>
      <xdr:nvPicPr>
        <xdr:cNvPr id="41" name="图片 40"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309880" y="38100"/>
          <a:ext cx="753110" cy="7143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9</xdr:col>
          <xdr:colOff>0</xdr:colOff>
          <xdr:row>8</xdr:row>
          <xdr:rowOff>38100</xdr:rowOff>
        </xdr:from>
        <xdr:to>
          <xdr:col>11</xdr:col>
          <xdr:colOff>68580</xdr:colOff>
          <xdr:row>8</xdr:row>
          <xdr:rowOff>251460</xdr:rowOff>
        </xdr:to>
        <xdr:sp>
          <xdr:nvSpPr>
            <xdr:cNvPr id="7172" name="Check Box 4" hidden="1">
              <a:extLst>
                <a:ext uri="{63B3BB69-23CF-44E3-9099-C40C66FF867C}">
                  <a14:compatExt spid="_x0000_s7172"/>
                </a:ext>
              </a:extLst>
            </xdr:cNvPr>
            <xdr:cNvSpPr/>
          </xdr:nvSpPr>
          <xdr:spPr>
            <a:xfrm>
              <a:off x="2529840" y="253365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99060</xdr:colOff>
          <xdr:row>8</xdr:row>
          <xdr:rowOff>38100</xdr:rowOff>
        </xdr:from>
        <xdr:to>
          <xdr:col>14</xdr:col>
          <xdr:colOff>22860</xdr:colOff>
          <xdr:row>8</xdr:row>
          <xdr:rowOff>251460</xdr:rowOff>
        </xdr:to>
        <xdr:sp>
          <xdr:nvSpPr>
            <xdr:cNvPr id="7173" name="Check Box 5" hidden="1">
              <a:extLst>
                <a:ext uri="{63B3BB69-23CF-44E3-9099-C40C66FF867C}">
                  <a14:compatExt spid="_x0000_s7173"/>
                </a:ext>
              </a:extLst>
            </xdr:cNvPr>
            <xdr:cNvSpPr/>
          </xdr:nvSpPr>
          <xdr:spPr>
            <a:xfrm>
              <a:off x="3102610" y="2533650"/>
              <a:ext cx="30416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24</xdr:col>
          <xdr:colOff>0</xdr:colOff>
          <xdr:row>8</xdr:row>
          <xdr:rowOff>45720</xdr:rowOff>
        </xdr:from>
        <xdr:to>
          <xdr:col>25</xdr:col>
          <xdr:colOff>99060</xdr:colOff>
          <xdr:row>8</xdr:row>
          <xdr:rowOff>259080</xdr:rowOff>
        </xdr:to>
        <xdr:sp>
          <xdr:nvSpPr>
            <xdr:cNvPr id="7174" name="Check Box 6" hidden="1">
              <a:extLst>
                <a:ext uri="{63B3BB69-23CF-44E3-9099-C40C66FF867C}">
                  <a14:compatExt spid="_x0000_s7174"/>
                </a:ext>
              </a:extLst>
            </xdr:cNvPr>
            <xdr:cNvSpPr/>
          </xdr:nvSpPr>
          <xdr:spPr>
            <a:xfrm>
              <a:off x="6006465" y="2541270"/>
              <a:ext cx="3105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30480</xdr:colOff>
          <xdr:row>8</xdr:row>
          <xdr:rowOff>45720</xdr:rowOff>
        </xdr:from>
        <xdr:to>
          <xdr:col>29</xdr:col>
          <xdr:colOff>38100</xdr:colOff>
          <xdr:row>8</xdr:row>
          <xdr:rowOff>259080</xdr:rowOff>
        </xdr:to>
        <xdr:sp>
          <xdr:nvSpPr>
            <xdr:cNvPr id="7175" name="Check Box 7" hidden="1">
              <a:extLst>
                <a:ext uri="{63B3BB69-23CF-44E3-9099-C40C66FF867C}">
                  <a14:compatExt spid="_x0000_s7175"/>
                </a:ext>
              </a:extLst>
            </xdr:cNvPr>
            <xdr:cNvSpPr/>
          </xdr:nvSpPr>
          <xdr:spPr>
            <a:xfrm>
              <a:off x="6704965" y="2541270"/>
              <a:ext cx="30353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10</xdr:row>
          <xdr:rowOff>60960</xdr:rowOff>
        </xdr:from>
        <xdr:to>
          <xdr:col>11</xdr:col>
          <xdr:colOff>83820</xdr:colOff>
          <xdr:row>10</xdr:row>
          <xdr:rowOff>266700</xdr:rowOff>
        </xdr:to>
        <xdr:sp>
          <xdr:nvSpPr>
            <xdr:cNvPr id="7176" name="Check Box 8" hidden="1">
              <a:extLst>
                <a:ext uri="{63B3BB69-23CF-44E3-9099-C40C66FF867C}">
                  <a14:compatExt spid="_x0000_s7176"/>
                </a:ext>
              </a:extLst>
            </xdr:cNvPr>
            <xdr:cNvSpPr/>
          </xdr:nvSpPr>
          <xdr:spPr>
            <a:xfrm>
              <a:off x="2552700" y="3166110"/>
              <a:ext cx="29781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45720</xdr:colOff>
          <xdr:row>10</xdr:row>
          <xdr:rowOff>60960</xdr:rowOff>
        </xdr:from>
        <xdr:to>
          <xdr:col>14</xdr:col>
          <xdr:colOff>350520</xdr:colOff>
          <xdr:row>10</xdr:row>
          <xdr:rowOff>266700</xdr:rowOff>
        </xdr:to>
        <xdr:sp>
          <xdr:nvSpPr>
            <xdr:cNvPr id="7178" name="Check Box 10" hidden="1">
              <a:extLst>
                <a:ext uri="{63B3BB69-23CF-44E3-9099-C40C66FF867C}">
                  <a14:compatExt spid="_x0000_s7178"/>
                </a:ext>
              </a:extLst>
            </xdr:cNvPr>
            <xdr:cNvSpPr/>
          </xdr:nvSpPr>
          <xdr:spPr>
            <a:xfrm>
              <a:off x="3429635" y="31661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45720</xdr:colOff>
          <xdr:row>10</xdr:row>
          <xdr:rowOff>60960</xdr:rowOff>
        </xdr:from>
        <xdr:to>
          <xdr:col>20</xdr:col>
          <xdr:colOff>350520</xdr:colOff>
          <xdr:row>10</xdr:row>
          <xdr:rowOff>266700</xdr:rowOff>
        </xdr:to>
        <xdr:sp>
          <xdr:nvSpPr>
            <xdr:cNvPr id="7179" name="Check Box 11" hidden="1">
              <a:extLst>
                <a:ext uri="{63B3BB69-23CF-44E3-9099-C40C66FF867C}">
                  <a14:compatExt spid="_x0000_s7179"/>
                </a:ext>
              </a:extLst>
            </xdr:cNvPr>
            <xdr:cNvSpPr/>
          </xdr:nvSpPr>
          <xdr:spPr>
            <a:xfrm>
              <a:off x="5104765" y="31661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10</xdr:row>
          <xdr:rowOff>60960</xdr:rowOff>
        </xdr:from>
        <xdr:to>
          <xdr:col>29</xdr:col>
          <xdr:colOff>160020</xdr:colOff>
          <xdr:row>10</xdr:row>
          <xdr:rowOff>266700</xdr:rowOff>
        </xdr:to>
        <xdr:sp>
          <xdr:nvSpPr>
            <xdr:cNvPr id="7180" name="Check Box 12" hidden="1">
              <a:extLst>
                <a:ext uri="{63B3BB69-23CF-44E3-9099-C40C66FF867C}">
                  <a14:compatExt spid="_x0000_s7180"/>
                </a:ext>
              </a:extLst>
            </xdr:cNvPr>
            <xdr:cNvSpPr/>
          </xdr:nvSpPr>
          <xdr:spPr>
            <a:xfrm>
              <a:off x="6826885" y="31661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11</xdr:row>
          <xdr:rowOff>60960</xdr:rowOff>
        </xdr:from>
        <xdr:to>
          <xdr:col>29</xdr:col>
          <xdr:colOff>160020</xdr:colOff>
          <xdr:row>11</xdr:row>
          <xdr:rowOff>266700</xdr:rowOff>
        </xdr:to>
        <xdr:sp>
          <xdr:nvSpPr>
            <xdr:cNvPr id="7181" name="Check Box 13" hidden="1">
              <a:extLst>
                <a:ext uri="{63B3BB69-23CF-44E3-9099-C40C66FF867C}">
                  <a14:compatExt spid="_x0000_s7181"/>
                </a:ext>
              </a:extLst>
            </xdr:cNvPr>
            <xdr:cNvSpPr/>
          </xdr:nvSpPr>
          <xdr:spPr>
            <a:xfrm>
              <a:off x="6826885" y="3470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60960</xdr:colOff>
          <xdr:row>11</xdr:row>
          <xdr:rowOff>60960</xdr:rowOff>
        </xdr:from>
        <xdr:to>
          <xdr:col>20</xdr:col>
          <xdr:colOff>365760</xdr:colOff>
          <xdr:row>11</xdr:row>
          <xdr:rowOff>266700</xdr:rowOff>
        </xdr:to>
        <xdr:sp>
          <xdr:nvSpPr>
            <xdr:cNvPr id="7182" name="Check Box 14" hidden="1">
              <a:extLst>
                <a:ext uri="{63B3BB69-23CF-44E3-9099-C40C66FF867C}">
                  <a14:compatExt spid="_x0000_s7182"/>
                </a:ext>
              </a:extLst>
            </xdr:cNvPr>
            <xdr:cNvSpPr/>
          </xdr:nvSpPr>
          <xdr:spPr>
            <a:xfrm>
              <a:off x="5120005" y="3470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45720</xdr:colOff>
          <xdr:row>11</xdr:row>
          <xdr:rowOff>60960</xdr:rowOff>
        </xdr:from>
        <xdr:to>
          <xdr:col>14</xdr:col>
          <xdr:colOff>350520</xdr:colOff>
          <xdr:row>11</xdr:row>
          <xdr:rowOff>266700</xdr:rowOff>
        </xdr:to>
        <xdr:sp>
          <xdr:nvSpPr>
            <xdr:cNvPr id="7183" name="Check Box 15" hidden="1">
              <a:extLst>
                <a:ext uri="{63B3BB69-23CF-44E3-9099-C40C66FF867C}">
                  <a14:compatExt spid="_x0000_s7183"/>
                </a:ext>
              </a:extLst>
            </xdr:cNvPr>
            <xdr:cNvSpPr/>
          </xdr:nvSpPr>
          <xdr:spPr>
            <a:xfrm>
              <a:off x="3429635" y="3470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11</xdr:row>
          <xdr:rowOff>60960</xdr:rowOff>
        </xdr:from>
        <xdr:to>
          <xdr:col>11</xdr:col>
          <xdr:colOff>83820</xdr:colOff>
          <xdr:row>11</xdr:row>
          <xdr:rowOff>266700</xdr:rowOff>
        </xdr:to>
        <xdr:sp>
          <xdr:nvSpPr>
            <xdr:cNvPr id="7184" name="Check Box 16" hidden="1">
              <a:extLst>
                <a:ext uri="{63B3BB69-23CF-44E3-9099-C40C66FF867C}">
                  <a14:compatExt spid="_x0000_s7184"/>
                </a:ext>
              </a:extLst>
            </xdr:cNvPr>
            <xdr:cNvSpPr/>
          </xdr:nvSpPr>
          <xdr:spPr>
            <a:xfrm>
              <a:off x="2552700" y="3470910"/>
              <a:ext cx="29781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16</xdr:row>
          <xdr:rowOff>60960</xdr:rowOff>
        </xdr:from>
        <xdr:to>
          <xdr:col>12</xdr:col>
          <xdr:colOff>106680</xdr:colOff>
          <xdr:row>16</xdr:row>
          <xdr:rowOff>266700</xdr:rowOff>
        </xdr:to>
        <xdr:sp>
          <xdr:nvSpPr>
            <xdr:cNvPr id="7185" name="Check Box 17" hidden="1">
              <a:extLst>
                <a:ext uri="{63B3BB69-23CF-44E3-9099-C40C66FF867C}">
                  <a14:compatExt spid="_x0000_s7185"/>
                </a:ext>
              </a:extLst>
            </xdr:cNvPr>
            <xdr:cNvSpPr/>
          </xdr:nvSpPr>
          <xdr:spPr>
            <a:xfrm>
              <a:off x="2804795" y="499491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17</xdr:row>
          <xdr:rowOff>76200</xdr:rowOff>
        </xdr:from>
        <xdr:to>
          <xdr:col>29</xdr:col>
          <xdr:colOff>304800</xdr:colOff>
          <xdr:row>17</xdr:row>
          <xdr:rowOff>289560</xdr:rowOff>
        </xdr:to>
        <xdr:sp>
          <xdr:nvSpPr>
            <xdr:cNvPr id="7198" name="Check Box 30" hidden="1">
              <a:extLst>
                <a:ext uri="{63B3BB69-23CF-44E3-9099-C40C66FF867C}">
                  <a14:compatExt spid="_x0000_s7198"/>
                </a:ext>
              </a:extLst>
            </xdr:cNvPr>
            <xdr:cNvSpPr/>
          </xdr:nvSpPr>
          <xdr:spPr>
            <a:xfrm>
              <a:off x="6970395" y="53149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18</xdr:row>
          <xdr:rowOff>76200</xdr:rowOff>
        </xdr:from>
        <xdr:to>
          <xdr:col>29</xdr:col>
          <xdr:colOff>304800</xdr:colOff>
          <xdr:row>18</xdr:row>
          <xdr:rowOff>289560</xdr:rowOff>
        </xdr:to>
        <xdr:sp>
          <xdr:nvSpPr>
            <xdr:cNvPr id="7203" name="Check Box 35" hidden="1">
              <a:extLst>
                <a:ext uri="{63B3BB69-23CF-44E3-9099-C40C66FF867C}">
                  <a14:compatExt spid="_x0000_s7203"/>
                </a:ext>
              </a:extLst>
            </xdr:cNvPr>
            <xdr:cNvSpPr/>
          </xdr:nvSpPr>
          <xdr:spPr>
            <a:xfrm>
              <a:off x="6970395" y="56197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19</xdr:row>
          <xdr:rowOff>76200</xdr:rowOff>
        </xdr:from>
        <xdr:to>
          <xdr:col>29</xdr:col>
          <xdr:colOff>304800</xdr:colOff>
          <xdr:row>19</xdr:row>
          <xdr:rowOff>289560</xdr:rowOff>
        </xdr:to>
        <xdr:sp>
          <xdr:nvSpPr>
            <xdr:cNvPr id="7204" name="Check Box 36" hidden="1">
              <a:extLst>
                <a:ext uri="{63B3BB69-23CF-44E3-9099-C40C66FF867C}">
                  <a14:compatExt spid="_x0000_s7204"/>
                </a:ext>
              </a:extLst>
            </xdr:cNvPr>
            <xdr:cNvSpPr/>
          </xdr:nvSpPr>
          <xdr:spPr>
            <a:xfrm>
              <a:off x="6970395" y="59245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20</xdr:row>
          <xdr:rowOff>76200</xdr:rowOff>
        </xdr:from>
        <xdr:to>
          <xdr:col>29</xdr:col>
          <xdr:colOff>304800</xdr:colOff>
          <xdr:row>20</xdr:row>
          <xdr:rowOff>289560</xdr:rowOff>
        </xdr:to>
        <xdr:sp>
          <xdr:nvSpPr>
            <xdr:cNvPr id="7205" name="Check Box 37" hidden="1">
              <a:extLst>
                <a:ext uri="{63B3BB69-23CF-44E3-9099-C40C66FF867C}">
                  <a14:compatExt spid="_x0000_s7205"/>
                </a:ext>
              </a:extLst>
            </xdr:cNvPr>
            <xdr:cNvSpPr/>
          </xdr:nvSpPr>
          <xdr:spPr>
            <a:xfrm>
              <a:off x="6970395" y="62293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21</xdr:row>
          <xdr:rowOff>76200</xdr:rowOff>
        </xdr:from>
        <xdr:to>
          <xdr:col>29</xdr:col>
          <xdr:colOff>304800</xdr:colOff>
          <xdr:row>21</xdr:row>
          <xdr:rowOff>289560</xdr:rowOff>
        </xdr:to>
        <xdr:sp>
          <xdr:nvSpPr>
            <xdr:cNvPr id="7206" name="Check Box 38" hidden="1">
              <a:extLst>
                <a:ext uri="{63B3BB69-23CF-44E3-9099-C40C66FF867C}">
                  <a14:compatExt spid="_x0000_s7206"/>
                </a:ext>
              </a:extLst>
            </xdr:cNvPr>
            <xdr:cNvSpPr/>
          </xdr:nvSpPr>
          <xdr:spPr>
            <a:xfrm>
              <a:off x="6970395" y="65341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17</xdr:row>
          <xdr:rowOff>60960</xdr:rowOff>
        </xdr:from>
        <xdr:to>
          <xdr:col>17</xdr:col>
          <xdr:colOff>0</xdr:colOff>
          <xdr:row>17</xdr:row>
          <xdr:rowOff>266700</xdr:rowOff>
        </xdr:to>
        <xdr:sp>
          <xdr:nvSpPr>
            <xdr:cNvPr id="7207" name="Check Box 39" hidden="1">
              <a:extLst>
                <a:ext uri="{63B3BB69-23CF-44E3-9099-C40C66FF867C}">
                  <a14:compatExt spid="_x0000_s7207"/>
                </a:ext>
              </a:extLst>
            </xdr:cNvPr>
            <xdr:cNvSpPr/>
          </xdr:nvSpPr>
          <xdr:spPr>
            <a:xfrm>
              <a:off x="4138295" y="52997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16</xdr:row>
          <xdr:rowOff>60960</xdr:rowOff>
        </xdr:from>
        <xdr:to>
          <xdr:col>17</xdr:col>
          <xdr:colOff>0</xdr:colOff>
          <xdr:row>16</xdr:row>
          <xdr:rowOff>266700</xdr:rowOff>
        </xdr:to>
        <xdr:sp>
          <xdr:nvSpPr>
            <xdr:cNvPr id="7214" name="Check Box 46" hidden="1">
              <a:extLst>
                <a:ext uri="{63B3BB69-23CF-44E3-9099-C40C66FF867C}">
                  <a14:compatExt spid="_x0000_s7214"/>
                </a:ext>
              </a:extLst>
            </xdr:cNvPr>
            <xdr:cNvSpPr/>
          </xdr:nvSpPr>
          <xdr:spPr>
            <a:xfrm>
              <a:off x="4138295" y="4994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30480</xdr:colOff>
          <xdr:row>16</xdr:row>
          <xdr:rowOff>60960</xdr:rowOff>
        </xdr:from>
        <xdr:to>
          <xdr:col>21</xdr:col>
          <xdr:colOff>335280</xdr:colOff>
          <xdr:row>16</xdr:row>
          <xdr:rowOff>266700</xdr:rowOff>
        </xdr:to>
        <xdr:sp>
          <xdr:nvSpPr>
            <xdr:cNvPr id="7215" name="Check Box 47" hidden="1">
              <a:extLst>
                <a:ext uri="{63B3BB69-23CF-44E3-9099-C40C66FF867C}">
                  <a14:compatExt spid="_x0000_s7215"/>
                </a:ext>
              </a:extLst>
            </xdr:cNvPr>
            <xdr:cNvSpPr/>
          </xdr:nvSpPr>
          <xdr:spPr>
            <a:xfrm>
              <a:off x="5478780" y="4994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16</xdr:row>
          <xdr:rowOff>60960</xdr:rowOff>
        </xdr:from>
        <xdr:to>
          <xdr:col>29</xdr:col>
          <xdr:colOff>160020</xdr:colOff>
          <xdr:row>16</xdr:row>
          <xdr:rowOff>266700</xdr:rowOff>
        </xdr:to>
        <xdr:sp>
          <xdr:nvSpPr>
            <xdr:cNvPr id="7216" name="Check Box 48" hidden="1">
              <a:extLst>
                <a:ext uri="{63B3BB69-23CF-44E3-9099-C40C66FF867C}">
                  <a14:compatExt spid="_x0000_s7216"/>
                </a:ext>
              </a:extLst>
            </xdr:cNvPr>
            <xdr:cNvSpPr/>
          </xdr:nvSpPr>
          <xdr:spPr>
            <a:xfrm>
              <a:off x="6826885" y="4994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14</xdr:row>
          <xdr:rowOff>45720</xdr:rowOff>
        </xdr:from>
        <xdr:to>
          <xdr:col>11</xdr:col>
          <xdr:colOff>83820</xdr:colOff>
          <xdr:row>14</xdr:row>
          <xdr:rowOff>259080</xdr:rowOff>
        </xdr:to>
        <xdr:sp>
          <xdr:nvSpPr>
            <xdr:cNvPr id="7217" name="Check Box 49" hidden="1">
              <a:extLst>
                <a:ext uri="{63B3BB69-23CF-44E3-9099-C40C66FF867C}">
                  <a14:compatExt spid="_x0000_s7217"/>
                </a:ext>
              </a:extLst>
            </xdr:cNvPr>
            <xdr:cNvSpPr/>
          </xdr:nvSpPr>
          <xdr:spPr>
            <a:xfrm>
              <a:off x="2552700" y="4370070"/>
              <a:ext cx="2978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68580</xdr:colOff>
          <xdr:row>14</xdr:row>
          <xdr:rowOff>45720</xdr:rowOff>
        </xdr:from>
        <xdr:to>
          <xdr:col>13</xdr:col>
          <xdr:colOff>60960</xdr:colOff>
          <xdr:row>14</xdr:row>
          <xdr:rowOff>259080</xdr:rowOff>
        </xdr:to>
        <xdr:sp>
          <xdr:nvSpPr>
            <xdr:cNvPr id="7218" name="Check Box 50" hidden="1">
              <a:extLst>
                <a:ext uri="{63B3BB69-23CF-44E3-9099-C40C66FF867C}">
                  <a14:compatExt spid="_x0000_s7218"/>
                </a:ext>
              </a:extLst>
            </xdr:cNvPr>
            <xdr:cNvSpPr/>
          </xdr:nvSpPr>
          <xdr:spPr>
            <a:xfrm>
              <a:off x="3072130" y="4370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18</xdr:row>
          <xdr:rowOff>60960</xdr:rowOff>
        </xdr:from>
        <xdr:to>
          <xdr:col>17</xdr:col>
          <xdr:colOff>0</xdr:colOff>
          <xdr:row>18</xdr:row>
          <xdr:rowOff>266700</xdr:rowOff>
        </xdr:to>
        <xdr:sp>
          <xdr:nvSpPr>
            <xdr:cNvPr id="7219" name="Check Box 51" hidden="1">
              <a:extLst>
                <a:ext uri="{63B3BB69-23CF-44E3-9099-C40C66FF867C}">
                  <a14:compatExt spid="_x0000_s7219"/>
                </a:ext>
              </a:extLst>
            </xdr:cNvPr>
            <xdr:cNvSpPr/>
          </xdr:nvSpPr>
          <xdr:spPr>
            <a:xfrm>
              <a:off x="4138295" y="56045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19</xdr:row>
          <xdr:rowOff>60960</xdr:rowOff>
        </xdr:from>
        <xdr:to>
          <xdr:col>17</xdr:col>
          <xdr:colOff>0</xdr:colOff>
          <xdr:row>19</xdr:row>
          <xdr:rowOff>266700</xdr:rowOff>
        </xdr:to>
        <xdr:sp>
          <xdr:nvSpPr>
            <xdr:cNvPr id="7220" name="Check Box 52" hidden="1">
              <a:extLst>
                <a:ext uri="{63B3BB69-23CF-44E3-9099-C40C66FF867C}">
                  <a14:compatExt spid="_x0000_s7220"/>
                </a:ext>
              </a:extLst>
            </xdr:cNvPr>
            <xdr:cNvSpPr/>
          </xdr:nvSpPr>
          <xdr:spPr>
            <a:xfrm>
              <a:off x="4138295" y="59093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20</xdr:row>
          <xdr:rowOff>60960</xdr:rowOff>
        </xdr:from>
        <xdr:to>
          <xdr:col>17</xdr:col>
          <xdr:colOff>0</xdr:colOff>
          <xdr:row>20</xdr:row>
          <xdr:rowOff>266700</xdr:rowOff>
        </xdr:to>
        <xdr:sp>
          <xdr:nvSpPr>
            <xdr:cNvPr id="7221" name="Check Box 53" hidden="1">
              <a:extLst>
                <a:ext uri="{63B3BB69-23CF-44E3-9099-C40C66FF867C}">
                  <a14:compatExt spid="_x0000_s7221"/>
                </a:ext>
              </a:extLst>
            </xdr:cNvPr>
            <xdr:cNvSpPr/>
          </xdr:nvSpPr>
          <xdr:spPr>
            <a:xfrm>
              <a:off x="4138295" y="62141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21</xdr:row>
          <xdr:rowOff>60960</xdr:rowOff>
        </xdr:from>
        <xdr:to>
          <xdr:col>17</xdr:col>
          <xdr:colOff>0</xdr:colOff>
          <xdr:row>21</xdr:row>
          <xdr:rowOff>266700</xdr:rowOff>
        </xdr:to>
        <xdr:sp>
          <xdr:nvSpPr>
            <xdr:cNvPr id="7222" name="Check Box 54" hidden="1">
              <a:extLst>
                <a:ext uri="{63B3BB69-23CF-44E3-9099-C40C66FF867C}">
                  <a14:compatExt spid="_x0000_s7222"/>
                </a:ext>
              </a:extLst>
            </xdr:cNvPr>
            <xdr:cNvSpPr/>
          </xdr:nvSpPr>
          <xdr:spPr>
            <a:xfrm>
              <a:off x="4138295" y="6518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24</xdr:col>
          <xdr:colOff>0</xdr:colOff>
          <xdr:row>14</xdr:row>
          <xdr:rowOff>45720</xdr:rowOff>
        </xdr:from>
        <xdr:to>
          <xdr:col>25</xdr:col>
          <xdr:colOff>99060</xdr:colOff>
          <xdr:row>14</xdr:row>
          <xdr:rowOff>259080</xdr:rowOff>
        </xdr:to>
        <xdr:sp>
          <xdr:nvSpPr>
            <xdr:cNvPr id="7223" name="Check Box 55" hidden="1">
              <a:extLst>
                <a:ext uri="{63B3BB69-23CF-44E3-9099-C40C66FF867C}">
                  <a14:compatExt spid="_x0000_s7223"/>
                </a:ext>
              </a:extLst>
            </xdr:cNvPr>
            <xdr:cNvSpPr/>
          </xdr:nvSpPr>
          <xdr:spPr>
            <a:xfrm>
              <a:off x="6006465" y="4370070"/>
              <a:ext cx="3105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22860</xdr:colOff>
          <xdr:row>14</xdr:row>
          <xdr:rowOff>45720</xdr:rowOff>
        </xdr:from>
        <xdr:to>
          <xdr:col>29</xdr:col>
          <xdr:colOff>30480</xdr:colOff>
          <xdr:row>14</xdr:row>
          <xdr:rowOff>259080</xdr:rowOff>
        </xdr:to>
        <xdr:sp>
          <xdr:nvSpPr>
            <xdr:cNvPr id="7224" name="Check Box 56" hidden="1">
              <a:extLst>
                <a:ext uri="{63B3BB69-23CF-44E3-9099-C40C66FF867C}">
                  <a14:compatExt spid="_x0000_s7224"/>
                </a:ext>
              </a:extLst>
            </xdr:cNvPr>
            <xdr:cNvSpPr/>
          </xdr:nvSpPr>
          <xdr:spPr>
            <a:xfrm>
              <a:off x="6697345" y="4370070"/>
              <a:ext cx="30353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45720</xdr:rowOff>
        </xdr:from>
        <xdr:to>
          <xdr:col>11</xdr:col>
          <xdr:colOff>106680</xdr:colOff>
          <xdr:row>22</xdr:row>
          <xdr:rowOff>259080</xdr:rowOff>
        </xdr:to>
        <xdr:sp>
          <xdr:nvSpPr>
            <xdr:cNvPr id="7225" name="Check Box 57" hidden="1">
              <a:extLst>
                <a:ext uri="{63B3BB69-23CF-44E3-9099-C40C66FF867C}">
                  <a14:compatExt spid="_x0000_s7225"/>
                </a:ext>
              </a:extLst>
            </xdr:cNvPr>
            <xdr:cNvSpPr/>
          </xdr:nvSpPr>
          <xdr:spPr>
            <a:xfrm>
              <a:off x="2567940" y="68084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22</xdr:row>
          <xdr:rowOff>45720</xdr:rowOff>
        </xdr:from>
        <xdr:to>
          <xdr:col>15</xdr:col>
          <xdr:colOff>0</xdr:colOff>
          <xdr:row>22</xdr:row>
          <xdr:rowOff>259080</xdr:rowOff>
        </xdr:to>
        <xdr:sp>
          <xdr:nvSpPr>
            <xdr:cNvPr id="7226" name="Check Box 58" hidden="1">
              <a:extLst>
                <a:ext uri="{63B3BB69-23CF-44E3-9099-C40C66FF867C}">
                  <a14:compatExt spid="_x0000_s7226"/>
                </a:ext>
              </a:extLst>
            </xdr:cNvPr>
            <xdr:cNvSpPr/>
          </xdr:nvSpPr>
          <xdr:spPr>
            <a:xfrm>
              <a:off x="3460115" y="68084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45720</xdr:rowOff>
        </xdr:from>
        <xdr:to>
          <xdr:col>11</xdr:col>
          <xdr:colOff>106680</xdr:colOff>
          <xdr:row>23</xdr:row>
          <xdr:rowOff>259080</xdr:rowOff>
        </xdr:to>
        <xdr:sp>
          <xdr:nvSpPr>
            <xdr:cNvPr id="7227" name="Check Box 59" hidden="1">
              <a:extLst>
                <a:ext uri="{63B3BB69-23CF-44E3-9099-C40C66FF867C}">
                  <a14:compatExt spid="_x0000_s7227"/>
                </a:ext>
              </a:extLst>
            </xdr:cNvPr>
            <xdr:cNvSpPr/>
          </xdr:nvSpPr>
          <xdr:spPr>
            <a:xfrm>
              <a:off x="2567940" y="71132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23</xdr:row>
          <xdr:rowOff>45720</xdr:rowOff>
        </xdr:from>
        <xdr:to>
          <xdr:col>15</xdr:col>
          <xdr:colOff>0</xdr:colOff>
          <xdr:row>23</xdr:row>
          <xdr:rowOff>259080</xdr:rowOff>
        </xdr:to>
        <xdr:sp>
          <xdr:nvSpPr>
            <xdr:cNvPr id="7228" name="Check Box 60" hidden="1">
              <a:extLst>
                <a:ext uri="{63B3BB69-23CF-44E3-9099-C40C66FF867C}">
                  <a14:compatExt spid="_x0000_s7228"/>
                </a:ext>
              </a:extLst>
            </xdr:cNvPr>
            <xdr:cNvSpPr/>
          </xdr:nvSpPr>
          <xdr:spPr>
            <a:xfrm>
              <a:off x="3460115" y="71132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45720</xdr:rowOff>
        </xdr:from>
        <xdr:to>
          <xdr:col>11</xdr:col>
          <xdr:colOff>106680</xdr:colOff>
          <xdr:row>24</xdr:row>
          <xdr:rowOff>259080</xdr:rowOff>
        </xdr:to>
        <xdr:sp>
          <xdr:nvSpPr>
            <xdr:cNvPr id="7229" name="Check Box 61" hidden="1">
              <a:extLst>
                <a:ext uri="{63B3BB69-23CF-44E3-9099-C40C66FF867C}">
                  <a14:compatExt spid="_x0000_s7229"/>
                </a:ext>
              </a:extLst>
            </xdr:cNvPr>
            <xdr:cNvSpPr/>
          </xdr:nvSpPr>
          <xdr:spPr>
            <a:xfrm>
              <a:off x="2567940" y="7418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24</xdr:row>
          <xdr:rowOff>45720</xdr:rowOff>
        </xdr:from>
        <xdr:to>
          <xdr:col>15</xdr:col>
          <xdr:colOff>0</xdr:colOff>
          <xdr:row>24</xdr:row>
          <xdr:rowOff>259080</xdr:rowOff>
        </xdr:to>
        <xdr:sp>
          <xdr:nvSpPr>
            <xdr:cNvPr id="7230" name="Check Box 62" hidden="1">
              <a:extLst>
                <a:ext uri="{63B3BB69-23CF-44E3-9099-C40C66FF867C}">
                  <a14:compatExt spid="_x0000_s7230"/>
                </a:ext>
              </a:extLst>
            </xdr:cNvPr>
            <xdr:cNvSpPr/>
          </xdr:nvSpPr>
          <xdr:spPr>
            <a:xfrm>
              <a:off x="3460115" y="74180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350520</xdr:colOff>
          <xdr:row>3</xdr:row>
          <xdr:rowOff>45720</xdr:rowOff>
        </xdr:from>
        <xdr:to>
          <xdr:col>24</xdr:col>
          <xdr:colOff>99060</xdr:colOff>
          <xdr:row>3</xdr:row>
          <xdr:rowOff>259080</xdr:rowOff>
        </xdr:to>
        <xdr:sp>
          <xdr:nvSpPr>
            <xdr:cNvPr id="7231" name="Check Box 63" hidden="1">
              <a:extLst>
                <a:ext uri="{63B3BB69-23CF-44E3-9099-C40C66FF867C}">
                  <a14:compatExt spid="_x0000_s7231"/>
                </a:ext>
              </a:extLst>
            </xdr:cNvPr>
            <xdr:cNvSpPr/>
          </xdr:nvSpPr>
          <xdr:spPr>
            <a:xfrm>
              <a:off x="5798820" y="1017270"/>
              <a:ext cx="30670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60960</xdr:colOff>
          <xdr:row>3</xdr:row>
          <xdr:rowOff>45720</xdr:rowOff>
        </xdr:from>
        <xdr:to>
          <xdr:col>28</xdr:col>
          <xdr:colOff>38100</xdr:colOff>
          <xdr:row>3</xdr:row>
          <xdr:rowOff>259080</xdr:rowOff>
        </xdr:to>
        <xdr:sp>
          <xdr:nvSpPr>
            <xdr:cNvPr id="7232" name="Check Box 64" hidden="1">
              <a:extLst>
                <a:ext uri="{63B3BB69-23CF-44E3-9099-C40C66FF867C}">
                  <a14:compatExt spid="_x0000_s7232"/>
                </a:ext>
              </a:extLst>
            </xdr:cNvPr>
            <xdr:cNvSpPr/>
          </xdr:nvSpPr>
          <xdr:spPr>
            <a:xfrm>
              <a:off x="6414135" y="1017270"/>
              <a:ext cx="29845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114300</xdr:colOff>
          <xdr:row>3</xdr:row>
          <xdr:rowOff>45720</xdr:rowOff>
        </xdr:from>
        <xdr:to>
          <xdr:col>30</xdr:col>
          <xdr:colOff>38100</xdr:colOff>
          <xdr:row>3</xdr:row>
          <xdr:rowOff>259080</xdr:rowOff>
        </xdr:to>
        <xdr:sp>
          <xdr:nvSpPr>
            <xdr:cNvPr id="7233" name="Check Box 65" hidden="1">
              <a:extLst>
                <a:ext uri="{63B3BB69-23CF-44E3-9099-C40C66FF867C}">
                  <a14:compatExt spid="_x0000_s7233"/>
                </a:ext>
              </a:extLst>
            </xdr:cNvPr>
            <xdr:cNvSpPr/>
          </xdr:nvSpPr>
          <xdr:spPr>
            <a:xfrm>
              <a:off x="7084695" y="10172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twoCellAnchor>
    <xdr:from>
      <xdr:col>1</xdr:col>
      <xdr:colOff>123825</xdr:colOff>
      <xdr:row>0</xdr:row>
      <xdr:rowOff>38100</xdr:rowOff>
    </xdr:from>
    <xdr:to>
      <xdr:col>3</xdr:col>
      <xdr:colOff>9525</xdr:colOff>
      <xdr:row>2</xdr:row>
      <xdr:rowOff>85725</xdr:rowOff>
    </xdr:to>
    <xdr:pic>
      <xdr:nvPicPr>
        <xdr:cNvPr id="41" name="图片 40"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309880" y="38100"/>
          <a:ext cx="791210" cy="7143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5</xdr:col>
      <xdr:colOff>104775</xdr:colOff>
      <xdr:row>33</xdr:row>
      <xdr:rowOff>85725</xdr:rowOff>
    </xdr:from>
    <xdr:to>
      <xdr:col>5</xdr:col>
      <xdr:colOff>228600</xdr:colOff>
      <xdr:row>33</xdr:row>
      <xdr:rowOff>219075</xdr:rowOff>
    </xdr:to>
    <xdr:sp>
      <xdr:nvSpPr>
        <xdr:cNvPr id="41985" name="AutoShape 2"/>
        <xdr:cNvSpPr>
          <a:spLocks noChangeArrowheads="1"/>
        </xdr:cNvSpPr>
      </xdr:nvSpPr>
      <xdr:spPr>
        <a:xfrm>
          <a:off x="4803140" y="8705850"/>
          <a:ext cx="123825" cy="133350"/>
        </a:xfrm>
        <a:prstGeom prst="diamond">
          <a:avLst/>
        </a:prstGeom>
        <a:solidFill>
          <a:srgbClr val="000000"/>
        </a:solidFill>
        <a:ln w="9525">
          <a:solidFill>
            <a:srgbClr val="000000"/>
          </a:solidFill>
          <a:miter lim="800000"/>
        </a:ln>
      </xdr:spPr>
    </xdr:sp>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5</xdr:col>
      <xdr:colOff>104775</xdr:colOff>
      <xdr:row>33</xdr:row>
      <xdr:rowOff>85725</xdr:rowOff>
    </xdr:from>
    <xdr:to>
      <xdr:col>5</xdr:col>
      <xdr:colOff>228600</xdr:colOff>
      <xdr:row>33</xdr:row>
      <xdr:rowOff>219075</xdr:rowOff>
    </xdr:to>
    <xdr:sp>
      <xdr:nvSpPr>
        <xdr:cNvPr id="43009" name="AutoShape 2"/>
        <xdr:cNvSpPr>
          <a:spLocks noChangeArrowheads="1"/>
        </xdr:cNvSpPr>
      </xdr:nvSpPr>
      <xdr:spPr>
        <a:xfrm>
          <a:off x="5099685" y="8705850"/>
          <a:ext cx="123825" cy="133350"/>
        </a:xfrm>
        <a:prstGeom prst="diamond">
          <a:avLst/>
        </a:prstGeom>
        <a:solidFill>
          <a:srgbClr val="000000"/>
        </a:solidFill>
        <a:ln w="9525">
          <a:solidFill>
            <a:srgbClr val="000000"/>
          </a:solidFill>
          <a:miter lim="800000"/>
        </a:ln>
      </xdr:spPr>
    </xdr:sp>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57150</xdr:rowOff>
    </xdr:from>
    <xdr:to>
      <xdr:col>3</xdr:col>
      <xdr:colOff>285750</xdr:colOff>
      <xdr:row>3</xdr:row>
      <xdr:rowOff>0</xdr:rowOff>
    </xdr:to>
    <xdr:pic>
      <xdr:nvPicPr>
        <xdr:cNvPr id="44033" name="Picture 1"/>
        <xdr:cNvPicPr>
          <a:picLocks noChangeAspect="1" noChangeArrowheads="1"/>
        </xdr:cNvPicPr>
      </xdr:nvPicPr>
      <xdr:blipFill>
        <a:blip r:embed="rId1" cstate="print"/>
        <a:srcRect/>
        <a:stretch>
          <a:fillRect/>
        </a:stretch>
      </xdr:blipFill>
      <xdr:spPr>
        <a:xfrm>
          <a:off x="465455" y="57150"/>
          <a:ext cx="996950" cy="800100"/>
        </a:xfrm>
        <a:prstGeom prst="rect">
          <a:avLst/>
        </a:prstGeom>
        <a:noFill/>
        <a:ln w="9525">
          <a:noFill/>
          <a:miter lim="800000"/>
          <a:headEnd/>
          <a:tailEnd/>
        </a:ln>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457200</xdr:colOff>
      <xdr:row>0</xdr:row>
      <xdr:rowOff>57150</xdr:rowOff>
    </xdr:from>
    <xdr:to>
      <xdr:col>3</xdr:col>
      <xdr:colOff>209550</xdr:colOff>
      <xdr:row>3</xdr:row>
      <xdr:rowOff>9525</xdr:rowOff>
    </xdr:to>
    <xdr:pic>
      <xdr:nvPicPr>
        <xdr:cNvPr id="45057" name="Picture 1"/>
        <xdr:cNvPicPr>
          <a:picLocks noChangeAspect="1" noChangeArrowheads="1"/>
        </xdr:cNvPicPr>
      </xdr:nvPicPr>
      <xdr:blipFill>
        <a:blip r:embed="rId1" cstate="print"/>
        <a:srcRect/>
        <a:stretch>
          <a:fillRect/>
        </a:stretch>
      </xdr:blipFill>
      <xdr:spPr>
        <a:xfrm>
          <a:off x="457200" y="57150"/>
          <a:ext cx="996315" cy="809625"/>
        </a:xfrm>
        <a:prstGeom prst="rect">
          <a:avLst/>
        </a:prstGeom>
        <a:noFill/>
        <a:ln w="9525">
          <a:noFill/>
          <a:miter lim="800000"/>
          <a:headEnd/>
          <a:tailEnd/>
        </a:ln>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57150</xdr:rowOff>
    </xdr:from>
    <xdr:to>
      <xdr:col>3</xdr:col>
      <xdr:colOff>219075</xdr:colOff>
      <xdr:row>3</xdr:row>
      <xdr:rowOff>0</xdr:rowOff>
    </xdr:to>
    <xdr:pic>
      <xdr:nvPicPr>
        <xdr:cNvPr id="46081" name="Picture 1"/>
        <xdr:cNvPicPr>
          <a:picLocks noChangeAspect="1" noChangeArrowheads="1"/>
        </xdr:cNvPicPr>
      </xdr:nvPicPr>
      <xdr:blipFill>
        <a:blip r:embed="rId1" cstate="print"/>
        <a:srcRect/>
        <a:stretch>
          <a:fillRect/>
        </a:stretch>
      </xdr:blipFill>
      <xdr:spPr>
        <a:xfrm>
          <a:off x="465455" y="57150"/>
          <a:ext cx="997585" cy="800100"/>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UA\Desktop\20200702&#24503;&#32724;&#24247;&#20035;&#36842;&#20811;\&#33337;&#21592;&#21517;&#21333;.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Sheet2"/>
    </sheetNames>
    <sheetDataSet>
      <sheetData sheetId="0" refreshError="1"/>
      <sheetData sheetId="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ctrlProp" Target="../ctrlProps/ctrlProp7.xml"/><Relationship Id="rId8" Type="http://schemas.openxmlformats.org/officeDocument/2006/relationships/ctrlProp" Target="../ctrlProps/ctrlProp6.xml"/><Relationship Id="rId7" Type="http://schemas.openxmlformats.org/officeDocument/2006/relationships/ctrlProp" Target="../ctrlProps/ctrlProp5.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 Id="rId3" Type="http://schemas.openxmlformats.org/officeDocument/2006/relationships/ctrlProp" Target="../ctrlProps/ctrlProp1.xml"/><Relationship Id="rId2" Type="http://schemas.openxmlformats.org/officeDocument/2006/relationships/vmlDrawing" Target="../drawings/vmlDrawing1.vml"/><Relationship Id="rId10" Type="http://schemas.openxmlformats.org/officeDocument/2006/relationships/ctrlProp" Target="../ctrlProps/ctrlProp8.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 Type="http://schemas.openxmlformats.org/officeDocument/2006/relationships/ctrlProp" Target="../ctrlProps/ctrlProp14.xml"/><Relationship Id="rId8" Type="http://schemas.openxmlformats.org/officeDocument/2006/relationships/ctrlProp" Target="../ctrlProps/ctrlProp13.xml"/><Relationship Id="rId7" Type="http://schemas.openxmlformats.org/officeDocument/2006/relationships/ctrlProp" Target="../ctrlProps/ctrlProp12.xml"/><Relationship Id="rId6" Type="http://schemas.openxmlformats.org/officeDocument/2006/relationships/ctrlProp" Target="../ctrlProps/ctrlProp11.xml"/><Relationship Id="rId5" Type="http://schemas.openxmlformats.org/officeDocument/2006/relationships/ctrlProp" Target="../ctrlProps/ctrlProp10.xml"/><Relationship Id="rId4" Type="http://schemas.openxmlformats.org/officeDocument/2006/relationships/ctrlProp" Target="../ctrlProps/ctrlProp9.xml"/><Relationship Id="rId3" Type="http://schemas.openxmlformats.org/officeDocument/2006/relationships/vmlDrawing" Target="../drawings/vmlDrawing2.vml"/><Relationship Id="rId2" Type="http://schemas.openxmlformats.org/officeDocument/2006/relationships/drawing" Target="../drawings/drawing2.xml"/><Relationship Id="rId11" Type="http://schemas.openxmlformats.org/officeDocument/2006/relationships/ctrlProp" Target="../ctrlProps/ctrlProp16.xml"/><Relationship Id="rId10" Type="http://schemas.openxmlformats.org/officeDocument/2006/relationships/ctrlProp" Target="../ctrlProps/ctrlProp15.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4" Type="http://schemas.openxmlformats.org/officeDocument/2006/relationships/ctrlProp" Target="../ctrlProps/ctrlProp18.xml"/><Relationship Id="rId3" Type="http://schemas.openxmlformats.org/officeDocument/2006/relationships/ctrlProp" Target="../ctrlProps/ctrlProp1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4" Type="http://schemas.openxmlformats.org/officeDocument/2006/relationships/ctrlProp" Target="../ctrlProps/ctrlProp20.xml"/><Relationship Id="rId3" Type="http://schemas.openxmlformats.org/officeDocument/2006/relationships/ctrlProp" Target="../ctrlProps/ctrlProp19.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6" Type="http://schemas.openxmlformats.org/officeDocument/2006/relationships/ctrlProp" Target="../ctrlProps/ctrlProp24.xml"/><Relationship Id="rId5" Type="http://schemas.openxmlformats.org/officeDocument/2006/relationships/ctrlProp" Target="../ctrlProps/ctrlProp23.xml"/><Relationship Id="rId4" Type="http://schemas.openxmlformats.org/officeDocument/2006/relationships/ctrlProp" Target="../ctrlProps/ctrlProp22.xml"/><Relationship Id="rId3" Type="http://schemas.openxmlformats.org/officeDocument/2006/relationships/ctrlProp" Target="../ctrlProps/ctrlProp21.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6" Type="http://schemas.openxmlformats.org/officeDocument/2006/relationships/ctrlProp" Target="../ctrlProps/ctrlProp28.xml"/><Relationship Id="rId5" Type="http://schemas.openxmlformats.org/officeDocument/2006/relationships/ctrlProp" Target="../ctrlProps/ctrlProp27.xml"/><Relationship Id="rId4" Type="http://schemas.openxmlformats.org/officeDocument/2006/relationships/ctrlProp" Target="../ctrlProps/ctrlProp26.xml"/><Relationship Id="rId3" Type="http://schemas.openxmlformats.org/officeDocument/2006/relationships/ctrlProp" Target="../ctrlProps/ctrlProp25.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4" Type="http://schemas.openxmlformats.org/officeDocument/2006/relationships/ctrlProp" Target="../ctrlProps/ctrlProp30.xml"/><Relationship Id="rId3" Type="http://schemas.openxmlformats.org/officeDocument/2006/relationships/ctrlProp" Target="../ctrlProps/ctrlProp29.xml"/><Relationship Id="rId2" Type="http://schemas.openxmlformats.org/officeDocument/2006/relationships/vmlDrawing" Target="../drawings/vmlDrawing10.vml"/><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9" Type="http://schemas.openxmlformats.org/officeDocument/2006/relationships/ctrlProp" Target="../ctrlProps/ctrlProp37.xml"/><Relationship Id="rId8" Type="http://schemas.openxmlformats.org/officeDocument/2006/relationships/ctrlProp" Target="../ctrlProps/ctrlProp36.xml"/><Relationship Id="rId7" Type="http://schemas.openxmlformats.org/officeDocument/2006/relationships/ctrlProp" Target="../ctrlProps/ctrlProp35.xml"/><Relationship Id="rId6" Type="http://schemas.openxmlformats.org/officeDocument/2006/relationships/ctrlProp" Target="../ctrlProps/ctrlProp34.xml"/><Relationship Id="rId5" Type="http://schemas.openxmlformats.org/officeDocument/2006/relationships/ctrlProp" Target="../ctrlProps/ctrlProp33.xml"/><Relationship Id="rId41" Type="http://schemas.openxmlformats.org/officeDocument/2006/relationships/ctrlProp" Target="../ctrlProps/ctrlProp69.xml"/><Relationship Id="rId40" Type="http://schemas.openxmlformats.org/officeDocument/2006/relationships/ctrlProp" Target="../ctrlProps/ctrlProp68.xml"/><Relationship Id="rId4" Type="http://schemas.openxmlformats.org/officeDocument/2006/relationships/ctrlProp" Target="../ctrlProps/ctrlProp32.xml"/><Relationship Id="rId39" Type="http://schemas.openxmlformats.org/officeDocument/2006/relationships/ctrlProp" Target="../ctrlProps/ctrlProp67.xml"/><Relationship Id="rId38" Type="http://schemas.openxmlformats.org/officeDocument/2006/relationships/ctrlProp" Target="../ctrlProps/ctrlProp66.xml"/><Relationship Id="rId37" Type="http://schemas.openxmlformats.org/officeDocument/2006/relationships/ctrlProp" Target="../ctrlProps/ctrlProp65.xml"/><Relationship Id="rId36" Type="http://schemas.openxmlformats.org/officeDocument/2006/relationships/ctrlProp" Target="../ctrlProps/ctrlProp64.xml"/><Relationship Id="rId35" Type="http://schemas.openxmlformats.org/officeDocument/2006/relationships/ctrlProp" Target="../ctrlProps/ctrlProp63.xml"/><Relationship Id="rId34" Type="http://schemas.openxmlformats.org/officeDocument/2006/relationships/ctrlProp" Target="../ctrlProps/ctrlProp62.xml"/><Relationship Id="rId33" Type="http://schemas.openxmlformats.org/officeDocument/2006/relationships/ctrlProp" Target="../ctrlProps/ctrlProp61.xml"/><Relationship Id="rId32" Type="http://schemas.openxmlformats.org/officeDocument/2006/relationships/ctrlProp" Target="../ctrlProps/ctrlProp60.xml"/><Relationship Id="rId31" Type="http://schemas.openxmlformats.org/officeDocument/2006/relationships/ctrlProp" Target="../ctrlProps/ctrlProp59.xml"/><Relationship Id="rId30" Type="http://schemas.openxmlformats.org/officeDocument/2006/relationships/ctrlProp" Target="../ctrlProps/ctrlProp58.xml"/><Relationship Id="rId3" Type="http://schemas.openxmlformats.org/officeDocument/2006/relationships/ctrlProp" Target="../ctrlProps/ctrlProp31.xml"/><Relationship Id="rId29" Type="http://schemas.openxmlformats.org/officeDocument/2006/relationships/ctrlProp" Target="../ctrlProps/ctrlProp57.xml"/><Relationship Id="rId28" Type="http://schemas.openxmlformats.org/officeDocument/2006/relationships/ctrlProp" Target="../ctrlProps/ctrlProp56.xml"/><Relationship Id="rId27" Type="http://schemas.openxmlformats.org/officeDocument/2006/relationships/ctrlProp" Target="../ctrlProps/ctrlProp55.xml"/><Relationship Id="rId26" Type="http://schemas.openxmlformats.org/officeDocument/2006/relationships/ctrlProp" Target="../ctrlProps/ctrlProp54.xml"/><Relationship Id="rId25" Type="http://schemas.openxmlformats.org/officeDocument/2006/relationships/ctrlProp" Target="../ctrlProps/ctrlProp53.xml"/><Relationship Id="rId24" Type="http://schemas.openxmlformats.org/officeDocument/2006/relationships/ctrlProp" Target="../ctrlProps/ctrlProp52.xml"/><Relationship Id="rId23" Type="http://schemas.openxmlformats.org/officeDocument/2006/relationships/ctrlProp" Target="../ctrlProps/ctrlProp51.xml"/><Relationship Id="rId22" Type="http://schemas.openxmlformats.org/officeDocument/2006/relationships/ctrlProp" Target="../ctrlProps/ctrlProp50.xml"/><Relationship Id="rId21" Type="http://schemas.openxmlformats.org/officeDocument/2006/relationships/ctrlProp" Target="../ctrlProps/ctrlProp49.xml"/><Relationship Id="rId20" Type="http://schemas.openxmlformats.org/officeDocument/2006/relationships/ctrlProp" Target="../ctrlProps/ctrlProp48.xml"/><Relationship Id="rId2" Type="http://schemas.openxmlformats.org/officeDocument/2006/relationships/vmlDrawing" Target="../drawings/vmlDrawing11.vml"/><Relationship Id="rId19" Type="http://schemas.openxmlformats.org/officeDocument/2006/relationships/ctrlProp" Target="../ctrlProps/ctrlProp47.xml"/><Relationship Id="rId18" Type="http://schemas.openxmlformats.org/officeDocument/2006/relationships/ctrlProp" Target="../ctrlProps/ctrlProp46.xml"/><Relationship Id="rId17" Type="http://schemas.openxmlformats.org/officeDocument/2006/relationships/ctrlProp" Target="../ctrlProps/ctrlProp45.xml"/><Relationship Id="rId16" Type="http://schemas.openxmlformats.org/officeDocument/2006/relationships/ctrlProp" Target="../ctrlProps/ctrlProp44.xml"/><Relationship Id="rId15" Type="http://schemas.openxmlformats.org/officeDocument/2006/relationships/ctrlProp" Target="../ctrlProps/ctrlProp43.xml"/><Relationship Id="rId14" Type="http://schemas.openxmlformats.org/officeDocument/2006/relationships/ctrlProp" Target="../ctrlProps/ctrlProp42.xml"/><Relationship Id="rId13" Type="http://schemas.openxmlformats.org/officeDocument/2006/relationships/ctrlProp" Target="../ctrlProps/ctrlProp41.xml"/><Relationship Id="rId12" Type="http://schemas.openxmlformats.org/officeDocument/2006/relationships/ctrlProp" Target="../ctrlProps/ctrlProp40.xml"/><Relationship Id="rId11" Type="http://schemas.openxmlformats.org/officeDocument/2006/relationships/ctrlProp" Target="../ctrlProps/ctrlProp39.xml"/><Relationship Id="rId10" Type="http://schemas.openxmlformats.org/officeDocument/2006/relationships/ctrlProp" Target="../ctrlProps/ctrlProp38.xml"/><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9" Type="http://schemas.openxmlformats.org/officeDocument/2006/relationships/ctrlProp" Target="../ctrlProps/ctrlProp76.xml"/><Relationship Id="rId8" Type="http://schemas.openxmlformats.org/officeDocument/2006/relationships/ctrlProp" Target="../ctrlProps/ctrlProp75.xml"/><Relationship Id="rId7" Type="http://schemas.openxmlformats.org/officeDocument/2006/relationships/ctrlProp" Target="../ctrlProps/ctrlProp74.xml"/><Relationship Id="rId6" Type="http://schemas.openxmlformats.org/officeDocument/2006/relationships/ctrlProp" Target="../ctrlProps/ctrlProp73.xml"/><Relationship Id="rId5" Type="http://schemas.openxmlformats.org/officeDocument/2006/relationships/ctrlProp" Target="../ctrlProps/ctrlProp72.xml"/><Relationship Id="rId41" Type="http://schemas.openxmlformats.org/officeDocument/2006/relationships/ctrlProp" Target="../ctrlProps/ctrlProp108.xml"/><Relationship Id="rId40" Type="http://schemas.openxmlformats.org/officeDocument/2006/relationships/ctrlProp" Target="../ctrlProps/ctrlProp107.xml"/><Relationship Id="rId4" Type="http://schemas.openxmlformats.org/officeDocument/2006/relationships/ctrlProp" Target="../ctrlProps/ctrlProp71.xml"/><Relationship Id="rId39" Type="http://schemas.openxmlformats.org/officeDocument/2006/relationships/ctrlProp" Target="../ctrlProps/ctrlProp106.xml"/><Relationship Id="rId38" Type="http://schemas.openxmlformats.org/officeDocument/2006/relationships/ctrlProp" Target="../ctrlProps/ctrlProp105.xml"/><Relationship Id="rId37" Type="http://schemas.openxmlformats.org/officeDocument/2006/relationships/ctrlProp" Target="../ctrlProps/ctrlProp104.xml"/><Relationship Id="rId36" Type="http://schemas.openxmlformats.org/officeDocument/2006/relationships/ctrlProp" Target="../ctrlProps/ctrlProp103.xml"/><Relationship Id="rId35" Type="http://schemas.openxmlformats.org/officeDocument/2006/relationships/ctrlProp" Target="../ctrlProps/ctrlProp102.xml"/><Relationship Id="rId34" Type="http://schemas.openxmlformats.org/officeDocument/2006/relationships/ctrlProp" Target="../ctrlProps/ctrlProp101.xml"/><Relationship Id="rId33" Type="http://schemas.openxmlformats.org/officeDocument/2006/relationships/ctrlProp" Target="../ctrlProps/ctrlProp100.xml"/><Relationship Id="rId32" Type="http://schemas.openxmlformats.org/officeDocument/2006/relationships/ctrlProp" Target="../ctrlProps/ctrlProp99.xml"/><Relationship Id="rId31" Type="http://schemas.openxmlformats.org/officeDocument/2006/relationships/ctrlProp" Target="../ctrlProps/ctrlProp98.xml"/><Relationship Id="rId30" Type="http://schemas.openxmlformats.org/officeDocument/2006/relationships/ctrlProp" Target="../ctrlProps/ctrlProp97.xml"/><Relationship Id="rId3" Type="http://schemas.openxmlformats.org/officeDocument/2006/relationships/ctrlProp" Target="../ctrlProps/ctrlProp70.xml"/><Relationship Id="rId29" Type="http://schemas.openxmlformats.org/officeDocument/2006/relationships/ctrlProp" Target="../ctrlProps/ctrlProp96.xml"/><Relationship Id="rId28" Type="http://schemas.openxmlformats.org/officeDocument/2006/relationships/ctrlProp" Target="../ctrlProps/ctrlProp95.xml"/><Relationship Id="rId27" Type="http://schemas.openxmlformats.org/officeDocument/2006/relationships/ctrlProp" Target="../ctrlProps/ctrlProp94.xml"/><Relationship Id="rId26" Type="http://schemas.openxmlformats.org/officeDocument/2006/relationships/ctrlProp" Target="../ctrlProps/ctrlProp93.xml"/><Relationship Id="rId25" Type="http://schemas.openxmlformats.org/officeDocument/2006/relationships/ctrlProp" Target="../ctrlProps/ctrlProp92.xml"/><Relationship Id="rId24" Type="http://schemas.openxmlformats.org/officeDocument/2006/relationships/ctrlProp" Target="../ctrlProps/ctrlProp91.xml"/><Relationship Id="rId23" Type="http://schemas.openxmlformats.org/officeDocument/2006/relationships/ctrlProp" Target="../ctrlProps/ctrlProp90.xml"/><Relationship Id="rId22" Type="http://schemas.openxmlformats.org/officeDocument/2006/relationships/ctrlProp" Target="../ctrlProps/ctrlProp89.xml"/><Relationship Id="rId21" Type="http://schemas.openxmlformats.org/officeDocument/2006/relationships/ctrlProp" Target="../ctrlProps/ctrlProp88.xml"/><Relationship Id="rId20" Type="http://schemas.openxmlformats.org/officeDocument/2006/relationships/ctrlProp" Target="../ctrlProps/ctrlProp87.xml"/><Relationship Id="rId2" Type="http://schemas.openxmlformats.org/officeDocument/2006/relationships/vmlDrawing" Target="../drawings/vmlDrawing12.vml"/><Relationship Id="rId19" Type="http://schemas.openxmlformats.org/officeDocument/2006/relationships/ctrlProp" Target="../ctrlProps/ctrlProp86.xml"/><Relationship Id="rId18" Type="http://schemas.openxmlformats.org/officeDocument/2006/relationships/ctrlProp" Target="../ctrlProps/ctrlProp85.xml"/><Relationship Id="rId17" Type="http://schemas.openxmlformats.org/officeDocument/2006/relationships/ctrlProp" Target="../ctrlProps/ctrlProp84.xml"/><Relationship Id="rId16" Type="http://schemas.openxmlformats.org/officeDocument/2006/relationships/ctrlProp" Target="../ctrlProps/ctrlProp83.xml"/><Relationship Id="rId15" Type="http://schemas.openxmlformats.org/officeDocument/2006/relationships/ctrlProp" Target="../ctrlProps/ctrlProp82.xml"/><Relationship Id="rId14" Type="http://schemas.openxmlformats.org/officeDocument/2006/relationships/ctrlProp" Target="../ctrlProps/ctrlProp81.xml"/><Relationship Id="rId13" Type="http://schemas.openxmlformats.org/officeDocument/2006/relationships/ctrlProp" Target="../ctrlProps/ctrlProp80.xml"/><Relationship Id="rId12" Type="http://schemas.openxmlformats.org/officeDocument/2006/relationships/ctrlProp" Target="../ctrlProps/ctrlProp79.xml"/><Relationship Id="rId11" Type="http://schemas.openxmlformats.org/officeDocument/2006/relationships/ctrlProp" Target="../ctrlProps/ctrlProp78.xml"/><Relationship Id="rId10" Type="http://schemas.openxmlformats.org/officeDocument/2006/relationships/ctrlProp" Target="../ctrlProps/ctrlProp77.xml"/><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2:I27"/>
  <sheetViews>
    <sheetView topLeftCell="A5" workbookViewId="0">
      <selection activeCell="N15" sqref="N15"/>
    </sheetView>
  </sheetViews>
  <sheetFormatPr defaultColWidth="9.88333333333333" defaultRowHeight="24" customHeight="1"/>
  <cols>
    <col min="1" max="16384" width="9.88333333333333" style="1200"/>
  </cols>
  <sheetData>
    <row r="2" ht="9" customHeight="1" spans="1:9">
      <c r="A2" s="1201"/>
      <c r="B2" s="1202"/>
      <c r="C2" s="1202"/>
      <c r="D2" s="1202"/>
      <c r="E2" s="1202"/>
      <c r="F2" s="1202"/>
      <c r="G2" s="1202"/>
      <c r="H2" s="1202"/>
      <c r="I2" s="1203"/>
    </row>
    <row r="3" customHeight="1" spans="1:9">
      <c r="A3" s="1204"/>
      <c r="B3" s="1205"/>
      <c r="C3" s="1205"/>
      <c r="D3" s="1205"/>
      <c r="E3" s="1119" t="s">
        <v>0</v>
      </c>
      <c r="F3" s="1205"/>
      <c r="G3" s="1205"/>
      <c r="H3" s="1205"/>
      <c r="I3" s="1206"/>
    </row>
    <row r="4" ht="9" customHeight="1" spans="1:9">
      <c r="A4" s="1204"/>
      <c r="B4" s="1205"/>
      <c r="C4" s="1205"/>
      <c r="D4" s="1205"/>
      <c r="E4" s="1205"/>
      <c r="F4" s="1205"/>
      <c r="G4" s="1205"/>
      <c r="H4" s="1205"/>
      <c r="I4" s="1206"/>
    </row>
    <row r="5" customHeight="1" spans="1:9">
      <c r="A5" s="1204"/>
      <c r="B5" s="1205"/>
      <c r="C5" s="1205"/>
      <c r="D5" s="1205"/>
      <c r="E5" s="1119" t="s">
        <v>1</v>
      </c>
      <c r="F5" s="1205"/>
      <c r="G5" s="1205"/>
      <c r="H5" s="1205"/>
      <c r="I5" s="1206"/>
    </row>
    <row r="6" customHeight="1" spans="1:9">
      <c r="A6" s="1204"/>
      <c r="B6" s="1205"/>
      <c r="C6" s="1205"/>
      <c r="D6" s="1205"/>
      <c r="E6" s="1205"/>
      <c r="F6" s="1205"/>
      <c r="G6" s="1205"/>
      <c r="H6" s="1205"/>
      <c r="I6" s="1206"/>
    </row>
    <row r="7" customHeight="1" spans="1:9">
      <c r="A7" s="1204"/>
      <c r="B7" s="1205"/>
      <c r="C7" s="1205"/>
      <c r="D7" s="1205"/>
      <c r="E7" s="1205"/>
      <c r="F7" s="1205"/>
      <c r="G7" s="1205"/>
      <c r="H7" s="1205"/>
      <c r="I7" s="1206"/>
    </row>
    <row r="8" customHeight="1" spans="1:9">
      <c r="A8" s="1204"/>
      <c r="B8" s="1205"/>
      <c r="C8" s="1205"/>
      <c r="E8" s="1207" t="s">
        <v>2</v>
      </c>
      <c r="F8" s="1208" t="str">
        <f>'Gen Inb'!I10</f>
        <v>IMO:1234567</v>
      </c>
      <c r="G8" s="1208"/>
      <c r="H8" s="1205"/>
      <c r="I8" s="1206"/>
    </row>
    <row r="9" customHeight="1" spans="1:9">
      <c r="A9" s="1204"/>
      <c r="B9" s="1205"/>
      <c r="C9" s="1205"/>
      <c r="D9" s="1205"/>
      <c r="E9" s="1205"/>
      <c r="F9" s="1205"/>
      <c r="G9" s="1205"/>
      <c r="H9" s="1205"/>
      <c r="I9" s="1206"/>
    </row>
    <row r="10" customHeight="1" spans="1:9">
      <c r="A10" s="1204"/>
      <c r="B10" s="1205"/>
      <c r="C10" s="1205"/>
      <c r="D10" s="1205"/>
      <c r="E10" s="1205"/>
      <c r="F10" s="1205"/>
      <c r="G10" s="1205"/>
      <c r="H10" s="1205"/>
      <c r="I10" s="1206"/>
    </row>
    <row r="11" customHeight="1" spans="1:9">
      <c r="A11" s="1204"/>
      <c r="B11" s="1205"/>
      <c r="C11" s="1205"/>
      <c r="D11" s="1205"/>
      <c r="E11" s="1205"/>
      <c r="F11" s="1205"/>
      <c r="G11" s="1205"/>
      <c r="H11" s="1205"/>
      <c r="I11" s="1206"/>
    </row>
    <row r="12" customHeight="1" spans="1:9">
      <c r="A12" s="1204"/>
      <c r="B12" s="1205"/>
      <c r="C12" s="1205"/>
      <c r="D12" s="1205"/>
      <c r="E12" s="1205"/>
      <c r="F12" s="1205"/>
      <c r="G12" s="1205"/>
      <c r="H12" s="1205"/>
      <c r="I12" s="1206"/>
    </row>
    <row r="13" customHeight="1" spans="1:9">
      <c r="A13" s="1204"/>
      <c r="B13" s="1205"/>
      <c r="C13" s="1205"/>
      <c r="D13" s="1205"/>
      <c r="E13" s="1205"/>
      <c r="F13" s="1205"/>
      <c r="G13" s="1205"/>
      <c r="H13" s="1205"/>
      <c r="I13" s="1206"/>
    </row>
    <row r="14" customHeight="1" spans="1:9">
      <c r="A14" s="1204"/>
      <c r="B14" s="1205"/>
      <c r="C14" s="1205"/>
      <c r="D14" s="1205"/>
      <c r="E14" s="1205"/>
      <c r="F14" s="1205"/>
      <c r="G14" s="1205"/>
      <c r="H14" s="1205"/>
      <c r="I14" s="1206"/>
    </row>
    <row r="15" customHeight="1" spans="1:9">
      <c r="A15" s="1204"/>
      <c r="B15" s="1205"/>
      <c r="C15" s="1205"/>
      <c r="D15" s="1205"/>
      <c r="E15" s="1205"/>
      <c r="F15" s="1205"/>
      <c r="G15" s="1205"/>
      <c r="H15" s="1205"/>
      <c r="I15" s="1206"/>
    </row>
    <row r="16" customHeight="1" spans="1:9">
      <c r="A16" s="1204"/>
      <c r="B16" s="1205"/>
      <c r="C16" s="1205"/>
      <c r="D16" s="1205"/>
      <c r="E16" s="1205"/>
      <c r="F16" s="1205"/>
      <c r="G16" s="1205"/>
      <c r="H16" s="1205"/>
      <c r="I16" s="1206"/>
    </row>
    <row r="17" customHeight="1" spans="1:9">
      <c r="A17" s="1204"/>
      <c r="B17" s="1205"/>
      <c r="C17" s="1205"/>
      <c r="D17" s="1205"/>
      <c r="E17" s="1205"/>
      <c r="F17" s="1205"/>
      <c r="G17" s="1205"/>
      <c r="H17" s="1205"/>
      <c r="I17" s="1206"/>
    </row>
    <row r="18" ht="34.5" customHeight="1" spans="1:9">
      <c r="A18" s="1204"/>
      <c r="B18" s="1205"/>
      <c r="D18" s="1209" t="s">
        <v>3</v>
      </c>
      <c r="E18" s="1210" t="str">
        <f>'Gen Inb'!I6</f>
        <v>环球01 </v>
      </c>
      <c r="F18" s="1210"/>
      <c r="G18" s="1210"/>
      <c r="H18" s="1205"/>
      <c r="I18" s="1206"/>
    </row>
    <row r="19" ht="34.5" customHeight="1" spans="1:9">
      <c r="A19" s="1204"/>
      <c r="B19" s="1205"/>
      <c r="D19" s="1209" t="s">
        <v>4</v>
      </c>
      <c r="E19" s="1210" t="str">
        <f>'Gen Inb'!I7</f>
        <v>GLOBAO 01</v>
      </c>
      <c r="F19" s="1210"/>
      <c r="G19" s="1210"/>
      <c r="H19" s="1205"/>
      <c r="I19" s="1206"/>
    </row>
    <row r="20" ht="34.5" customHeight="1" spans="1:9">
      <c r="A20" s="1204"/>
      <c r="B20" s="1205"/>
      <c r="D20" s="1209" t="s">
        <v>5</v>
      </c>
      <c r="E20" s="1210" t="str">
        <f>'Gen Inb'!F8</f>
        <v>利比里亚</v>
      </c>
      <c r="F20" s="1210"/>
      <c r="G20" s="1210"/>
      <c r="H20" s="1205"/>
      <c r="I20" s="1206"/>
    </row>
    <row r="21" ht="34.5" customHeight="1" spans="1:9">
      <c r="A21" s="1204"/>
      <c r="B21" s="1205"/>
      <c r="D21" s="1209" t="s">
        <v>6</v>
      </c>
      <c r="E21" s="1210" t="str">
        <f>'IMO Gen Inb'!I21</f>
        <v>船公司：东方致远航运有限公司</v>
      </c>
      <c r="F21" s="1210"/>
      <c r="G21" s="1210"/>
      <c r="H21" s="1205"/>
      <c r="I21" s="1206"/>
    </row>
    <row r="22" ht="34.5" customHeight="1" spans="1:9">
      <c r="A22" s="1204"/>
      <c r="B22" s="1205"/>
      <c r="D22" s="1209" t="s">
        <v>7</v>
      </c>
      <c r="E22" s="1211">
        <f>'Gen Inb'!X6</f>
        <v>46219</v>
      </c>
      <c r="F22" s="1210"/>
      <c r="G22" s="1210"/>
      <c r="H22" s="1205"/>
      <c r="I22" s="1206"/>
    </row>
    <row r="23" ht="34.5" customHeight="1" spans="1:9">
      <c r="A23" s="1204"/>
      <c r="B23" s="1205"/>
      <c r="D23" s="1209" t="s">
        <v>8</v>
      </c>
      <c r="E23" s="1211">
        <f>'Gen Outb'!X6</f>
        <v>44160</v>
      </c>
      <c r="F23" s="1210"/>
      <c r="G23" s="1210"/>
      <c r="H23" s="1205"/>
      <c r="I23" s="1206"/>
    </row>
    <row r="24" customHeight="1" spans="1:9">
      <c r="A24" s="1204"/>
      <c r="B24" s="1205"/>
      <c r="C24" s="1205"/>
      <c r="D24" s="1205"/>
      <c r="E24" s="1205"/>
      <c r="F24" s="1205"/>
      <c r="G24" s="1205"/>
      <c r="H24" s="1205"/>
      <c r="I24" s="1206"/>
    </row>
    <row r="25" customHeight="1" spans="1:9">
      <c r="A25" s="1204"/>
      <c r="B25" s="1205"/>
      <c r="C25" s="1205"/>
      <c r="D25" s="1205"/>
      <c r="E25" s="1205"/>
      <c r="F25" s="1205"/>
      <c r="G25" s="1205"/>
      <c r="H25" s="1205"/>
      <c r="I25" s="1206"/>
    </row>
    <row r="26" ht="33" customHeight="1" spans="1:9">
      <c r="A26" s="1204"/>
      <c r="B26" s="1205"/>
      <c r="C26" s="1205"/>
      <c r="D26" s="1205"/>
      <c r="E26" s="1205"/>
      <c r="F26" s="1205"/>
      <c r="G26" s="1205"/>
      <c r="H26" s="1205"/>
      <c r="I26" s="1206"/>
    </row>
    <row r="27" ht="39" customHeight="1" spans="1:9">
      <c r="A27" s="1212"/>
      <c r="B27" s="1213"/>
      <c r="C27" s="1213"/>
      <c r="D27" s="1213"/>
      <c r="E27" s="1213"/>
      <c r="F27" s="1213"/>
      <c r="G27" s="1213"/>
      <c r="H27" s="1213"/>
      <c r="I27" s="1214"/>
    </row>
  </sheetData>
  <mergeCells count="7">
    <mergeCell ref="F8:G8"/>
    <mergeCell ref="E18:G18"/>
    <mergeCell ref="E19:G19"/>
    <mergeCell ref="E20:G20"/>
    <mergeCell ref="E21:G21"/>
    <mergeCell ref="E22:G22"/>
    <mergeCell ref="E23:G23"/>
  </mergeCells>
  <printOptions horizontalCentered="1"/>
  <pageMargins left="0.707638888888889" right="0.707638888888889" top="0.747916666666667" bottom="0.747916666666667" header="0.313888888888889" footer="0.313888888888889"/>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J23"/>
  <sheetViews>
    <sheetView workbookViewId="0">
      <selection activeCell="D12" sqref="D12:F12"/>
    </sheetView>
  </sheetViews>
  <sheetFormatPr defaultColWidth="9.88333333333333" defaultRowHeight="24" customHeight="1"/>
  <cols>
    <col min="1" max="1" width="1.44166666666667" style="1125" customWidth="1"/>
    <col min="2" max="4" width="12.2166666666667" style="1125" customWidth="1"/>
    <col min="5" max="6" width="6.10833333333333" style="1125" customWidth="1"/>
    <col min="7" max="9" width="12.2166666666667" style="1125" customWidth="1"/>
    <col min="10" max="10" width="1.66666666666667" style="1125" customWidth="1"/>
    <col min="11" max="16384" width="9.88333333333333" style="1125"/>
  </cols>
  <sheetData>
    <row r="2" ht="9" customHeight="1" spans="1:10">
      <c r="A2" s="1126"/>
      <c r="B2" s="1127"/>
      <c r="C2" s="1127"/>
      <c r="D2" s="1127"/>
      <c r="E2" s="1127"/>
      <c r="F2" s="1127"/>
      <c r="G2" s="1127"/>
      <c r="H2" s="1127"/>
      <c r="I2" s="1127"/>
      <c r="J2" s="1128"/>
    </row>
    <row r="3" customHeight="1" spans="1:10">
      <c r="A3" s="1129"/>
      <c r="B3" s="1130"/>
      <c r="C3" s="1130"/>
      <c r="D3" s="1119" t="s">
        <v>9</v>
      </c>
      <c r="E3" s="1119"/>
      <c r="F3" s="1119"/>
      <c r="G3" s="1119"/>
      <c r="H3" s="1130"/>
      <c r="I3" s="1130"/>
      <c r="J3" s="1131"/>
    </row>
    <row r="4" ht="9" customHeight="1" spans="1:10">
      <c r="A4" s="1129"/>
      <c r="B4" s="1130"/>
      <c r="C4" s="1130"/>
      <c r="D4" s="1130"/>
      <c r="E4" s="1119"/>
      <c r="F4" s="1130"/>
      <c r="G4" s="1130"/>
      <c r="H4" s="1130"/>
      <c r="I4" s="1130"/>
      <c r="J4" s="1131"/>
    </row>
    <row r="5" ht="34.5" customHeight="1" spans="1:10">
      <c r="A5" s="1129"/>
      <c r="B5" s="1142" t="s">
        <v>10</v>
      </c>
      <c r="C5" s="1138" t="s">
        <v>11</v>
      </c>
      <c r="D5" s="1188"/>
      <c r="E5" s="1189" t="s">
        <v>12</v>
      </c>
      <c r="F5" s="1189"/>
      <c r="G5" s="1136" t="s">
        <v>13</v>
      </c>
      <c r="H5" s="1134" t="str">
        <f>'Gen Inb'!W8</f>
        <v>俄罗斯东方港</v>
      </c>
      <c r="I5" s="1137"/>
      <c r="J5" s="1131"/>
    </row>
    <row r="6" ht="34.5" customHeight="1" spans="1:10">
      <c r="A6" s="1129"/>
      <c r="B6" s="1147"/>
      <c r="C6" s="1138" t="s">
        <v>14</v>
      </c>
      <c r="D6" s="1188"/>
      <c r="E6" s="1140" t="str">
        <f>'Gen Inb'!W8</f>
        <v>俄罗斯东方港</v>
      </c>
      <c r="F6" s="1140"/>
      <c r="G6" s="1136" t="s">
        <v>13</v>
      </c>
      <c r="H6" s="1134" t="str">
        <f>'Gen Inb'!S6</f>
        <v>南沙新港</v>
      </c>
      <c r="I6" s="1137"/>
      <c r="J6" s="1131"/>
    </row>
    <row r="7" ht="34.5" customHeight="1" spans="1:10">
      <c r="A7" s="1129"/>
      <c r="B7" s="1138" t="s">
        <v>15</v>
      </c>
      <c r="C7" s="1138" t="s">
        <v>16</v>
      </c>
      <c r="D7" s="1139">
        <f>COUNTIF('Crew Inb'!G11:G30,"Chinese")</f>
        <v>0</v>
      </c>
      <c r="E7" s="1140"/>
      <c r="F7" s="1141"/>
      <c r="G7" s="1138" t="s">
        <v>17</v>
      </c>
      <c r="H7" s="1139">
        <f>COUNTA('Crew Inb'!C11:C30)-COUNTIF('Crew Inb'!G11:G30,"Chinese")</f>
        <v>20</v>
      </c>
      <c r="I7" s="1141"/>
      <c r="J7" s="1131"/>
    </row>
    <row r="8" ht="34.5" customHeight="1" spans="1:10">
      <c r="A8" s="1129"/>
      <c r="B8" s="1142" t="s">
        <v>18</v>
      </c>
      <c r="C8" s="1142" t="s">
        <v>19</v>
      </c>
      <c r="D8" s="1143">
        <v>20</v>
      </c>
      <c r="E8" s="1144">
        <v>40</v>
      </c>
      <c r="F8" s="1145"/>
      <c r="G8" s="1142" t="s">
        <v>20</v>
      </c>
      <c r="H8" s="1143">
        <v>20</v>
      </c>
      <c r="I8" s="1143">
        <v>40</v>
      </c>
      <c r="J8" s="1131"/>
    </row>
    <row r="9" ht="34.5" customHeight="1" spans="1:10">
      <c r="A9" s="1129"/>
      <c r="B9" s="1146"/>
      <c r="C9" s="1147"/>
      <c r="D9" s="1148">
        <v>22</v>
      </c>
      <c r="E9" s="1149">
        <v>55</v>
      </c>
      <c r="F9" s="1150"/>
      <c r="G9" s="1147"/>
      <c r="H9" s="1148">
        <v>0</v>
      </c>
      <c r="I9" s="1148">
        <v>0</v>
      </c>
      <c r="J9" s="1131"/>
    </row>
    <row r="10" ht="34.5" customHeight="1" spans="1:10">
      <c r="A10" s="1129"/>
      <c r="B10" s="1146"/>
      <c r="C10" s="1142" t="s">
        <v>21</v>
      </c>
      <c r="D10" s="1143">
        <v>20</v>
      </c>
      <c r="E10" s="1144">
        <v>40</v>
      </c>
      <c r="F10" s="1145"/>
      <c r="G10" s="1142" t="s">
        <v>22</v>
      </c>
      <c r="H10" s="1143">
        <v>20</v>
      </c>
      <c r="I10" s="1143">
        <v>40</v>
      </c>
      <c r="J10" s="1131"/>
    </row>
    <row r="11" ht="34.5" customHeight="1" spans="1:10">
      <c r="A11" s="1129"/>
      <c r="B11" s="1147"/>
      <c r="C11" s="1147"/>
      <c r="D11" s="1148">
        <v>0</v>
      </c>
      <c r="E11" s="1149">
        <v>0</v>
      </c>
      <c r="F11" s="1150"/>
      <c r="G11" s="1147"/>
      <c r="H11" s="1148">
        <v>35</v>
      </c>
      <c r="I11" s="1148">
        <v>0</v>
      </c>
      <c r="J11" s="1131"/>
    </row>
    <row r="12" ht="34.5" customHeight="1" spans="1:10">
      <c r="A12" s="1129"/>
      <c r="B12" s="1138" t="s">
        <v>23</v>
      </c>
      <c r="C12" s="1138" t="s">
        <v>24</v>
      </c>
      <c r="D12" s="1139">
        <f>'Parts A'!E5</f>
        <v>15257</v>
      </c>
      <c r="E12" s="1140"/>
      <c r="F12" s="1141"/>
      <c r="G12" s="1190" t="s">
        <v>25</v>
      </c>
      <c r="H12" s="1139">
        <f>'Parts A'!G5</f>
        <v>7877</v>
      </c>
      <c r="I12" s="1141"/>
      <c r="J12" s="1131"/>
    </row>
    <row r="13" ht="34.5" customHeight="1" spans="1:10">
      <c r="A13" s="1129"/>
      <c r="B13" s="1138" t="s">
        <v>26</v>
      </c>
      <c r="C13" s="1191"/>
      <c r="D13" s="1192"/>
      <c r="E13" s="1192"/>
      <c r="F13" s="1193"/>
      <c r="G13" s="1194"/>
      <c r="H13" s="1195"/>
      <c r="I13" s="1196"/>
      <c r="J13" s="1131"/>
    </row>
    <row r="14" ht="34.5" customHeight="1" spans="1:10">
      <c r="A14" s="1129"/>
      <c r="B14" s="1138" t="s">
        <v>27</v>
      </c>
      <c r="C14" s="1157" t="s">
        <v>28</v>
      </c>
      <c r="D14" s="1197"/>
      <c r="E14" s="1197"/>
      <c r="F14" s="1198"/>
      <c r="G14" s="1160" t="s">
        <v>29</v>
      </c>
      <c r="H14" s="1160"/>
      <c r="I14" s="1166"/>
      <c r="J14" s="1131"/>
    </row>
    <row r="15" ht="34.5" customHeight="1" spans="1:10">
      <c r="A15" s="1129"/>
      <c r="B15" s="1138" t="s">
        <v>30</v>
      </c>
      <c r="C15" s="1162">
        <f>'Gen Inb'!X6</f>
        <v>46219</v>
      </c>
      <c r="D15" s="1143" t="s">
        <v>31</v>
      </c>
      <c r="E15" s="1139" t="str">
        <f>'Gen Inb'!S6</f>
        <v>南沙新港</v>
      </c>
      <c r="F15" s="1141"/>
      <c r="G15" s="1143" t="s">
        <v>32</v>
      </c>
      <c r="H15" s="1163"/>
      <c r="I15" s="1163"/>
      <c r="J15" s="1131"/>
    </row>
    <row r="16" ht="34.5" customHeight="1" spans="1:10">
      <c r="A16" s="1129"/>
      <c r="B16" s="1138" t="s">
        <v>33</v>
      </c>
      <c r="C16" s="1138" t="s">
        <v>34</v>
      </c>
      <c r="D16" s="1148"/>
      <c r="E16" s="1165" t="s">
        <v>35</v>
      </c>
      <c r="F16" s="1166"/>
      <c r="G16" s="1148"/>
      <c r="H16" s="1138" t="s">
        <v>36</v>
      </c>
      <c r="I16" s="1167"/>
      <c r="J16" s="1131"/>
    </row>
    <row r="17" ht="34.5" customHeight="1" spans="1:10">
      <c r="A17" s="1129"/>
      <c r="B17" s="1165" t="s">
        <v>37</v>
      </c>
      <c r="C17" s="1160"/>
      <c r="D17" s="1160"/>
      <c r="E17" s="1160"/>
      <c r="F17" s="1160"/>
      <c r="G17" s="1160"/>
      <c r="H17" s="1160"/>
      <c r="I17" s="1166"/>
      <c r="J17" s="1131"/>
    </row>
    <row r="18" ht="34.5" customHeight="1" spans="1:10">
      <c r="A18" s="1129"/>
      <c r="B18" s="1171" t="s">
        <v>38</v>
      </c>
      <c r="C18" s="1172"/>
      <c r="D18" s="1172"/>
      <c r="E18" s="1173"/>
      <c r="F18" s="1171" t="s">
        <v>39</v>
      </c>
      <c r="G18" s="1172"/>
      <c r="H18" s="1172"/>
      <c r="I18" s="1173"/>
      <c r="J18" s="1131"/>
    </row>
    <row r="19" ht="34.5" customHeight="1" spans="1:10">
      <c r="A19" s="1129"/>
      <c r="B19" s="1174" t="s">
        <v>40</v>
      </c>
      <c r="C19" s="1175"/>
      <c r="D19" s="1175"/>
      <c r="E19" s="1176"/>
      <c r="F19" s="1174" t="s">
        <v>41</v>
      </c>
      <c r="G19" s="1175"/>
      <c r="H19" s="1175"/>
      <c r="I19" s="1176"/>
      <c r="J19" s="1131"/>
    </row>
    <row r="20" ht="34.5" customHeight="1" spans="1:10">
      <c r="A20" s="1129"/>
      <c r="B20" s="1174" t="s">
        <v>42</v>
      </c>
      <c r="C20" s="1175"/>
      <c r="D20" s="1175"/>
      <c r="E20" s="1176"/>
      <c r="F20" s="1174" t="s">
        <v>43</v>
      </c>
      <c r="G20" s="1175"/>
      <c r="H20" s="1175"/>
      <c r="I20" s="1176"/>
      <c r="J20" s="1131"/>
    </row>
    <row r="21" ht="34.5" customHeight="1" spans="1:10">
      <c r="A21" s="1129"/>
      <c r="B21" s="1174" t="s">
        <v>44</v>
      </c>
      <c r="C21" s="1175"/>
      <c r="D21" s="1175"/>
      <c r="E21" s="1176"/>
      <c r="F21" s="1177" t="s">
        <v>45</v>
      </c>
      <c r="G21" s="1178"/>
      <c r="H21" s="1178"/>
      <c r="I21" s="1179"/>
      <c r="J21" s="1131"/>
    </row>
    <row r="22" ht="34.5" customHeight="1" spans="1:10">
      <c r="A22" s="1129"/>
      <c r="B22" s="1180" t="s">
        <v>46</v>
      </c>
      <c r="C22" s="1181"/>
      <c r="D22" s="1181"/>
      <c r="E22" s="1199"/>
      <c r="F22" s="1182" t="s">
        <v>45</v>
      </c>
      <c r="G22" s="1183"/>
      <c r="H22" s="1183"/>
      <c r="I22" s="1184"/>
      <c r="J22" s="1131"/>
    </row>
    <row r="23" ht="18" customHeight="1" spans="1:10">
      <c r="A23" s="1185"/>
      <c r="B23" s="1186"/>
      <c r="C23" s="1186"/>
      <c r="D23" s="1186"/>
      <c r="E23" s="1186"/>
      <c r="F23" s="1186"/>
      <c r="G23" s="1186"/>
      <c r="H23" s="1186"/>
      <c r="I23" s="1186"/>
      <c r="J23" s="1187"/>
    </row>
  </sheetData>
  <mergeCells count="34">
    <mergeCell ref="D3:G3"/>
    <mergeCell ref="E5:F5"/>
    <mergeCell ref="E6:F6"/>
    <mergeCell ref="D7:F7"/>
    <mergeCell ref="H7:I7"/>
    <mergeCell ref="E8:F8"/>
    <mergeCell ref="E9:F9"/>
    <mergeCell ref="E10:F10"/>
    <mergeCell ref="E11:F11"/>
    <mergeCell ref="D12:F12"/>
    <mergeCell ref="H12:I12"/>
    <mergeCell ref="C13:E13"/>
    <mergeCell ref="G13:I13"/>
    <mergeCell ref="C14:E14"/>
    <mergeCell ref="G14:I14"/>
    <mergeCell ref="E15:F15"/>
    <mergeCell ref="E16:F16"/>
    <mergeCell ref="B17:I17"/>
    <mergeCell ref="B18:E18"/>
    <mergeCell ref="F18:I18"/>
    <mergeCell ref="B19:E19"/>
    <mergeCell ref="F19:I19"/>
    <mergeCell ref="B20:E20"/>
    <mergeCell ref="F20:I20"/>
    <mergeCell ref="B21:E21"/>
    <mergeCell ref="F21:I21"/>
    <mergeCell ref="B22:E22"/>
    <mergeCell ref="F22:I22"/>
    <mergeCell ref="B5:B6"/>
    <mergeCell ref="B8:B11"/>
    <mergeCell ref="C8:C9"/>
    <mergeCell ref="C10:C11"/>
    <mergeCell ref="G8:G9"/>
    <mergeCell ref="G10:G11"/>
  </mergeCells>
  <printOptions horizontalCentered="1"/>
  <pageMargins left="0.707638888888889" right="0.707638888888889" top="0.747916666666667" bottom="0.747916666666667" header="0.313888888888889" footer="0.313888888888889"/>
  <pageSetup paperSize="9"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15361" name="Check Box 1" r:id="rId3">
              <controlPr defaultSize="0">
                <anchor moveWithCells="1">
                  <from>
                    <xdr:col>1</xdr:col>
                    <xdr:colOff>182880</xdr:colOff>
                    <xdr:row>17</xdr:row>
                    <xdr:rowOff>137160</xdr:rowOff>
                  </from>
                  <to>
                    <xdr:col>1</xdr:col>
                    <xdr:colOff>487680</xdr:colOff>
                    <xdr:row>17</xdr:row>
                    <xdr:rowOff>342900</xdr:rowOff>
                  </to>
                </anchor>
              </controlPr>
            </control>
          </mc:Choice>
        </mc:AlternateContent>
        <mc:AlternateContent xmlns:mc="http://schemas.openxmlformats.org/markup-compatibility/2006">
          <mc:Choice Requires="x14">
            <control shapeId="15362" name="Check Box 2" r:id="rId4">
              <controlPr defaultSize="0">
                <anchor moveWithCells="1">
                  <from>
                    <xdr:col>1</xdr:col>
                    <xdr:colOff>182880</xdr:colOff>
                    <xdr:row>18</xdr:row>
                    <xdr:rowOff>121920</xdr:rowOff>
                  </from>
                  <to>
                    <xdr:col>1</xdr:col>
                    <xdr:colOff>487680</xdr:colOff>
                    <xdr:row>18</xdr:row>
                    <xdr:rowOff>335280</xdr:rowOff>
                  </to>
                </anchor>
              </controlPr>
            </control>
          </mc:Choice>
        </mc:AlternateContent>
        <mc:AlternateContent xmlns:mc="http://schemas.openxmlformats.org/markup-compatibility/2006">
          <mc:Choice Requires="x14">
            <control shapeId="15363" name="Check Box 3" r:id="rId5">
              <controlPr defaultSize="0">
                <anchor moveWithCells="1">
                  <from>
                    <xdr:col>1</xdr:col>
                    <xdr:colOff>182880</xdr:colOff>
                    <xdr:row>19</xdr:row>
                    <xdr:rowOff>121920</xdr:rowOff>
                  </from>
                  <to>
                    <xdr:col>1</xdr:col>
                    <xdr:colOff>487680</xdr:colOff>
                    <xdr:row>19</xdr:row>
                    <xdr:rowOff>335280</xdr:rowOff>
                  </to>
                </anchor>
              </controlPr>
            </control>
          </mc:Choice>
        </mc:AlternateContent>
        <mc:AlternateContent xmlns:mc="http://schemas.openxmlformats.org/markup-compatibility/2006">
          <mc:Choice Requires="x14">
            <control shapeId="15364" name="Check Box 4" r:id="rId6">
              <controlPr defaultSize="0">
                <anchor moveWithCells="1">
                  <from>
                    <xdr:col>1</xdr:col>
                    <xdr:colOff>182880</xdr:colOff>
                    <xdr:row>20</xdr:row>
                    <xdr:rowOff>121920</xdr:rowOff>
                  </from>
                  <to>
                    <xdr:col>1</xdr:col>
                    <xdr:colOff>487680</xdr:colOff>
                    <xdr:row>20</xdr:row>
                    <xdr:rowOff>335280</xdr:rowOff>
                  </to>
                </anchor>
              </controlPr>
            </control>
          </mc:Choice>
        </mc:AlternateContent>
        <mc:AlternateContent xmlns:mc="http://schemas.openxmlformats.org/markup-compatibility/2006">
          <mc:Choice Requires="x14">
            <control shapeId="15365" name="Check Box 5" r:id="rId7">
              <controlPr defaultSize="0">
                <anchor moveWithCells="1">
                  <from>
                    <xdr:col>1</xdr:col>
                    <xdr:colOff>182880</xdr:colOff>
                    <xdr:row>21</xdr:row>
                    <xdr:rowOff>114300</xdr:rowOff>
                  </from>
                  <to>
                    <xdr:col>1</xdr:col>
                    <xdr:colOff>487680</xdr:colOff>
                    <xdr:row>21</xdr:row>
                    <xdr:rowOff>327660</xdr:rowOff>
                  </to>
                </anchor>
              </controlPr>
            </control>
          </mc:Choice>
        </mc:AlternateContent>
        <mc:AlternateContent xmlns:mc="http://schemas.openxmlformats.org/markup-compatibility/2006">
          <mc:Choice Requires="x14">
            <control shapeId="15366" name="Check Box 6" r:id="rId8">
              <controlPr defaultSize="0">
                <anchor moveWithCells="1">
                  <from>
                    <xdr:col>5</xdr:col>
                    <xdr:colOff>182880</xdr:colOff>
                    <xdr:row>17</xdr:row>
                    <xdr:rowOff>137160</xdr:rowOff>
                  </from>
                  <to>
                    <xdr:col>6</xdr:col>
                    <xdr:colOff>22860</xdr:colOff>
                    <xdr:row>17</xdr:row>
                    <xdr:rowOff>342900</xdr:rowOff>
                  </to>
                </anchor>
              </controlPr>
            </control>
          </mc:Choice>
        </mc:AlternateContent>
        <mc:AlternateContent xmlns:mc="http://schemas.openxmlformats.org/markup-compatibility/2006">
          <mc:Choice Requires="x14">
            <control shapeId="15367" name="Check Box 7" r:id="rId9">
              <controlPr defaultSize="0">
                <anchor moveWithCells="1">
                  <from>
                    <xdr:col>5</xdr:col>
                    <xdr:colOff>182880</xdr:colOff>
                    <xdr:row>18</xdr:row>
                    <xdr:rowOff>121920</xdr:rowOff>
                  </from>
                  <to>
                    <xdr:col>6</xdr:col>
                    <xdr:colOff>22860</xdr:colOff>
                    <xdr:row>18</xdr:row>
                    <xdr:rowOff>335280</xdr:rowOff>
                  </to>
                </anchor>
              </controlPr>
            </control>
          </mc:Choice>
        </mc:AlternateContent>
        <mc:AlternateContent xmlns:mc="http://schemas.openxmlformats.org/markup-compatibility/2006">
          <mc:Choice Requires="x14">
            <control shapeId="15368" name="Check Box 8" r:id="rId10">
              <controlPr defaultSize="0">
                <anchor moveWithCells="1">
                  <from>
                    <xdr:col>5</xdr:col>
                    <xdr:colOff>182880</xdr:colOff>
                    <xdr:row>19</xdr:row>
                    <xdr:rowOff>121920</xdr:rowOff>
                  </from>
                  <to>
                    <xdr:col>6</xdr:col>
                    <xdr:colOff>22860</xdr:colOff>
                    <xdr:row>19</xdr:row>
                    <xdr:rowOff>335280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2:J23"/>
  <sheetViews>
    <sheetView workbookViewId="0">
      <selection activeCell="E10" sqref="E10:F10"/>
    </sheetView>
  </sheetViews>
  <sheetFormatPr defaultColWidth="9.88333333333333" defaultRowHeight="24" customHeight="1"/>
  <cols>
    <col min="1" max="1" width="1.44166666666667" style="1125" customWidth="1"/>
    <col min="2" max="4" width="12.2166666666667" style="1125" customWidth="1"/>
    <col min="5" max="6" width="6.10833333333333" style="1125" customWidth="1"/>
    <col min="7" max="9" width="12.2166666666667" style="1125" customWidth="1"/>
    <col min="10" max="10" width="1.66666666666667" style="1125" customWidth="1"/>
    <col min="11" max="16384" width="9.88333333333333" style="1125"/>
  </cols>
  <sheetData>
    <row r="2" ht="9" customHeight="1" spans="1:10">
      <c r="A2" s="1126"/>
      <c r="B2" s="1127"/>
      <c r="C2" s="1127"/>
      <c r="D2" s="1127"/>
      <c r="E2" s="1127"/>
      <c r="F2" s="1127"/>
      <c r="G2" s="1127"/>
      <c r="H2" s="1127"/>
      <c r="I2" s="1127"/>
      <c r="J2" s="1128"/>
    </row>
    <row r="3" customHeight="1" spans="1:10">
      <c r="A3" s="1129"/>
      <c r="B3" s="1130"/>
      <c r="C3" s="1130"/>
      <c r="D3" s="1119" t="s">
        <v>47</v>
      </c>
      <c r="E3" s="1119"/>
      <c r="F3" s="1119"/>
      <c r="G3" s="1119"/>
      <c r="H3" s="1130"/>
      <c r="I3" s="1130"/>
      <c r="J3" s="1131"/>
    </row>
    <row r="4" ht="9" customHeight="1" spans="1:10">
      <c r="A4" s="1129"/>
      <c r="B4" s="1130"/>
      <c r="C4" s="1130"/>
      <c r="D4" s="1130"/>
      <c r="E4" s="1119"/>
      <c r="F4" s="1130"/>
      <c r="G4" s="1130"/>
      <c r="H4" s="1130"/>
      <c r="I4" s="1130"/>
      <c r="J4" s="1131"/>
    </row>
    <row r="5" ht="34.5" customHeight="1" spans="1:10">
      <c r="A5" s="1129"/>
      <c r="B5" s="1132" t="s">
        <v>10</v>
      </c>
      <c r="C5" s="1133"/>
      <c r="D5" s="1134"/>
      <c r="E5" s="1135" t="str">
        <f>'Gen Outb'!S6</f>
        <v>南沙新港</v>
      </c>
      <c r="F5" s="1135"/>
      <c r="G5" s="1136" t="s">
        <v>13</v>
      </c>
      <c r="H5" s="1134" t="str">
        <f>'Gen Outb'!W8</f>
        <v>示例国籍</v>
      </c>
      <c r="I5" s="1137"/>
      <c r="J5" s="1131"/>
    </row>
    <row r="6" ht="34.5" customHeight="1" spans="1:10">
      <c r="A6" s="1129"/>
      <c r="B6" s="1138" t="s">
        <v>15</v>
      </c>
      <c r="C6" s="1138" t="s">
        <v>16</v>
      </c>
      <c r="D6" s="1139">
        <f>COUNTIF('Crew Outb'!G11:G45,"Chinese")</f>
        <v>0</v>
      </c>
      <c r="E6" s="1140"/>
      <c r="F6" s="1141"/>
      <c r="G6" s="1138" t="s">
        <v>17</v>
      </c>
      <c r="H6" s="1139">
        <f>COUNTA('Crew Outb'!C11:C45)-COUNTIF('Crew Outb'!G11:G45,"CHINESE")</f>
        <v>21</v>
      </c>
      <c r="I6" s="1141"/>
      <c r="J6" s="1131"/>
    </row>
    <row r="7" ht="34.5" customHeight="1" spans="1:10">
      <c r="A7" s="1129"/>
      <c r="B7" s="1142" t="s">
        <v>18</v>
      </c>
      <c r="C7" s="1142" t="s">
        <v>48</v>
      </c>
      <c r="D7" s="1143">
        <v>20</v>
      </c>
      <c r="E7" s="1144">
        <v>40</v>
      </c>
      <c r="F7" s="1145"/>
      <c r="G7" s="1142" t="s">
        <v>20</v>
      </c>
      <c r="H7" s="1143">
        <v>20</v>
      </c>
      <c r="I7" s="1143">
        <v>40</v>
      </c>
      <c r="J7" s="1131"/>
    </row>
    <row r="8" ht="34.5" customHeight="1" spans="1:10">
      <c r="A8" s="1129"/>
      <c r="B8" s="1146"/>
      <c r="C8" s="1147"/>
      <c r="D8" s="1148"/>
      <c r="E8" s="1149"/>
      <c r="F8" s="1150"/>
      <c r="G8" s="1147"/>
      <c r="H8" s="1148">
        <v>0</v>
      </c>
      <c r="I8" s="1148">
        <v>0</v>
      </c>
      <c r="J8" s="1131"/>
    </row>
    <row r="9" ht="34.5" customHeight="1" spans="1:10">
      <c r="A9" s="1129"/>
      <c r="B9" s="1146"/>
      <c r="C9" s="1142" t="s">
        <v>21</v>
      </c>
      <c r="D9" s="1151">
        <v>20</v>
      </c>
      <c r="E9" s="1152">
        <v>40</v>
      </c>
      <c r="F9" s="1153"/>
      <c r="G9" s="1142" t="s">
        <v>22</v>
      </c>
      <c r="H9" s="1151">
        <v>20</v>
      </c>
      <c r="I9" s="1151">
        <v>40</v>
      </c>
      <c r="J9" s="1131"/>
    </row>
    <row r="10" ht="34.5" customHeight="1" spans="1:10">
      <c r="A10" s="1129"/>
      <c r="B10" s="1147"/>
      <c r="C10" s="1154"/>
      <c r="D10" s="1155">
        <v>133</v>
      </c>
      <c r="E10" s="1155">
        <v>124</v>
      </c>
      <c r="F10" s="1155"/>
      <c r="G10" s="1156"/>
      <c r="H10" s="1155">
        <v>0</v>
      </c>
      <c r="I10" s="1155">
        <v>0</v>
      </c>
      <c r="J10" s="1131"/>
    </row>
    <row r="11" ht="34.5" customHeight="1" spans="1:10">
      <c r="A11" s="1129"/>
      <c r="B11" s="1138" t="s">
        <v>27</v>
      </c>
      <c r="C11" s="1157" t="s">
        <v>49</v>
      </c>
      <c r="D11" s="1158"/>
      <c r="E11" s="1158"/>
      <c r="F11" s="1159"/>
      <c r="G11" s="1160" t="s">
        <v>29</v>
      </c>
      <c r="H11" s="1156"/>
      <c r="I11" s="1161"/>
      <c r="J11" s="1131"/>
    </row>
    <row r="12" ht="34.5" customHeight="1" spans="1:10">
      <c r="A12" s="1129"/>
      <c r="B12" s="1138" t="s">
        <v>30</v>
      </c>
      <c r="C12" s="1162">
        <f>'Gen Outb'!X6</f>
        <v>44160</v>
      </c>
      <c r="D12" s="1143" t="s">
        <v>31</v>
      </c>
      <c r="E12" s="1139" t="str">
        <f>'Gen Outb'!S6</f>
        <v>南沙新港</v>
      </c>
      <c r="F12" s="1141"/>
      <c r="G12" s="1143" t="s">
        <v>32</v>
      </c>
      <c r="H12" s="1163"/>
      <c r="I12" s="1163"/>
      <c r="J12" s="1131"/>
    </row>
    <row r="13" ht="34.5" customHeight="1" spans="1:10">
      <c r="A13" s="1129"/>
      <c r="B13" s="1144"/>
      <c r="C13" s="1164"/>
      <c r="D13" s="1164"/>
      <c r="E13" s="1164"/>
      <c r="F13" s="1164"/>
      <c r="G13" s="1164"/>
      <c r="H13" s="1164"/>
      <c r="I13" s="1145"/>
      <c r="J13" s="1131"/>
    </row>
    <row r="14" ht="34.5" customHeight="1" spans="1:10">
      <c r="A14" s="1129"/>
      <c r="B14" s="1138" t="s">
        <v>33</v>
      </c>
      <c r="C14" s="1138" t="s">
        <v>34</v>
      </c>
      <c r="D14" s="1148"/>
      <c r="E14" s="1165" t="s">
        <v>35</v>
      </c>
      <c r="F14" s="1166"/>
      <c r="G14" s="1148"/>
      <c r="H14" s="1138" t="s">
        <v>36</v>
      </c>
      <c r="I14" s="1167"/>
      <c r="J14" s="1131"/>
    </row>
    <row r="15" ht="34.5" customHeight="1" spans="1:10">
      <c r="A15" s="1129"/>
      <c r="B15" s="1133"/>
      <c r="C15" s="1168"/>
      <c r="D15" s="1169"/>
      <c r="E15" s="1160"/>
      <c r="F15" s="1160"/>
      <c r="G15" s="1169"/>
      <c r="H15" s="1168"/>
      <c r="I15" s="1170"/>
      <c r="J15" s="1131"/>
    </row>
    <row r="16" ht="34.5" customHeight="1" spans="1:10">
      <c r="A16" s="1129"/>
      <c r="B16" s="1165" t="s">
        <v>37</v>
      </c>
      <c r="C16" s="1160"/>
      <c r="D16" s="1160"/>
      <c r="E16" s="1160"/>
      <c r="F16" s="1160"/>
      <c r="G16" s="1160"/>
      <c r="H16" s="1160"/>
      <c r="I16" s="1166"/>
      <c r="J16" s="1131"/>
    </row>
    <row r="17" ht="34.5" customHeight="1" spans="1:10">
      <c r="A17" s="1129"/>
      <c r="B17" s="1171" t="s">
        <v>38</v>
      </c>
      <c r="C17" s="1172"/>
      <c r="D17" s="1172"/>
      <c r="E17" s="1173"/>
      <c r="F17" s="1171" t="s">
        <v>39</v>
      </c>
      <c r="G17" s="1172"/>
      <c r="H17" s="1172"/>
      <c r="I17" s="1173"/>
      <c r="J17" s="1131"/>
    </row>
    <row r="18" ht="34.5" customHeight="1" spans="1:10">
      <c r="A18" s="1129"/>
      <c r="B18" s="1174" t="s">
        <v>40</v>
      </c>
      <c r="C18" s="1175"/>
      <c r="D18" s="1175"/>
      <c r="E18" s="1176"/>
      <c r="F18" s="1174" t="s">
        <v>41</v>
      </c>
      <c r="G18" s="1175"/>
      <c r="H18" s="1175"/>
      <c r="I18" s="1176"/>
      <c r="J18" s="1131"/>
    </row>
    <row r="19" ht="34.5" customHeight="1" spans="1:10">
      <c r="A19" s="1129"/>
      <c r="B19" s="1174" t="s">
        <v>42</v>
      </c>
      <c r="C19" s="1175"/>
      <c r="D19" s="1175"/>
      <c r="E19" s="1176"/>
      <c r="F19" s="1174" t="s">
        <v>43</v>
      </c>
      <c r="G19" s="1175"/>
      <c r="H19" s="1175"/>
      <c r="I19" s="1176"/>
      <c r="J19" s="1131"/>
    </row>
    <row r="20" ht="34.5" customHeight="1" spans="1:10">
      <c r="A20" s="1129"/>
      <c r="B20" s="1174" t="s">
        <v>44</v>
      </c>
      <c r="C20" s="1175"/>
      <c r="D20" s="1175"/>
      <c r="E20" s="1176"/>
      <c r="F20" s="1177" t="s">
        <v>45</v>
      </c>
      <c r="G20" s="1178"/>
      <c r="H20" s="1178"/>
      <c r="I20" s="1179"/>
      <c r="J20" s="1131"/>
    </row>
    <row r="21" ht="34.5" customHeight="1" spans="1:10">
      <c r="A21" s="1129"/>
      <c r="B21" s="1174" t="s">
        <v>46</v>
      </c>
      <c r="C21" s="1175"/>
      <c r="D21" s="1175"/>
      <c r="E21" s="1176"/>
      <c r="F21" s="1177" t="s">
        <v>45</v>
      </c>
      <c r="G21" s="1178"/>
      <c r="H21" s="1178"/>
      <c r="I21" s="1179"/>
      <c r="J21" s="1131"/>
    </row>
    <row r="22" ht="34.5" customHeight="1" spans="1:10">
      <c r="A22" s="1129"/>
      <c r="B22" s="1180"/>
      <c r="C22" s="1181"/>
      <c r="D22" s="1181"/>
      <c r="E22" s="1181"/>
      <c r="F22" s="1182"/>
      <c r="G22" s="1183"/>
      <c r="H22" s="1183"/>
      <c r="I22" s="1184"/>
      <c r="J22" s="1131"/>
    </row>
    <row r="23" ht="18" customHeight="1" spans="1:10">
      <c r="A23" s="1185"/>
      <c r="B23" s="1186"/>
      <c r="C23" s="1186"/>
      <c r="D23" s="1186"/>
      <c r="E23" s="1186"/>
      <c r="F23" s="1186"/>
      <c r="G23" s="1186"/>
      <c r="H23" s="1186"/>
      <c r="I23" s="1186"/>
      <c r="J23" s="1187"/>
    </row>
  </sheetData>
  <mergeCells count="29">
    <mergeCell ref="D3:G3"/>
    <mergeCell ref="E5:F5"/>
    <mergeCell ref="D6:F6"/>
    <mergeCell ref="H6:I6"/>
    <mergeCell ref="E7:F7"/>
    <mergeCell ref="E8:F8"/>
    <mergeCell ref="E9:F9"/>
    <mergeCell ref="E10:F10"/>
    <mergeCell ref="C11:E11"/>
    <mergeCell ref="G11:I11"/>
    <mergeCell ref="E12:F12"/>
    <mergeCell ref="B13:I13"/>
    <mergeCell ref="E14:F14"/>
    <mergeCell ref="B16:I16"/>
    <mergeCell ref="B17:E17"/>
    <mergeCell ref="F17:I17"/>
    <mergeCell ref="B18:E18"/>
    <mergeCell ref="F18:I18"/>
    <mergeCell ref="B19:E19"/>
    <mergeCell ref="F19:I19"/>
    <mergeCell ref="B20:E20"/>
    <mergeCell ref="F20:I20"/>
    <mergeCell ref="B21:E21"/>
    <mergeCell ref="F21:I21"/>
    <mergeCell ref="B7:B10"/>
    <mergeCell ref="C7:C8"/>
    <mergeCell ref="C9:C10"/>
    <mergeCell ref="G7:G8"/>
    <mergeCell ref="G9:G10"/>
  </mergeCells>
  <conditionalFormatting sqref="D14 G14">
    <cfRule type="cellIs" dxfId="0" priority="1" operator="equal">
      <formula>0</formula>
    </cfRule>
  </conditionalFormatting>
  <printOptions horizontalCentered="1"/>
  <pageMargins left="0.707638888888889" right="0.707638888888889" top="0.747916666666667" bottom="0.747916666666667" header="0.313888888888889" footer="0.313888888888889"/>
  <pageSetup paperSize="9"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3077" name="Check Box 5" r:id="rId4">
              <controlPr defaultSize="0">
                <anchor moveWithCells="1">
                  <from>
                    <xdr:col>1</xdr:col>
                    <xdr:colOff>182880</xdr:colOff>
                    <xdr:row>16</xdr:row>
                    <xdr:rowOff>137160</xdr:rowOff>
                  </from>
                  <to>
                    <xdr:col>1</xdr:col>
                    <xdr:colOff>487680</xdr:colOff>
                    <xdr:row>16</xdr:row>
                    <xdr:rowOff>342900</xdr:rowOff>
                  </to>
                </anchor>
              </controlPr>
            </control>
          </mc:Choice>
        </mc:AlternateContent>
        <mc:AlternateContent xmlns:mc="http://schemas.openxmlformats.org/markup-compatibility/2006">
          <mc:Choice Requires="x14">
            <control shapeId="3078" name="Check Box 6" r:id="rId5">
              <controlPr defaultSize="0">
                <anchor moveWithCells="1">
                  <from>
                    <xdr:col>1</xdr:col>
                    <xdr:colOff>182880</xdr:colOff>
                    <xdr:row>17</xdr:row>
                    <xdr:rowOff>121920</xdr:rowOff>
                  </from>
                  <to>
                    <xdr:col>1</xdr:col>
                    <xdr:colOff>487680</xdr:colOff>
                    <xdr:row>17</xdr:row>
                    <xdr:rowOff>335280</xdr:rowOff>
                  </to>
                </anchor>
              </controlPr>
            </control>
          </mc:Choice>
        </mc:AlternateContent>
        <mc:AlternateContent xmlns:mc="http://schemas.openxmlformats.org/markup-compatibility/2006">
          <mc:Choice Requires="x14">
            <control shapeId="3079" name="Check Box 7" r:id="rId6">
              <controlPr defaultSize="0">
                <anchor moveWithCells="1">
                  <from>
                    <xdr:col>1</xdr:col>
                    <xdr:colOff>182880</xdr:colOff>
                    <xdr:row>18</xdr:row>
                    <xdr:rowOff>121920</xdr:rowOff>
                  </from>
                  <to>
                    <xdr:col>1</xdr:col>
                    <xdr:colOff>487680</xdr:colOff>
                    <xdr:row>18</xdr:row>
                    <xdr:rowOff>335280</xdr:rowOff>
                  </to>
                </anchor>
              </controlPr>
            </control>
          </mc:Choice>
        </mc:AlternateContent>
        <mc:AlternateContent xmlns:mc="http://schemas.openxmlformats.org/markup-compatibility/2006">
          <mc:Choice Requires="x14">
            <control shapeId="3080" name="Check Box 8" r:id="rId7">
              <controlPr defaultSize="0">
                <anchor moveWithCells="1">
                  <from>
                    <xdr:col>1</xdr:col>
                    <xdr:colOff>182880</xdr:colOff>
                    <xdr:row>19</xdr:row>
                    <xdr:rowOff>121920</xdr:rowOff>
                  </from>
                  <to>
                    <xdr:col>1</xdr:col>
                    <xdr:colOff>487680</xdr:colOff>
                    <xdr:row>19</xdr:row>
                    <xdr:rowOff>335280</xdr:rowOff>
                  </to>
                </anchor>
              </controlPr>
            </control>
          </mc:Choice>
        </mc:AlternateContent>
        <mc:AlternateContent xmlns:mc="http://schemas.openxmlformats.org/markup-compatibility/2006">
          <mc:Choice Requires="x14">
            <control shapeId="3081" name="Check Box 9" r:id="rId8">
              <controlPr defaultSize="0">
                <anchor moveWithCells="1">
                  <from>
                    <xdr:col>1</xdr:col>
                    <xdr:colOff>182880</xdr:colOff>
                    <xdr:row>20</xdr:row>
                    <xdr:rowOff>114300</xdr:rowOff>
                  </from>
                  <to>
                    <xdr:col>1</xdr:col>
                    <xdr:colOff>487680</xdr:colOff>
                    <xdr:row>20</xdr:row>
                    <xdr:rowOff>327660</xdr:rowOff>
                  </to>
                </anchor>
              </controlPr>
            </control>
          </mc:Choice>
        </mc:AlternateContent>
        <mc:AlternateContent xmlns:mc="http://schemas.openxmlformats.org/markup-compatibility/2006">
          <mc:Choice Requires="x14">
            <control shapeId="3083" name="Check Box 11" r:id="rId9">
              <controlPr defaultSize="0">
                <anchor moveWithCells="1">
                  <from>
                    <xdr:col>5</xdr:col>
                    <xdr:colOff>182880</xdr:colOff>
                    <xdr:row>16</xdr:row>
                    <xdr:rowOff>137160</xdr:rowOff>
                  </from>
                  <to>
                    <xdr:col>6</xdr:col>
                    <xdr:colOff>22860</xdr:colOff>
                    <xdr:row>16</xdr:row>
                    <xdr:rowOff>342900</xdr:rowOff>
                  </to>
                </anchor>
              </controlPr>
            </control>
          </mc:Choice>
        </mc:AlternateContent>
        <mc:AlternateContent xmlns:mc="http://schemas.openxmlformats.org/markup-compatibility/2006">
          <mc:Choice Requires="x14">
            <control shapeId="3084" name="Check Box 12" r:id="rId10">
              <controlPr defaultSize="0">
                <anchor moveWithCells="1">
                  <from>
                    <xdr:col>5</xdr:col>
                    <xdr:colOff>182880</xdr:colOff>
                    <xdr:row>17</xdr:row>
                    <xdr:rowOff>121920</xdr:rowOff>
                  </from>
                  <to>
                    <xdr:col>6</xdr:col>
                    <xdr:colOff>22860</xdr:colOff>
                    <xdr:row>17</xdr:row>
                    <xdr:rowOff>335280</xdr:rowOff>
                  </to>
                </anchor>
              </controlPr>
            </control>
          </mc:Choice>
        </mc:AlternateContent>
        <mc:AlternateContent xmlns:mc="http://schemas.openxmlformats.org/markup-compatibility/2006">
          <mc:Choice Requires="x14">
            <control shapeId="3085" name="Check Box 13" r:id="rId11">
              <controlPr defaultSize="0">
                <anchor moveWithCells="1">
                  <from>
                    <xdr:col>5</xdr:col>
                    <xdr:colOff>182880</xdr:colOff>
                    <xdr:row>18</xdr:row>
                    <xdr:rowOff>121920</xdr:rowOff>
                  </from>
                  <to>
                    <xdr:col>6</xdr:col>
                    <xdr:colOff>22860</xdr:colOff>
                    <xdr:row>18</xdr:row>
                    <xdr:rowOff>335280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2:I30"/>
  <sheetViews>
    <sheetView workbookViewId="0">
      <selection activeCell="J15" sqref="J15"/>
    </sheetView>
  </sheetViews>
  <sheetFormatPr defaultColWidth="9.88333333333333" defaultRowHeight="24" customHeight="1"/>
  <cols>
    <col min="1" max="16384" width="9.88333333333333" style="245"/>
  </cols>
  <sheetData>
    <row r="2" ht="9" customHeight="1" spans="1:9">
      <c r="A2" s="1114"/>
      <c r="B2" s="1115"/>
      <c r="C2" s="1115"/>
      <c r="D2" s="1115"/>
      <c r="E2" s="1115"/>
      <c r="F2" s="1115"/>
      <c r="G2" s="1115"/>
      <c r="H2" s="1115"/>
      <c r="I2" s="1116"/>
    </row>
    <row r="3" customHeight="1" spans="1:9">
      <c r="A3" s="1117"/>
      <c r="B3" s="1118"/>
      <c r="C3" s="1118"/>
      <c r="D3" s="1118"/>
      <c r="E3" s="1119" t="s">
        <v>50</v>
      </c>
      <c r="F3" s="1118"/>
      <c r="G3" s="1118"/>
      <c r="H3" s="1118"/>
      <c r="I3" s="1120"/>
    </row>
    <row r="4" customHeight="1" spans="1:9">
      <c r="A4" s="1121"/>
      <c r="B4" s="1118"/>
      <c r="C4" s="1118"/>
      <c r="D4" s="1118"/>
      <c r="E4" s="1118"/>
      <c r="F4" s="1118"/>
      <c r="G4" s="1118"/>
      <c r="H4" s="1118"/>
      <c r="I4" s="1120"/>
    </row>
    <row r="5" customHeight="1" spans="1:9">
      <c r="A5" s="1121"/>
      <c r="B5" s="1118"/>
      <c r="C5" s="1118"/>
      <c r="D5" s="1118"/>
      <c r="E5" s="1118"/>
      <c r="F5" s="1118"/>
      <c r="G5" s="1118"/>
      <c r="H5" s="1118"/>
      <c r="I5" s="1120"/>
    </row>
    <row r="6" customHeight="1" spans="1:9">
      <c r="A6" s="1121"/>
      <c r="B6" s="1118"/>
      <c r="C6" s="1118"/>
      <c r="D6" s="1118"/>
      <c r="E6" s="1118"/>
      <c r="F6" s="1118"/>
      <c r="G6" s="1118"/>
      <c r="H6" s="1118"/>
      <c r="I6" s="1120"/>
    </row>
    <row r="7" customHeight="1" spans="1:9">
      <c r="A7" s="1121"/>
      <c r="B7" s="1118"/>
      <c r="C7" s="1118"/>
      <c r="D7" s="1118"/>
      <c r="E7" s="1118"/>
      <c r="F7" s="1118"/>
      <c r="G7" s="1118"/>
      <c r="H7" s="1118"/>
      <c r="I7" s="1120"/>
    </row>
    <row r="8" customHeight="1" spans="1:9">
      <c r="A8" s="1121"/>
      <c r="B8" s="1118"/>
      <c r="C8" s="1118"/>
      <c r="D8" s="1118"/>
      <c r="E8" s="1118"/>
      <c r="F8" s="1118"/>
      <c r="G8" s="1118"/>
      <c r="H8" s="1118"/>
      <c r="I8" s="1120"/>
    </row>
    <row r="9" customHeight="1" spans="1:9">
      <c r="A9" s="1121"/>
      <c r="B9" s="1118"/>
      <c r="C9" s="1118"/>
      <c r="D9" s="1118"/>
      <c r="E9" s="1118"/>
      <c r="F9" s="1118"/>
      <c r="G9" s="1118"/>
      <c r="H9" s="1118"/>
      <c r="I9" s="1120"/>
    </row>
    <row r="10" customHeight="1" spans="1:9">
      <c r="A10" s="1121"/>
      <c r="B10" s="1118"/>
      <c r="C10" s="1118"/>
      <c r="D10" s="1118"/>
      <c r="E10" s="1118"/>
      <c r="F10" s="1118"/>
      <c r="G10" s="1118"/>
      <c r="H10" s="1118"/>
      <c r="I10" s="1120"/>
    </row>
    <row r="11" customHeight="1" spans="1:9">
      <c r="A11" s="1121"/>
      <c r="B11" s="1118"/>
      <c r="C11" s="1118"/>
      <c r="D11" s="1118"/>
      <c r="E11" s="1118"/>
      <c r="F11" s="1118"/>
      <c r="G11" s="1118"/>
      <c r="H11" s="1118"/>
      <c r="I11" s="1120"/>
    </row>
    <row r="12" customHeight="1" spans="1:9">
      <c r="A12" s="1121"/>
      <c r="B12" s="1118"/>
      <c r="C12" s="1118"/>
      <c r="D12" s="1118"/>
      <c r="E12" s="1118"/>
      <c r="F12" s="1118"/>
      <c r="G12" s="1118"/>
      <c r="H12" s="1118"/>
      <c r="I12" s="1120"/>
    </row>
    <row r="13" customHeight="1" spans="1:9">
      <c r="A13" s="1121"/>
      <c r="B13" s="1118"/>
      <c r="C13" s="1118"/>
      <c r="D13" s="1118"/>
      <c r="E13" s="1118"/>
      <c r="F13" s="1118"/>
      <c r="G13" s="1118"/>
      <c r="H13" s="1118"/>
      <c r="I13" s="1120"/>
    </row>
    <row r="14" customHeight="1" spans="1:9">
      <c r="A14" s="1121"/>
      <c r="B14" s="1118"/>
      <c r="C14" s="1118"/>
      <c r="D14" s="1118"/>
      <c r="E14" s="1118"/>
      <c r="F14" s="1118"/>
      <c r="G14" s="1118"/>
      <c r="H14" s="1118"/>
      <c r="I14" s="1120"/>
    </row>
    <row r="15" customHeight="1" spans="1:9">
      <c r="A15" s="1121"/>
      <c r="B15" s="1118"/>
      <c r="C15" s="1118"/>
      <c r="D15" s="1118"/>
      <c r="E15" s="1118"/>
      <c r="F15" s="1118"/>
      <c r="G15" s="1118"/>
      <c r="H15" s="1118"/>
      <c r="I15" s="1120"/>
    </row>
    <row r="16" customHeight="1" spans="1:9">
      <c r="A16" s="1121"/>
      <c r="B16" s="1118"/>
      <c r="C16" s="1118"/>
      <c r="D16" s="1118"/>
      <c r="E16" s="1118"/>
      <c r="F16" s="1118"/>
      <c r="G16" s="1118"/>
      <c r="H16" s="1118"/>
      <c r="I16" s="1120"/>
    </row>
    <row r="17" customHeight="1" spans="1:9">
      <c r="A17" s="1121"/>
      <c r="B17" s="1118"/>
      <c r="C17" s="1118"/>
      <c r="D17" s="1118"/>
      <c r="E17" s="1118"/>
      <c r="F17" s="1118"/>
      <c r="G17" s="1118"/>
      <c r="H17" s="1118"/>
      <c r="I17" s="1120"/>
    </row>
    <row r="18" customHeight="1" spans="1:9">
      <c r="A18" s="1121"/>
      <c r="B18" s="1118"/>
      <c r="C18" s="1118"/>
      <c r="D18" s="1118"/>
      <c r="E18" s="1118"/>
      <c r="F18" s="1118"/>
      <c r="G18" s="1118"/>
      <c r="H18" s="1118"/>
      <c r="I18" s="1120"/>
    </row>
    <row r="19" customHeight="1" spans="1:9">
      <c r="A19" s="1121"/>
      <c r="B19" s="1118"/>
      <c r="C19" s="1118"/>
      <c r="D19" s="1118"/>
      <c r="E19" s="1118"/>
      <c r="F19" s="1118"/>
      <c r="G19" s="1118"/>
      <c r="H19" s="1118"/>
      <c r="I19" s="1120"/>
    </row>
    <row r="20" customHeight="1" spans="1:9">
      <c r="A20" s="1121"/>
      <c r="B20" s="1118"/>
      <c r="C20" s="1118"/>
      <c r="D20" s="1118"/>
      <c r="E20" s="1118"/>
      <c r="F20" s="1118"/>
      <c r="G20" s="1118"/>
      <c r="H20" s="1118"/>
      <c r="I20" s="1120"/>
    </row>
    <row r="21" customHeight="1" spans="1:9">
      <c r="A21" s="1121"/>
      <c r="B21" s="1118"/>
      <c r="C21" s="1118"/>
      <c r="D21" s="1118"/>
      <c r="E21" s="1118"/>
      <c r="F21" s="1118"/>
      <c r="G21" s="1118"/>
      <c r="H21" s="1118"/>
      <c r="I21" s="1120"/>
    </row>
    <row r="22" customHeight="1" spans="1:9">
      <c r="A22" s="1121"/>
      <c r="B22" s="1118"/>
      <c r="C22" s="1118"/>
      <c r="D22" s="1118"/>
      <c r="E22" s="1118"/>
      <c r="F22" s="1118"/>
      <c r="G22" s="1118"/>
      <c r="H22" s="1118"/>
      <c r="I22" s="1120"/>
    </row>
    <row r="23" customHeight="1" spans="1:9">
      <c r="A23" s="1121"/>
      <c r="B23" s="1118"/>
      <c r="C23" s="1118"/>
      <c r="D23" s="1118"/>
      <c r="E23" s="1118"/>
      <c r="F23" s="1118"/>
      <c r="G23" s="1118"/>
      <c r="H23" s="1118"/>
      <c r="I23" s="1120"/>
    </row>
    <row r="24" customHeight="1" spans="1:9">
      <c r="A24" s="1121"/>
      <c r="B24" s="1118"/>
      <c r="C24" s="1118"/>
      <c r="D24" s="1118"/>
      <c r="E24" s="1118"/>
      <c r="F24" s="1118"/>
      <c r="G24" s="1118"/>
      <c r="H24" s="1118"/>
      <c r="I24" s="1120"/>
    </row>
    <row r="25" customHeight="1" spans="1:9">
      <c r="A25" s="1121"/>
      <c r="B25" s="1118"/>
      <c r="C25" s="1118"/>
      <c r="D25" s="1118"/>
      <c r="E25" s="1118"/>
      <c r="F25" s="1118"/>
      <c r="G25" s="1118"/>
      <c r="H25" s="1118"/>
      <c r="I25" s="1120"/>
    </row>
    <row r="26" customHeight="1" spans="1:9">
      <c r="A26" s="1121"/>
      <c r="B26" s="1118"/>
      <c r="C26" s="1118"/>
      <c r="D26" s="1118"/>
      <c r="E26" s="1118"/>
      <c r="F26" s="1118"/>
      <c r="G26" s="1118"/>
      <c r="H26" s="1118"/>
      <c r="I26" s="1120"/>
    </row>
    <row r="27" customHeight="1" spans="1:9">
      <c r="A27" s="1121"/>
      <c r="B27" s="1118"/>
      <c r="C27" s="1118"/>
      <c r="D27" s="1118"/>
      <c r="E27" s="1118"/>
      <c r="F27" s="1118"/>
      <c r="G27" s="1118"/>
      <c r="H27" s="1118"/>
      <c r="I27" s="1120"/>
    </row>
    <row r="28" customHeight="1" spans="1:9">
      <c r="A28" s="1121"/>
      <c r="B28" s="1118"/>
      <c r="C28" s="1118"/>
      <c r="D28" s="1118"/>
      <c r="E28" s="1118"/>
      <c r="F28" s="1118"/>
      <c r="G28" s="1118"/>
      <c r="H28" s="1118"/>
      <c r="I28" s="1120"/>
    </row>
    <row r="29" customHeight="1" spans="1:9">
      <c r="A29" s="1121"/>
      <c r="B29" s="1118"/>
      <c r="C29" s="1118"/>
      <c r="D29" s="1118"/>
      <c r="E29" s="1118"/>
      <c r="F29" s="1118"/>
      <c r="G29" s="1118"/>
      <c r="H29" s="1118"/>
      <c r="I29" s="1120"/>
    </row>
    <row r="30" customHeight="1" spans="1:9">
      <c r="A30" s="1122"/>
      <c r="B30" s="1123"/>
      <c r="C30" s="1123"/>
      <c r="D30" s="1123"/>
      <c r="E30" s="1123"/>
      <c r="F30" s="1123"/>
      <c r="G30" s="1123"/>
      <c r="H30" s="1123"/>
      <c r="I30" s="1124"/>
    </row>
  </sheetData>
  <printOptions horizontalCentered="1"/>
  <pageMargins left="0.707638888888889" right="0.707638888888889" top="0.747916666666667" bottom="0.747916666666667" header="0.313888888888889" footer="0.313888888888889"/>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tabColor rgb="FFFFC000"/>
  </sheetPr>
  <dimension ref="A1:AB37"/>
  <sheetViews>
    <sheetView view="pageBreakPreview" zoomScale="85" zoomScaleNormal="70" workbookViewId="0">
      <selection activeCell="AB12" sqref="AB12"/>
    </sheetView>
  </sheetViews>
  <sheetFormatPr defaultColWidth="9" defaultRowHeight="13.5"/>
  <cols>
    <col min="1" max="1" width="2.10833333333333" style="410" customWidth="1"/>
    <col min="2" max="2" width="7" style="410" customWidth="1"/>
    <col min="3" max="3" width="2.10833333333333" style="410" customWidth="1"/>
    <col min="4" max="4" width="2" style="410" customWidth="1"/>
    <col min="5" max="5" width="2.44166666666667" style="410" customWidth="1"/>
    <col min="6" max="6" width="1.88333333333333" style="410" customWidth="1"/>
    <col min="7" max="7" width="4.775" style="410" customWidth="1"/>
    <col min="8" max="8" width="7.88333333333333" style="410" customWidth="1"/>
    <col min="9" max="9" width="3.775" style="410" customWidth="1"/>
    <col min="10" max="10" width="4.44166666666667" style="410" customWidth="1"/>
    <col min="11" max="11" width="2.21666666666667" style="410" customWidth="1"/>
    <col min="12" max="12" width="10.775" style="410" customWidth="1"/>
    <col min="13" max="13" width="5.10833333333333" style="410" customWidth="1"/>
    <col min="14" max="14" width="13.6666666666667" style="410" customWidth="1"/>
    <col min="15" max="15" width="3.10833333333333" style="410" customWidth="1"/>
    <col min="16" max="16" width="7.10833333333333" style="410" customWidth="1"/>
    <col min="17" max="17" width="12" style="410" hidden="1" customWidth="1"/>
    <col min="18" max="18" width="2" style="410" customWidth="1"/>
    <col min="19" max="19" width="4.33333333333333" style="410" customWidth="1"/>
    <col min="20" max="20" width="1.44166666666667" style="410" customWidth="1"/>
    <col min="21" max="21" width="6.55833333333333" style="410" customWidth="1"/>
    <col min="22" max="22" width="6" style="410" customWidth="1"/>
    <col min="23" max="23" width="14.1083333333333" style="410" customWidth="1"/>
    <col min="24" max="24" width="20.2166666666667" style="410" customWidth="1"/>
    <col min="25" max="16384" width="9" style="410"/>
  </cols>
  <sheetData>
    <row r="1" ht="22.5" customHeight="1" spans="1:28">
      <c r="A1" s="1056" t="s">
        <v>51</v>
      </c>
      <c r="B1" s="825" t="s">
        <v>52</v>
      </c>
      <c r="C1" s="825"/>
      <c r="D1" s="825"/>
      <c r="E1" s="825"/>
      <c r="F1" s="825"/>
      <c r="G1" s="825"/>
      <c r="H1" s="825"/>
      <c r="I1" s="825"/>
      <c r="J1" s="825"/>
      <c r="K1" s="825"/>
      <c r="L1" s="825"/>
      <c r="M1" s="825"/>
      <c r="N1" s="825"/>
      <c r="O1" s="825"/>
      <c r="P1" s="825"/>
      <c r="Q1" s="825"/>
      <c r="R1" s="825"/>
      <c r="S1" s="825"/>
      <c r="T1" s="825"/>
      <c r="U1" s="825"/>
      <c r="V1" s="825"/>
      <c r="W1" s="826"/>
      <c r="X1" s="826"/>
      <c r="Z1" s="827"/>
    </row>
    <row r="2" ht="19.5" spans="1:28">
      <c r="A2" s="828"/>
      <c r="B2" s="829" t="s">
        <v>53</v>
      </c>
      <c r="C2" s="829"/>
      <c r="D2" s="829"/>
      <c r="E2" s="829"/>
      <c r="F2" s="829"/>
      <c r="G2" s="829"/>
      <c r="H2" s="829"/>
      <c r="I2" s="830"/>
      <c r="J2" s="830"/>
      <c r="K2" s="830"/>
      <c r="L2" s="830"/>
      <c r="M2" s="830"/>
      <c r="N2" s="830"/>
      <c r="O2" s="830"/>
      <c r="P2" s="830"/>
      <c r="Q2" s="830"/>
      <c r="R2" s="830"/>
      <c r="S2" s="830"/>
      <c r="T2" s="830"/>
      <c r="U2" s="830"/>
      <c r="V2" s="830"/>
      <c r="W2" s="831"/>
      <c r="X2" s="831"/>
    </row>
    <row r="3" ht="9.75" customHeight="1" spans="1:28">
      <c r="A3" s="828"/>
      <c r="B3" s="832" t="s">
        <v>54</v>
      </c>
      <c r="C3" s="833"/>
      <c r="D3" s="833"/>
      <c r="E3" s="833"/>
      <c r="F3" s="833"/>
      <c r="G3" s="833"/>
      <c r="H3" s="833"/>
      <c r="I3" s="834"/>
      <c r="J3" s="834"/>
      <c r="K3" s="834"/>
      <c r="L3" s="834"/>
      <c r="M3" s="834"/>
      <c r="N3" s="834"/>
      <c r="O3" s="835" t="s">
        <v>55</v>
      </c>
      <c r="P3" s="836" t="s">
        <v>56</v>
      </c>
      <c r="Q3" s="834"/>
      <c r="R3" s="834"/>
      <c r="S3" s="834"/>
      <c r="T3" s="834"/>
      <c r="U3" s="835"/>
      <c r="V3" s="837" t="s">
        <v>57</v>
      </c>
      <c r="W3" s="838"/>
      <c r="X3" s="839"/>
    </row>
    <row r="4" ht="9" customHeight="1" spans="1:28">
      <c r="A4" s="828"/>
      <c r="B4" s="840" t="s">
        <v>58</v>
      </c>
      <c r="C4" s="833"/>
      <c r="D4" s="833"/>
      <c r="E4" s="833"/>
      <c r="F4" s="833"/>
      <c r="G4" s="833"/>
      <c r="H4" s="833"/>
      <c r="I4" s="834"/>
      <c r="J4" s="834"/>
      <c r="K4" s="834"/>
      <c r="L4" s="834"/>
      <c r="M4" s="834"/>
      <c r="N4" s="834"/>
      <c r="O4" s="841"/>
      <c r="P4" s="842" t="s">
        <v>59</v>
      </c>
      <c r="Q4" s="834"/>
      <c r="R4" s="834"/>
      <c r="S4" s="834"/>
      <c r="T4" s="834"/>
      <c r="U4" s="841"/>
      <c r="V4" s="843" t="s">
        <v>60</v>
      </c>
      <c r="W4" s="843"/>
      <c r="X4" s="839"/>
    </row>
    <row r="5" ht="5.25" customHeight="1" spans="1:28">
      <c r="A5" s="828"/>
      <c r="B5" s="407"/>
      <c r="C5" s="413"/>
      <c r="D5" s="413"/>
      <c r="E5" s="413"/>
      <c r="F5" s="413"/>
      <c r="G5" s="413"/>
      <c r="H5" s="413"/>
      <c r="I5" s="411"/>
      <c r="J5" s="411"/>
      <c r="K5" s="411"/>
      <c r="L5" s="411"/>
      <c r="M5" s="411"/>
      <c r="N5" s="411"/>
      <c r="O5" s="844"/>
      <c r="P5" s="407"/>
      <c r="Q5" s="411"/>
      <c r="R5" s="411"/>
      <c r="S5" s="411"/>
      <c r="T5" s="411"/>
      <c r="U5" s="844"/>
      <c r="V5" s="407"/>
      <c r="W5" s="411"/>
      <c r="X5" s="411"/>
    </row>
    <row r="6" ht="30" customHeight="1" spans="1:28">
      <c r="A6" s="828"/>
      <c r="B6" s="1057" t="s">
        <v>61</v>
      </c>
      <c r="C6" s="1058"/>
      <c r="D6" s="1058"/>
      <c r="E6" s="1058"/>
      <c r="F6" s="1058"/>
      <c r="G6" s="1058"/>
      <c r="H6" s="847"/>
      <c r="I6" s="848" t="s">
        <v>62</v>
      </c>
      <c r="J6" s="848"/>
      <c r="K6" s="848"/>
      <c r="L6" s="848"/>
      <c r="M6" s="1059" t="str">
        <f>'Parts A'!J3</f>
        <v>集装箱轮</v>
      </c>
      <c r="N6" s="1060"/>
      <c r="O6" s="1061" t="s">
        <v>63</v>
      </c>
      <c r="P6" s="847"/>
      <c r="Q6" s="847"/>
      <c r="R6" s="847"/>
      <c r="S6" s="1062" t="s">
        <v>12</v>
      </c>
      <c r="T6" s="1062"/>
      <c r="U6" s="1063"/>
      <c r="V6" s="1061" t="s">
        <v>64</v>
      </c>
      <c r="W6" s="852"/>
      <c r="X6" s="857">
        <v>46219</v>
      </c>
    </row>
    <row r="7" ht="30" customHeight="1" spans="1:28">
      <c r="A7" s="828"/>
      <c r="B7" s="858" t="s">
        <v>65</v>
      </c>
      <c r="C7" s="426"/>
      <c r="D7" s="426"/>
      <c r="E7" s="426"/>
      <c r="F7" s="426"/>
      <c r="G7" s="426"/>
      <c r="H7" s="426"/>
      <c r="I7" s="1064" t="s">
        <v>66</v>
      </c>
      <c r="J7" s="1064"/>
      <c r="K7" s="1064"/>
      <c r="L7" s="1064"/>
      <c r="M7" s="1065" t="str">
        <f>'Parts A'!J4</f>
        <v>Container</v>
      </c>
      <c r="N7" s="1066"/>
      <c r="O7" s="862" t="s">
        <v>67</v>
      </c>
      <c r="P7" s="443"/>
      <c r="Q7" s="443"/>
      <c r="R7" s="443"/>
      <c r="S7" s="1067" t="s">
        <v>68</v>
      </c>
      <c r="T7" s="1067"/>
      <c r="U7" s="1068"/>
      <c r="V7" s="862" t="s">
        <v>69</v>
      </c>
      <c r="W7" s="865"/>
      <c r="X7" s="866"/>
      <c r="Z7" s="975"/>
    </row>
    <row r="8" ht="39" customHeight="1" spans="1:28">
      <c r="A8" s="828"/>
      <c r="B8" s="947" t="s">
        <v>70</v>
      </c>
      <c r="C8" s="427"/>
      <c r="D8" s="427"/>
      <c r="E8" s="427"/>
      <c r="F8" s="869" t="str">
        <f>'Parts A'!E3</f>
        <v>利比里亚</v>
      </c>
      <c r="G8" s="870"/>
      <c r="H8" s="871"/>
      <c r="I8" s="1069" t="s">
        <v>71</v>
      </c>
      <c r="J8" s="873"/>
      <c r="K8" s="873"/>
      <c r="L8" s="873"/>
      <c r="M8" s="1070" t="s">
        <v>72</v>
      </c>
      <c r="N8" s="1071"/>
      <c r="O8" s="1072" t="s">
        <v>73</v>
      </c>
      <c r="P8" s="877"/>
      <c r="Q8" s="877"/>
      <c r="R8" s="877"/>
      <c r="S8" s="877"/>
      <c r="T8" s="877"/>
      <c r="U8" s="877"/>
      <c r="V8" s="877"/>
      <c r="W8" s="1073" t="s">
        <v>74</v>
      </c>
      <c r="X8" s="1074"/>
      <c r="Z8" s="410" t="s">
        <v>75</v>
      </c>
      <c r="AB8" s="410" t="s">
        <v>76</v>
      </c>
    </row>
    <row r="9" ht="39" customHeight="1" spans="1:28">
      <c r="A9" s="828"/>
      <c r="B9" s="858" t="s">
        <v>77</v>
      </c>
      <c r="C9" s="426"/>
      <c r="D9" s="426"/>
      <c r="E9" s="426"/>
      <c r="F9" s="1075" t="str">
        <f>'Parts A'!E4</f>
        <v>LIBERIA</v>
      </c>
      <c r="G9" s="1076"/>
      <c r="H9" s="1077"/>
      <c r="I9" s="883" t="s">
        <v>78</v>
      </c>
      <c r="J9" s="884"/>
      <c r="K9" s="884"/>
      <c r="L9" s="884"/>
      <c r="M9" s="1078"/>
      <c r="N9" s="1079"/>
      <c r="O9" s="426" t="s">
        <v>79</v>
      </c>
      <c r="P9" s="443"/>
      <c r="Q9" s="443"/>
      <c r="R9" s="443"/>
      <c r="S9" s="443"/>
      <c r="T9" s="443"/>
      <c r="U9" s="443"/>
      <c r="V9" s="443"/>
      <c r="W9" s="1080" t="s">
        <v>80</v>
      </c>
      <c r="X9" s="1081"/>
      <c r="Z9" s="803" t="s">
        <v>81</v>
      </c>
      <c r="AB9" s="410" t="s">
        <v>82</v>
      </c>
    </row>
    <row r="10" ht="30" customHeight="1" spans="1:28">
      <c r="A10" s="828"/>
      <c r="B10" s="995" t="s">
        <v>83</v>
      </c>
      <c r="C10" s="432"/>
      <c r="D10" s="432"/>
      <c r="E10" s="432"/>
      <c r="F10" s="432"/>
      <c r="G10" s="432"/>
      <c r="H10" s="1069"/>
      <c r="I10" s="892" t="s">
        <v>84</v>
      </c>
      <c r="J10" s="893"/>
      <c r="K10" s="893"/>
      <c r="L10" s="893"/>
      <c r="M10" s="893"/>
      <c r="N10" s="894"/>
      <c r="O10" s="1072" t="s">
        <v>85</v>
      </c>
      <c r="P10" s="877"/>
      <c r="Q10" s="877"/>
      <c r="R10" s="877"/>
      <c r="S10" s="877"/>
      <c r="T10" s="877"/>
      <c r="U10" s="877"/>
      <c r="V10" s="877"/>
      <c r="W10" s="877"/>
      <c r="X10" s="895"/>
      <c r="Z10" s="803" t="s">
        <v>86</v>
      </c>
    </row>
    <row r="11" ht="30" customHeight="1" spans="1:28">
      <c r="A11" s="828"/>
      <c r="B11" s="1082" t="s">
        <v>87</v>
      </c>
      <c r="C11" s="1083"/>
      <c r="D11" s="1083"/>
      <c r="E11" s="1083"/>
      <c r="F11" s="1083"/>
      <c r="G11" s="1083"/>
      <c r="H11" s="1084"/>
      <c r="I11" s="899"/>
      <c r="J11" s="900"/>
      <c r="K11" s="900"/>
      <c r="L11" s="900"/>
      <c r="M11" s="900"/>
      <c r="N11" s="901"/>
      <c r="O11" s="902" t="s">
        <v>88</v>
      </c>
      <c r="P11" s="903"/>
      <c r="Q11" s="903"/>
      <c r="R11" s="903"/>
      <c r="S11" s="903"/>
      <c r="T11" s="903"/>
      <c r="U11" s="903"/>
      <c r="V11" s="903"/>
      <c r="W11" s="903"/>
      <c r="X11" s="904"/>
      <c r="Z11" s="803" t="s">
        <v>89</v>
      </c>
    </row>
    <row r="12" ht="30" customHeight="1" spans="1:28">
      <c r="A12" s="828"/>
      <c r="B12" s="995" t="s">
        <v>90</v>
      </c>
      <c r="C12" s="432"/>
      <c r="D12" s="432"/>
      <c r="E12" s="906">
        <v>15257</v>
      </c>
      <c r="F12" s="907"/>
      <c r="G12" s="907"/>
      <c r="H12" s="908"/>
      <c r="I12" s="1085" t="s">
        <v>91</v>
      </c>
      <c r="J12" s="910"/>
      <c r="K12" s="427" t="s">
        <v>92</v>
      </c>
      <c r="L12" s="911">
        <v>7467</v>
      </c>
      <c r="M12" s="912"/>
      <c r="N12" s="913"/>
      <c r="O12" s="1086" t="s">
        <v>93</v>
      </c>
      <c r="P12" s="1087"/>
      <c r="Q12" s="1087"/>
      <c r="R12" s="1087"/>
      <c r="S12" s="1087"/>
      <c r="T12" s="1087"/>
      <c r="U12" s="1087"/>
      <c r="V12" s="1088" t="s">
        <v>94</v>
      </c>
      <c r="W12" s="1088"/>
      <c r="X12" s="1089"/>
      <c r="Z12" s="803" t="s">
        <v>95</v>
      </c>
    </row>
    <row r="13" ht="30" customHeight="1" spans="1:28">
      <c r="A13" s="828"/>
      <c r="B13" s="858" t="s">
        <v>96</v>
      </c>
      <c r="C13" s="426"/>
      <c r="D13" s="426"/>
      <c r="E13" s="918"/>
      <c r="F13" s="918"/>
      <c r="G13" s="918"/>
      <c r="H13" s="919"/>
      <c r="I13" s="883" t="s">
        <v>97</v>
      </c>
      <c r="J13" s="920"/>
      <c r="K13" s="921"/>
      <c r="L13" s="922"/>
      <c r="M13" s="922"/>
      <c r="N13" s="923"/>
      <c r="O13" s="1090"/>
      <c r="P13" s="1091"/>
      <c r="Q13" s="1091"/>
      <c r="R13" s="1091"/>
      <c r="S13" s="1091"/>
      <c r="T13" s="1091"/>
      <c r="U13" s="1091"/>
      <c r="V13" s="1215" t="s">
        <v>98</v>
      </c>
      <c r="W13" s="1092"/>
      <c r="X13" s="1093"/>
      <c r="Z13" s="803" t="s">
        <v>99</v>
      </c>
    </row>
    <row r="14" ht="30" customHeight="1" spans="1:28">
      <c r="A14" s="828"/>
      <c r="B14" s="1094" t="s">
        <v>100</v>
      </c>
      <c r="C14" s="930"/>
      <c r="D14" s="930"/>
      <c r="E14" s="930"/>
      <c r="F14" s="930"/>
      <c r="G14" s="930"/>
      <c r="H14" s="930"/>
      <c r="I14" s="873"/>
      <c r="J14" s="873"/>
      <c r="K14" s="931" t="s">
        <v>101</v>
      </c>
      <c r="L14" s="931"/>
      <c r="M14" s="931"/>
      <c r="N14" s="932"/>
      <c r="O14" s="933"/>
      <c r="P14" s="934">
        <v>1234567</v>
      </c>
      <c r="Q14" s="935"/>
      <c r="R14" s="935"/>
      <c r="S14" s="935"/>
      <c r="T14" s="935"/>
      <c r="U14" s="935"/>
      <c r="V14" s="934">
        <v>1234567</v>
      </c>
      <c r="W14" s="1095"/>
      <c r="X14" s="1096"/>
      <c r="Z14" s="803" t="s">
        <v>102</v>
      </c>
    </row>
    <row r="15" ht="30" customHeight="1" spans="1:28">
      <c r="A15" s="828"/>
      <c r="B15" s="896" t="s">
        <v>103</v>
      </c>
      <c r="C15" s="897"/>
      <c r="D15" s="897"/>
      <c r="E15" s="897"/>
      <c r="F15" s="897"/>
      <c r="G15" s="897"/>
      <c r="H15" s="897"/>
      <c r="I15" s="921"/>
      <c r="J15" s="921"/>
      <c r="K15" s="939"/>
      <c r="L15" s="939"/>
      <c r="M15" s="939"/>
      <c r="N15" s="940"/>
      <c r="O15" s="941"/>
      <c r="P15" s="942"/>
      <c r="Q15" s="942"/>
      <c r="R15" s="942"/>
      <c r="S15" s="942"/>
      <c r="T15" s="942"/>
      <c r="U15" s="942"/>
      <c r="V15" s="1097"/>
      <c r="W15" s="1097"/>
      <c r="X15" s="1098"/>
      <c r="Z15" s="803" t="s">
        <v>104</v>
      </c>
    </row>
    <row r="16" spans="1:28">
      <c r="A16" s="828"/>
      <c r="B16" s="947" t="s">
        <v>105</v>
      </c>
      <c r="C16" s="427"/>
      <c r="D16" s="427"/>
      <c r="E16" s="427"/>
      <c r="F16" s="427"/>
      <c r="G16" s="427"/>
      <c r="H16" s="427"/>
      <c r="I16" s="945"/>
      <c r="J16" s="945"/>
      <c r="K16" s="945"/>
      <c r="L16" s="945"/>
      <c r="M16" s="945"/>
      <c r="N16" s="945"/>
      <c r="O16" s="945"/>
      <c r="P16" s="945"/>
      <c r="Q16" s="945"/>
      <c r="R16" s="945"/>
      <c r="S16" s="945"/>
      <c r="T16" s="945"/>
      <c r="U16" s="945"/>
      <c r="V16" s="945"/>
      <c r="W16" s="945"/>
      <c r="X16" s="946"/>
    </row>
    <row r="17" spans="1:24">
      <c r="A17" s="828"/>
      <c r="B17" s="947" t="s">
        <v>106</v>
      </c>
      <c r="C17" s="427"/>
      <c r="D17" s="427"/>
      <c r="E17" s="427"/>
      <c r="F17" s="427"/>
      <c r="G17" s="427"/>
      <c r="H17" s="427"/>
      <c r="I17" s="945"/>
      <c r="J17" s="945"/>
      <c r="K17" s="945"/>
      <c r="L17" s="945"/>
      <c r="M17" s="945"/>
      <c r="N17" s="945"/>
      <c r="O17" s="945"/>
      <c r="P17" s="945"/>
      <c r="Q17" s="945"/>
      <c r="R17" s="945"/>
      <c r="S17" s="945"/>
      <c r="T17" s="945"/>
      <c r="U17" s="945"/>
      <c r="V17" s="945"/>
      <c r="W17" s="945"/>
      <c r="X17" s="946"/>
    </row>
    <row r="18" ht="30" customHeight="1" spans="1:24">
      <c r="A18" s="828"/>
      <c r="B18" s="948"/>
      <c r="C18" s="949"/>
      <c r="D18" s="950"/>
      <c r="E18" s="950"/>
      <c r="F18" s="950"/>
      <c r="G18" s="1099" t="s">
        <v>74</v>
      </c>
      <c r="H18" s="1099"/>
      <c r="I18" s="1099"/>
      <c r="J18" s="1099"/>
      <c r="K18" s="952" t="s">
        <v>13</v>
      </c>
      <c r="L18" s="952"/>
      <c r="M18" s="953" t="str">
        <f>S6</f>
        <v>南沙新港</v>
      </c>
      <c r="N18" s="953"/>
      <c r="O18" s="953"/>
      <c r="P18" s="953"/>
      <c r="Q18" s="954"/>
      <c r="R18" s="952" t="s">
        <v>13</v>
      </c>
      <c r="S18" s="952"/>
      <c r="T18" s="1099" t="s">
        <v>107</v>
      </c>
      <c r="U18" s="1099"/>
      <c r="V18" s="1099"/>
      <c r="W18" s="1099"/>
      <c r="X18" s="956"/>
    </row>
    <row r="19" ht="30" customHeight="1" spans="1:24">
      <c r="A19" s="828"/>
      <c r="B19" s="957" t="s">
        <v>80</v>
      </c>
      <c r="C19" s="958"/>
      <c r="D19" s="958"/>
      <c r="E19" s="958"/>
      <c r="F19" s="958"/>
      <c r="G19" s="958" t="str">
        <f>W9</f>
        <v>VOSTOCHNIY</v>
      </c>
      <c r="H19" s="958"/>
      <c r="I19" s="958"/>
      <c r="J19" s="958"/>
      <c r="K19" s="959"/>
      <c r="L19" s="959"/>
      <c r="M19" s="1100" t="str">
        <f>S7</f>
        <v>NANSHA NEW PORT</v>
      </c>
      <c r="N19" s="1100"/>
      <c r="O19" s="1100"/>
      <c r="P19" s="1100"/>
      <c r="Q19" s="961"/>
      <c r="R19" s="959"/>
      <c r="S19" s="959"/>
      <c r="T19" s="1100" t="s">
        <v>108</v>
      </c>
      <c r="U19" s="1100"/>
      <c r="V19" s="1100"/>
      <c r="W19" s="1100"/>
      <c r="X19" s="963"/>
    </row>
    <row r="20" ht="30.75" customHeight="1" spans="1:24">
      <c r="A20" s="828"/>
      <c r="B20" s="964" t="s">
        <v>109</v>
      </c>
      <c r="C20" s="965"/>
      <c r="D20" s="965"/>
      <c r="E20" s="965"/>
      <c r="F20" s="965"/>
      <c r="G20" s="965"/>
      <c r="H20" s="965"/>
      <c r="I20" s="966"/>
      <c r="J20" s="966"/>
      <c r="K20" s="966"/>
      <c r="L20" s="966"/>
      <c r="M20" s="966"/>
      <c r="N20" s="966"/>
      <c r="O20" s="966"/>
      <c r="P20" s="966"/>
      <c r="Q20" s="966"/>
      <c r="R20" s="966"/>
      <c r="S20" s="966"/>
      <c r="T20" s="966"/>
      <c r="U20" s="966"/>
      <c r="V20" s="966"/>
      <c r="W20" s="966"/>
      <c r="X20" s="967"/>
    </row>
    <row r="21" ht="30.75" customHeight="1" spans="1:24">
      <c r="A21" s="828"/>
      <c r="B21" s="867" t="s">
        <v>110</v>
      </c>
      <c r="C21" s="868"/>
      <c r="D21" s="868"/>
      <c r="E21" s="868"/>
      <c r="F21" s="868"/>
      <c r="G21" s="868"/>
      <c r="H21" s="868"/>
      <c r="I21" s="945"/>
      <c r="J21" s="968" t="s">
        <v>111</v>
      </c>
      <c r="K21" s="969"/>
      <c r="L21" s="970">
        <f>W22+W23</f>
        <v>5181.7</v>
      </c>
      <c r="M21" s="970">
        <f>IF(AND(W22=0,W23=0),"NIL",W22+W23)</f>
        <v>5181.7</v>
      </c>
      <c r="N21" s="970"/>
      <c r="O21" s="971" t="s">
        <v>112</v>
      </c>
      <c r="P21" s="972" t="s">
        <v>113</v>
      </c>
      <c r="Q21" s="972"/>
      <c r="R21" s="972"/>
      <c r="S21" s="972"/>
      <c r="T21" s="972"/>
      <c r="U21" s="972"/>
      <c r="V21" s="972"/>
      <c r="W21" s="972"/>
      <c r="X21" s="973"/>
    </row>
    <row r="22" ht="30.75" customHeight="1" spans="1:24">
      <c r="A22" s="828"/>
      <c r="B22" s="974"/>
      <c r="C22" s="975"/>
      <c r="D22" s="976"/>
      <c r="E22" s="977" t="s">
        <v>114</v>
      </c>
      <c r="F22" s="978" t="str">
        <f>IF('Cstm Inb'!D9+'Cstm Inb'!E9+'Cstm Inb'!H9+'Cstm Inb'!I9+'Cstm Inb'!D11+'Cstm Inb'!E11+'Cstm Inb'!H11+'Cstm Inb'!I11=0,"NIL","20F×"&amp;'Cstm Inb'!D9+'Cstm Inb'!H9+'Cstm Inb'!D11&amp;", 40F×"&amp;'Cstm Inb'!E9+'Cstm Inb'!I9+'Cstm Inb'!E11&amp;", 20E×"&amp;'Cstm Inb'!H11&amp;", 40E×"&amp;'Cstm Inb'!I11)</f>
        <v>20F×22, 40F×55, 20E×35, 40E×0</v>
      </c>
      <c r="G22" s="978"/>
      <c r="H22" s="978"/>
      <c r="I22" s="978"/>
      <c r="J22" s="978"/>
      <c r="K22" s="978"/>
      <c r="L22" s="978"/>
      <c r="M22" s="978"/>
      <c r="N22" s="978"/>
      <c r="O22" s="978"/>
      <c r="P22" s="979" t="s">
        <v>115</v>
      </c>
      <c r="Q22" s="980"/>
      <c r="R22" s="981">
        <f>'Cstm Inb'!D9+'Cstm Inb'!H9+'Cstm Inb'!D11+'Cstm Inb'!H11+('Cstm Inb'!E9+'Cstm Inb'!I9+'Cstm Inb'!E11+'Cstm Inb'!I11)*2</f>
        <v>167</v>
      </c>
      <c r="S22" s="981"/>
      <c r="T22" s="982" t="s">
        <v>116</v>
      </c>
      <c r="U22" s="982"/>
      <c r="V22" s="983" t="s">
        <v>117</v>
      </c>
      <c r="W22" s="984">
        <v>1074.7</v>
      </c>
      <c r="X22" s="985" t="s">
        <v>118</v>
      </c>
    </row>
    <row r="23" ht="30.75" customHeight="1" spans="1:24">
      <c r="A23" s="828"/>
      <c r="B23" s="974"/>
      <c r="C23" s="975"/>
      <c r="D23" s="986"/>
      <c r="E23" s="987" t="s">
        <v>119</v>
      </c>
      <c r="F23" s="988" t="str">
        <f>IF('Cstm Outb'!D10+'Cstm Outb'!E10+'Cstm Outb'!H10+'Cstm Outb'!I10=0,"NIL","20F×"&amp;'Cstm Outb'!D10&amp;", 40F×"&amp;'Cstm Outb'!E10)</f>
        <v>20F×133, 40F×124</v>
      </c>
      <c r="G23" s="988"/>
      <c r="H23" s="988"/>
      <c r="I23" s="988"/>
      <c r="J23" s="988"/>
      <c r="K23" s="988"/>
      <c r="L23" s="988"/>
      <c r="M23" s="988"/>
      <c r="N23" s="988"/>
      <c r="O23" s="988"/>
      <c r="P23" s="1101" t="s">
        <v>115</v>
      </c>
      <c r="Q23" s="1102"/>
      <c r="R23" s="991">
        <f>'Cstm Outb'!D10+'Cstm Outb'!H10+('Cstm Outb'!E10+'Cstm Outb'!I10)*2</f>
        <v>381</v>
      </c>
      <c r="S23" s="991"/>
      <c r="T23" s="1103" t="s">
        <v>116</v>
      </c>
      <c r="U23" s="1103"/>
      <c r="V23" s="1104" t="s">
        <v>117</v>
      </c>
      <c r="W23" s="993">
        <v>4107</v>
      </c>
      <c r="X23" s="985" t="s">
        <v>118</v>
      </c>
    </row>
    <row r="24" ht="30" customHeight="1" spans="1:24">
      <c r="A24" s="828"/>
      <c r="B24" s="995" t="s">
        <v>120</v>
      </c>
      <c r="C24" s="432"/>
      <c r="D24" s="432"/>
      <c r="E24" s="432"/>
      <c r="F24" s="432"/>
      <c r="G24" s="432"/>
      <c r="H24" s="997">
        <v>19</v>
      </c>
      <c r="I24" s="432" t="s">
        <v>121</v>
      </c>
      <c r="J24" s="877"/>
      <c r="K24" s="432"/>
      <c r="L24" s="877"/>
      <c r="M24" s="877"/>
      <c r="N24" s="997" t="s">
        <v>122</v>
      </c>
      <c r="O24" s="998" t="s">
        <v>123</v>
      </c>
      <c r="P24" s="999"/>
      <c r="Q24" s="1000"/>
      <c r="R24" s="1001" t="s">
        <v>124</v>
      </c>
      <c r="S24" s="1001"/>
      <c r="T24" s="1001"/>
      <c r="U24" s="1001"/>
      <c r="V24" s="1002"/>
      <c r="W24" s="1003" t="s">
        <v>125</v>
      </c>
      <c r="X24" s="1004"/>
    </row>
    <row r="25" ht="30" customHeight="1" spans="1:24">
      <c r="A25" s="828"/>
      <c r="B25" s="858" t="s">
        <v>126</v>
      </c>
      <c r="C25" s="426"/>
      <c r="D25" s="426"/>
      <c r="E25" s="426"/>
      <c r="F25" s="426"/>
      <c r="G25" s="426"/>
      <c r="H25" s="1006"/>
      <c r="I25" s="426" t="s">
        <v>127</v>
      </c>
      <c r="J25" s="443"/>
      <c r="K25" s="426"/>
      <c r="L25" s="443"/>
      <c r="M25" s="443"/>
      <c r="N25" s="1006"/>
      <c r="O25" s="1007" t="s">
        <v>128</v>
      </c>
      <c r="P25" s="1008"/>
      <c r="Q25" s="1009"/>
      <c r="R25" s="1010" t="s">
        <v>129</v>
      </c>
      <c r="S25" s="1010"/>
      <c r="T25" s="1010"/>
      <c r="U25" s="1010"/>
      <c r="V25" s="1011"/>
      <c r="W25" s="1105" t="s">
        <v>130</v>
      </c>
      <c r="X25" s="1013"/>
    </row>
    <row r="26" ht="30" customHeight="1" spans="1:24">
      <c r="A26" s="828"/>
      <c r="B26" s="1014" t="s">
        <v>131</v>
      </c>
      <c r="C26" s="1015"/>
      <c r="D26" s="1015"/>
      <c r="E26" s="1015"/>
      <c r="F26" s="1015"/>
      <c r="G26" s="1015"/>
      <c r="H26" s="1015"/>
      <c r="I26" s="461"/>
      <c r="J26" s="461"/>
      <c r="K26" s="1015"/>
      <c r="L26" s="1015"/>
      <c r="M26" s="1015"/>
      <c r="N26" s="1016"/>
      <c r="O26" s="1017" t="s">
        <v>132</v>
      </c>
      <c r="P26" s="1018"/>
      <c r="Q26" s="873"/>
      <c r="R26" s="1010" t="s">
        <v>133</v>
      </c>
      <c r="S26" s="1010"/>
      <c r="T26" s="1010"/>
      <c r="U26" s="1010"/>
      <c r="V26" s="1011"/>
      <c r="W26" s="1106"/>
      <c r="X26" s="1013"/>
    </row>
    <row r="27" ht="30" customHeight="1" spans="1:24">
      <c r="A27" s="828"/>
      <c r="B27" s="1019" t="s">
        <v>134</v>
      </c>
      <c r="C27" s="460"/>
      <c r="D27" s="460"/>
      <c r="E27" s="460"/>
      <c r="F27" s="460"/>
      <c r="G27" s="460"/>
      <c r="H27" s="460"/>
      <c r="I27" s="1020"/>
      <c r="J27" s="1020"/>
      <c r="K27" s="1020"/>
      <c r="L27" s="1020"/>
      <c r="M27" s="1020"/>
      <c r="N27" s="1021"/>
      <c r="O27" s="1107" t="s">
        <v>135</v>
      </c>
      <c r="P27" s="1025"/>
      <c r="Q27" s="873"/>
      <c r="R27" s="1010">
        <v>1234567</v>
      </c>
      <c r="S27" s="1010"/>
      <c r="T27" s="1010"/>
      <c r="U27" s="1010"/>
      <c r="V27" s="1011"/>
      <c r="W27" s="1106"/>
      <c r="X27" s="1013"/>
    </row>
    <row r="28" ht="30" customHeight="1" spans="1:24">
      <c r="A28" s="828"/>
      <c r="B28" s="947" t="s">
        <v>136</v>
      </c>
      <c r="C28" s="427"/>
      <c r="D28" s="427"/>
      <c r="E28" s="427"/>
      <c r="F28" s="427"/>
      <c r="G28" s="427"/>
      <c r="H28" s="1023"/>
      <c r="I28" s="427" t="s">
        <v>137</v>
      </c>
      <c r="J28" s="435"/>
      <c r="K28" s="435"/>
      <c r="L28" s="435"/>
      <c r="M28" s="435"/>
      <c r="N28" s="1024"/>
      <c r="O28" s="1017" t="s">
        <v>138</v>
      </c>
      <c r="P28" s="1025"/>
      <c r="Q28" s="1026"/>
      <c r="R28" s="1108" t="s">
        <v>139</v>
      </c>
      <c r="S28" s="1109"/>
      <c r="T28" s="1109"/>
      <c r="U28" s="1109"/>
      <c r="V28" s="1110"/>
      <c r="W28" s="1111"/>
      <c r="X28" s="1013"/>
    </row>
    <row r="29" ht="30" customHeight="1" spans="1:24">
      <c r="A29" s="828"/>
      <c r="B29" s="858" t="s">
        <v>140</v>
      </c>
      <c r="C29" s="426"/>
      <c r="D29" s="426"/>
      <c r="E29" s="426"/>
      <c r="F29" s="426"/>
      <c r="G29" s="426"/>
      <c r="H29" s="1023"/>
      <c r="I29" s="469" t="s">
        <v>141</v>
      </c>
      <c r="J29" s="443"/>
      <c r="K29" s="443"/>
      <c r="L29" s="443"/>
      <c r="M29" s="443"/>
      <c r="N29" s="1024"/>
      <c r="O29" s="1027" t="s">
        <v>142</v>
      </c>
      <c r="P29" s="1028"/>
      <c r="Q29" s="1028"/>
      <c r="R29" s="1029" t="s">
        <v>143</v>
      </c>
      <c r="S29" s="1029"/>
      <c r="T29" s="1029"/>
      <c r="U29" s="1029"/>
      <c r="V29" s="1030"/>
      <c r="W29" s="1031"/>
      <c r="X29" s="1032"/>
    </row>
    <row r="30" ht="30" customHeight="1" spans="1:24">
      <c r="A30" s="828"/>
      <c r="B30" s="947" t="s">
        <v>144</v>
      </c>
      <c r="C30" s="427"/>
      <c r="D30" s="427"/>
      <c r="E30" s="427"/>
      <c r="F30" s="427"/>
      <c r="G30" s="427"/>
      <c r="H30" s="1112">
        <v>1</v>
      </c>
      <c r="I30" s="427" t="s">
        <v>145</v>
      </c>
      <c r="J30" s="435"/>
      <c r="K30" s="435"/>
      <c r="L30" s="435"/>
      <c r="M30" s="435"/>
      <c r="N30" s="1034" t="s">
        <v>146</v>
      </c>
      <c r="O30" s="432" t="s">
        <v>147</v>
      </c>
      <c r="P30" s="432"/>
      <c r="Q30" s="432"/>
      <c r="R30" s="432"/>
      <c r="S30" s="432"/>
      <c r="T30" s="432"/>
      <c r="U30" s="432"/>
      <c r="V30" s="432"/>
      <c r="W30" s="432"/>
      <c r="X30" s="1035"/>
    </row>
    <row r="31" ht="30" customHeight="1" spans="1:24">
      <c r="A31" s="828"/>
      <c r="B31" s="858" t="s">
        <v>148</v>
      </c>
      <c r="C31" s="426"/>
      <c r="D31" s="426"/>
      <c r="E31" s="426"/>
      <c r="F31" s="426"/>
      <c r="G31" s="426"/>
      <c r="H31" s="1113"/>
      <c r="I31" s="426" t="s">
        <v>149</v>
      </c>
      <c r="J31" s="443"/>
      <c r="K31" s="443"/>
      <c r="L31" s="443"/>
      <c r="M31" s="443"/>
      <c r="N31" s="1034"/>
      <c r="O31" s="427" t="s">
        <v>150</v>
      </c>
      <c r="P31" s="435"/>
      <c r="Q31" s="435"/>
      <c r="R31" s="435"/>
      <c r="S31" s="435"/>
      <c r="T31" s="435"/>
      <c r="U31" s="435"/>
      <c r="V31" s="435"/>
      <c r="W31" s="435"/>
      <c r="X31" s="1037"/>
    </row>
    <row r="32" ht="30" customHeight="1" spans="1:24">
      <c r="A32" s="828"/>
      <c r="B32" s="947" t="s">
        <v>151</v>
      </c>
      <c r="C32" s="427"/>
      <c r="D32" s="427"/>
      <c r="E32" s="427"/>
      <c r="F32" s="427"/>
      <c r="G32" s="427"/>
      <c r="H32" s="1023">
        <v>1</v>
      </c>
      <c r="I32" s="427" t="s">
        <v>152</v>
      </c>
      <c r="J32" s="435"/>
      <c r="K32" s="435"/>
      <c r="L32" s="435"/>
      <c r="M32" s="435"/>
      <c r="N32" s="1024"/>
      <c r="O32" s="1038"/>
      <c r="P32"/>
      <c r="Q32"/>
      <c r="R32"/>
      <c r="S32"/>
      <c r="T32"/>
      <c r="U32"/>
      <c r="V32"/>
      <c r="W32"/>
      <c r="X32" s="1039"/>
    </row>
    <row r="33" ht="30" customHeight="1" spans="1:24">
      <c r="A33" s="828"/>
      <c r="B33" s="1040" t="s">
        <v>153</v>
      </c>
      <c r="C33" s="1041"/>
      <c r="D33" s="1041"/>
      <c r="E33" s="1041"/>
      <c r="F33" s="1041"/>
      <c r="G33" s="1041"/>
      <c r="H33" s="1042"/>
      <c r="I33" s="1043" t="s">
        <v>154</v>
      </c>
      <c r="J33" s="1044"/>
      <c r="K33" s="1044"/>
      <c r="L33" s="1044"/>
      <c r="M33" s="1044"/>
      <c r="N33" s="1045"/>
      <c r="O33" s="1046"/>
      <c r="P33" s="1047"/>
      <c r="Q33" s="1047"/>
      <c r="R33" s="1047"/>
      <c r="S33" s="1047"/>
      <c r="T33" s="1047"/>
      <c r="U33" s="1047"/>
      <c r="V33" s="1047"/>
      <c r="W33" s="1047"/>
      <c r="X33" s="1048"/>
    </row>
    <row r="34" ht="11.25" customHeight="1" spans="1:24">
      <c r="A34" s="828"/>
      <c r="B34" s="1049" t="s">
        <v>155</v>
      </c>
      <c r="C34" s="1049"/>
      <c r="D34" s="1049"/>
      <c r="E34" s="1049"/>
      <c r="F34" s="1049"/>
      <c r="G34" s="1049"/>
      <c r="H34" s="1049"/>
      <c r="I34" s="1049"/>
      <c r="J34" s="1050"/>
      <c r="K34" s="1051"/>
      <c r="L34" s="1051"/>
      <c r="M34" s="1051"/>
      <c r="N34" s="1051"/>
      <c r="O34" s="1051"/>
      <c r="P34" s="1051"/>
      <c r="Q34" s="1051"/>
      <c r="R34" s="1051"/>
      <c r="S34" s="1051"/>
      <c r="T34" s="1051"/>
      <c r="U34" s="1051"/>
      <c r="V34" s="1051"/>
      <c r="W34" s="1051"/>
      <c r="X34" s="1051"/>
    </row>
    <row r="35" ht="11.25" customHeight="1" spans="1:24">
      <c r="A35" s="828"/>
      <c r="B35" s="413" t="s">
        <v>156</v>
      </c>
      <c r="C35" s="413"/>
      <c r="D35" s="413"/>
      <c r="E35" s="413"/>
      <c r="F35" s="413"/>
      <c r="G35" s="413"/>
      <c r="H35" s="413"/>
      <c r="I35" s="411"/>
      <c r="J35" s="411"/>
      <c r="K35" s="819"/>
      <c r="L35" s="819"/>
      <c r="M35" s="819"/>
      <c r="N35" s="819"/>
      <c r="O35" s="819"/>
      <c r="P35" s="819"/>
      <c r="Q35" s="819"/>
      <c r="R35" s="819"/>
      <c r="S35" s="819"/>
      <c r="T35" s="819"/>
      <c r="U35" s="819"/>
      <c r="V35" s="1052"/>
      <c r="W35" s="1053"/>
      <c r="X35" s="1053"/>
    </row>
    <row r="36" ht="11.25" customHeight="1" spans="1:24">
      <c r="A36" s="1054"/>
      <c r="B36" s="407"/>
      <c r="C36" s="407"/>
      <c r="D36" s="407"/>
      <c r="E36" s="407"/>
      <c r="F36" s="407"/>
      <c r="G36" s="407"/>
      <c r="H36" s="819"/>
      <c r="I36" s="819"/>
      <c r="J36" s="819"/>
      <c r="K36" s="819"/>
      <c r="L36" s="819"/>
      <c r="M36" s="819"/>
      <c r="N36" s="819"/>
      <c r="O36" s="819"/>
      <c r="P36" s="819" t="s">
        <v>113</v>
      </c>
      <c r="Q36" s="819"/>
      <c r="R36" s="819"/>
      <c r="S36" s="819"/>
      <c r="T36" s="819"/>
      <c r="U36" s="819"/>
      <c r="V36" s="819"/>
      <c r="W36" s="819"/>
      <c r="X36" s="819"/>
    </row>
    <row r="37" ht="11.25" customHeight="1" spans="1:24">
      <c r="A37" s="1054"/>
      <c r="B37" s="407"/>
      <c r="C37" s="407"/>
      <c r="D37" s="407"/>
      <c r="E37" s="407"/>
      <c r="F37" s="407"/>
      <c r="G37" s="407"/>
      <c r="H37" s="819"/>
      <c r="I37" s="819"/>
      <c r="J37" s="819"/>
      <c r="K37" s="819"/>
      <c r="L37" s="819"/>
      <c r="M37" s="819"/>
      <c r="N37" s="819"/>
      <c r="O37" s="819"/>
      <c r="P37" s="819"/>
      <c r="Q37" s="819"/>
      <c r="R37" s="819"/>
      <c r="S37" s="819"/>
      <c r="T37" s="819"/>
      <c r="U37" s="819"/>
      <c r="V37" s="819"/>
      <c r="W37" s="819"/>
      <c r="X37" s="819"/>
    </row>
  </sheetData>
  <mergeCells count="73">
    <mergeCell ref="B1:X1"/>
    <mergeCell ref="B2:X2"/>
    <mergeCell ref="V3:W3"/>
    <mergeCell ref="V4:W4"/>
    <mergeCell ref="I6:L6"/>
    <mergeCell ref="M6:N6"/>
    <mergeCell ref="S6:U6"/>
    <mergeCell ref="V6:W6"/>
    <mergeCell ref="I7:L7"/>
    <mergeCell ref="M7:N7"/>
    <mergeCell ref="S7:U7"/>
    <mergeCell ref="F8:H8"/>
    <mergeCell ref="I8:L8"/>
    <mergeCell ref="W8:X8"/>
    <mergeCell ref="F9:H9"/>
    <mergeCell ref="I9:L9"/>
    <mergeCell ref="W9:X9"/>
    <mergeCell ref="I10:N10"/>
    <mergeCell ref="B11:H11"/>
    <mergeCell ref="I11:N11"/>
    <mergeCell ref="I12:J12"/>
    <mergeCell ref="V12:X12"/>
    <mergeCell ref="I13:K13"/>
    <mergeCell ref="V13:X13"/>
    <mergeCell ref="B16:X16"/>
    <mergeCell ref="B17:X17"/>
    <mergeCell ref="G18:J18"/>
    <mergeCell ref="M18:P18"/>
    <mergeCell ref="T18:W18"/>
    <mergeCell ref="B19:J19"/>
    <mergeCell ref="M19:P19"/>
    <mergeCell ref="T19:W19"/>
    <mergeCell ref="L21:N21"/>
    <mergeCell ref="F22:O22"/>
    <mergeCell ref="R22:S22"/>
    <mergeCell ref="T22:U22"/>
    <mergeCell ref="F23:O23"/>
    <mergeCell ref="R23:S23"/>
    <mergeCell ref="T23:U23"/>
    <mergeCell ref="R24:V24"/>
    <mergeCell ref="W24:X24"/>
    <mergeCell ref="O25:P25"/>
    <mergeCell ref="R25:V25"/>
    <mergeCell ref="B26:N26"/>
    <mergeCell ref="R26:V26"/>
    <mergeCell ref="B27:N27"/>
    <mergeCell ref="R27:V27"/>
    <mergeCell ref="R28:V28"/>
    <mergeCell ref="O29:Q29"/>
    <mergeCell ref="R29:V29"/>
    <mergeCell ref="O30:X30"/>
    <mergeCell ref="O31:X31"/>
    <mergeCell ref="A1:A37"/>
    <mergeCell ref="H24:H25"/>
    <mergeCell ref="H28:H29"/>
    <mergeCell ref="H30:H31"/>
    <mergeCell ref="H32:H33"/>
    <mergeCell ref="N24:N25"/>
    <mergeCell ref="N28:N29"/>
    <mergeCell ref="N30:N31"/>
    <mergeCell ref="N32:N33"/>
    <mergeCell ref="O3:O4"/>
    <mergeCell ref="U3:U4"/>
    <mergeCell ref="V14:X15"/>
    <mergeCell ref="O32:X33"/>
    <mergeCell ref="K14:N15"/>
    <mergeCell ref="M8:N9"/>
    <mergeCell ref="O12:U13"/>
    <mergeCell ref="P14:U15"/>
    <mergeCell ref="R18:S19"/>
    <mergeCell ref="L12:N13"/>
    <mergeCell ref="K18:L19"/>
    <mergeCell ref="E12:H13"/>
  </mergeCells>
  <conditionalFormatting sqref="F23:O23 R23:S23 W23">
    <cfRule type="cellIs" dxfId="1" priority="1" operator="equal">
      <formula>0</formula>
    </cfRule>
  </conditionalFormatting>
  <pageMargins left="0.786805555555556" right="0.707638888888889" top="0.747916666666667" bottom="0.747916666666667" header="0.313888888888889" footer="0.313888888888889"/>
  <pageSetup paperSize="9" scale="65" orientation="portrait" useFirstPageNumber="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444"/>
  <sheetViews>
    <sheetView view="pageBreakPreview" zoomScaleNormal="100" workbookViewId="0">
      <selection activeCell="F25" sqref="F25"/>
    </sheetView>
  </sheetViews>
  <sheetFormatPr defaultColWidth="9" defaultRowHeight="13.5" outlineLevelCol="6"/>
  <cols>
    <col min="1" max="1" width="2.66666666666667" style="410" customWidth="1"/>
    <col min="2" max="2" width="15" style="410" customWidth="1"/>
    <col min="3" max="3" width="12.4416666666667" style="410" customWidth="1"/>
    <col min="4" max="4" width="12.8833333333333" style="410" customWidth="1"/>
    <col min="5" max="5" width="15.1083333333333" style="410" customWidth="1"/>
    <col min="6" max="6" width="22.4416666666667" style="410" customWidth="1"/>
    <col min="7" max="7" width="14" style="410" customWidth="1"/>
    <col min="8" max="16384" width="9" style="245"/>
  </cols>
  <sheetData>
    <row r="1" s="410" customFormat="1" ht="23.25" customHeight="1" spans="1:7">
      <c r="A1" s="756" t="s">
        <v>51</v>
      </c>
      <c r="B1" s="757" t="s">
        <v>157</v>
      </c>
      <c r="C1" s="757"/>
      <c r="D1" s="757"/>
      <c r="E1" s="757"/>
      <c r="F1" s="757"/>
      <c r="G1" s="758"/>
    </row>
    <row r="2" s="410" customFormat="1" ht="15" customHeight="1" spans="1:7">
      <c r="A2" s="756"/>
      <c r="B2" s="759" t="s">
        <v>158</v>
      </c>
      <c r="C2" s="759"/>
      <c r="D2" s="759"/>
      <c r="E2" s="759"/>
      <c r="F2" s="759"/>
      <c r="G2" s="760" t="s">
        <v>159</v>
      </c>
    </row>
    <row r="3" s="410" customFormat="1" customHeight="1" spans="1:7">
      <c r="A3" s="756"/>
      <c r="B3" s="761" t="s">
        <v>160</v>
      </c>
      <c r="C3" s="762"/>
      <c r="D3" s="762"/>
      <c r="E3" s="763" t="s">
        <v>56</v>
      </c>
      <c r="F3" s="764" t="s">
        <v>161</v>
      </c>
      <c r="G3" s="765" t="s">
        <v>162</v>
      </c>
    </row>
    <row r="4" s="410" customFormat="1" ht="12" customHeight="1" spans="1:7">
      <c r="A4" s="756"/>
      <c r="B4" s="766" t="s">
        <v>163</v>
      </c>
      <c r="C4" s="758"/>
      <c r="D4" s="758"/>
      <c r="E4" s="767" t="s">
        <v>164</v>
      </c>
      <c r="F4" s="768" t="s">
        <v>165</v>
      </c>
      <c r="G4" s="769" t="s">
        <v>166</v>
      </c>
    </row>
    <row r="5" s="410" customFormat="1" ht="3.75" customHeight="1" spans="1:7">
      <c r="A5" s="756"/>
      <c r="B5" s="766"/>
      <c r="C5" s="758"/>
      <c r="D5" s="758"/>
      <c r="E5" s="767"/>
      <c r="F5" s="768"/>
      <c r="G5" s="770"/>
    </row>
    <row r="6" s="440" customFormat="1" customHeight="1" spans="1:7">
      <c r="A6" s="756"/>
      <c r="B6" s="771" t="s">
        <v>167</v>
      </c>
      <c r="C6" s="773" t="str">
        <f>'Gen Inb'!I6</f>
        <v>环球01 </v>
      </c>
      <c r="D6" s="773"/>
      <c r="E6" s="774"/>
      <c r="F6" s="775" t="s">
        <v>168</v>
      </c>
      <c r="G6" s="776" t="str">
        <f>'Gen Inb'!S6</f>
        <v>南沙新港</v>
      </c>
    </row>
    <row r="7" s="440" customFormat="1" customHeight="1" spans="1:7">
      <c r="A7" s="756"/>
      <c r="B7" s="777" t="s">
        <v>169</v>
      </c>
      <c r="C7" s="1055" t="str">
        <f>'Gen Inb'!I7</f>
        <v>GLOBAO 01</v>
      </c>
      <c r="D7" s="779"/>
      <c r="E7" s="780"/>
      <c r="F7" s="781" t="s">
        <v>170</v>
      </c>
      <c r="G7" s="782" t="str">
        <f>'Gen Inb'!S7</f>
        <v>NANSHA NEW PORT</v>
      </c>
    </row>
    <row r="8" s="440" customFormat="1" customHeight="1" spans="1:7">
      <c r="A8" s="756"/>
      <c r="B8" s="771" t="s">
        <v>171</v>
      </c>
      <c r="C8" s="783" t="str">
        <f>'Gen Inb'!F8</f>
        <v>利比里亚</v>
      </c>
      <c r="D8" s="784" t="s">
        <v>172</v>
      </c>
      <c r="E8" s="785" t="str">
        <f>'Gen Inb'!M8</f>
        <v>张宏</v>
      </c>
      <c r="F8" s="775" t="s">
        <v>173</v>
      </c>
      <c r="G8" s="786" t="str">
        <f>'Gen Inb'!S6</f>
        <v>南沙新港</v>
      </c>
    </row>
    <row r="9" s="440" customFormat="1" customHeight="1" spans="1:7">
      <c r="A9" s="756"/>
      <c r="B9" s="787" t="s">
        <v>174</v>
      </c>
      <c r="C9" s="788" t="str">
        <f>'Gen Inb'!F9</f>
        <v>LIBERIA</v>
      </c>
      <c r="D9" s="781" t="s">
        <v>175</v>
      </c>
      <c r="E9" s="789"/>
      <c r="F9" s="790" t="s">
        <v>176</v>
      </c>
      <c r="G9" s="791" t="str">
        <f>'Gen Inb'!S7</f>
        <v>NANSHA NEW PORT</v>
      </c>
    </row>
    <row r="10" s="440" customFormat="1" customHeight="1" spans="1:7">
      <c r="A10" s="756"/>
      <c r="B10" s="792" t="s">
        <v>177</v>
      </c>
      <c r="C10" s="774" t="s">
        <v>178</v>
      </c>
      <c r="D10" s="793"/>
      <c r="E10" s="774"/>
      <c r="F10" s="771" t="s">
        <v>179</v>
      </c>
      <c r="G10" s="792" t="s">
        <v>180</v>
      </c>
    </row>
    <row r="11" s="424" customFormat="1" customHeight="1" spans="1:7">
      <c r="A11" s="756"/>
      <c r="B11" s="794" t="s">
        <v>181</v>
      </c>
      <c r="C11" s="795" t="s">
        <v>182</v>
      </c>
      <c r="D11" s="795"/>
      <c r="E11" s="795"/>
      <c r="F11" s="796" t="s">
        <v>183</v>
      </c>
      <c r="G11" s="797" t="s">
        <v>184</v>
      </c>
    </row>
    <row r="12" s="410" customFormat="1" ht="23.4" customHeight="1" spans="1:7">
      <c r="A12" s="756"/>
      <c r="B12" s="798"/>
      <c r="C12" s="799"/>
      <c r="D12" s="799"/>
      <c r="E12" s="799"/>
      <c r="F12" s="798"/>
      <c r="G12" s="798"/>
    </row>
    <row r="13" s="410" customFormat="1" ht="23.4" customHeight="1" spans="1:7">
      <c r="A13" s="756"/>
      <c r="B13" s="798"/>
      <c r="C13" s="799"/>
      <c r="D13" s="799"/>
      <c r="E13" s="799"/>
      <c r="F13" s="798" t="s">
        <v>113</v>
      </c>
      <c r="G13" s="800" t="s">
        <v>113</v>
      </c>
    </row>
    <row r="14" s="410" customFormat="1" ht="23.4" customHeight="1" spans="1:7">
      <c r="A14" s="756"/>
      <c r="B14" s="798"/>
      <c r="C14" s="799"/>
      <c r="D14" s="799"/>
      <c r="E14" s="799"/>
      <c r="F14" s="798"/>
      <c r="G14" s="801" t="s">
        <v>113</v>
      </c>
    </row>
    <row r="15" s="410" customFormat="1" ht="23.4" customHeight="1" spans="1:7">
      <c r="A15" s="756"/>
      <c r="B15" s="798"/>
      <c r="C15" s="799"/>
      <c r="D15" s="802" t="str">
        <f>'Gen Inb'!J21&amp;'Gen Inb'!M21&amp;" "&amp;'Gen Inb'!O21</f>
        <v>总重量：5181.7 吨</v>
      </c>
      <c r="E15" s="799"/>
      <c r="F15" s="798"/>
      <c r="G15" s="798"/>
    </row>
    <row r="16" s="410" customFormat="1" ht="23.4" customHeight="1" spans="1:7">
      <c r="A16" s="756"/>
      <c r="B16" s="798"/>
      <c r="C16" s="799"/>
      <c r="D16" s="799"/>
      <c r="E16" s="799"/>
      <c r="F16" s="798"/>
      <c r="G16" s="798"/>
    </row>
    <row r="17" s="410" customFormat="1" ht="23.4" customHeight="1" spans="1:7">
      <c r="A17" s="756"/>
      <c r="B17" s="798"/>
      <c r="C17" s="804" t="str">
        <f>'Gen Inb'!E22&amp;'Gen Inb'!F22</f>
        <v>进口柜：20F×22, 40F×55, 20E×35, 40E×0</v>
      </c>
      <c r="D17" s="799"/>
      <c r="E17" s="799"/>
      <c r="F17" s="798"/>
      <c r="G17" s="798"/>
    </row>
    <row r="18" s="410" customFormat="1" ht="23.4" customHeight="1" spans="1:7">
      <c r="A18" s="756"/>
      <c r="B18" s="798"/>
      <c r="C18" s="799"/>
      <c r="D18" s="804" t="str">
        <f>'Gen Inb'!P22&amp;'Gen Inb'!R22&amp;" "&amp;'Gen Inb'!T22&amp;'Gen Inb'!V22&amp;'Gen Inb'!W22&amp;" "&amp;'Gen Inb'!X22</f>
        <v>总共：167 TEU，1074.7 吨；</v>
      </c>
      <c r="E18" s="799"/>
      <c r="F18" s="798"/>
      <c r="G18" s="798"/>
    </row>
    <row r="19" s="410" customFormat="1" ht="23.4" customHeight="1" spans="1:7">
      <c r="A19" s="756"/>
      <c r="B19" s="798"/>
      <c r="C19" s="804" t="str">
        <f>'Gen Inb'!E23&amp;'Gen Inb'!F23</f>
        <v>过境柜：20F×133, 40F×124</v>
      </c>
      <c r="D19" s="799"/>
      <c r="E19" s="799"/>
      <c r="F19" s="798"/>
      <c r="G19" s="798"/>
    </row>
    <row r="20" s="410" customFormat="1" ht="23.4" customHeight="1" spans="1:7">
      <c r="A20" s="756"/>
      <c r="B20" s="798"/>
      <c r="C20" s="799"/>
      <c r="D20" s="804" t="str">
        <f>'Gen Inb'!P23&amp;'Gen Inb'!R23&amp;" "&amp;'Gen Inb'!T23&amp;'Gen Inb'!V23&amp;'Gen Inb'!W23&amp;" "&amp;'Gen Inb'!X23</f>
        <v>总共：381 TEU，4107 吨；</v>
      </c>
      <c r="E20" s="799"/>
      <c r="F20" s="798"/>
      <c r="G20" s="798"/>
    </row>
    <row r="21" s="410" customFormat="1" ht="23.4" customHeight="1" spans="1:7">
      <c r="A21" s="756"/>
      <c r="B21" s="798"/>
      <c r="C21" s="799"/>
      <c r="D21" s="799"/>
      <c r="E21" s="799"/>
      <c r="F21" s="798"/>
      <c r="G21" s="798"/>
    </row>
    <row r="22" s="410" customFormat="1" ht="23.4" customHeight="1" spans="1:7">
      <c r="A22" s="756"/>
      <c r="B22" s="798"/>
      <c r="C22" s="799"/>
      <c r="D22" s="799"/>
      <c r="E22" s="799"/>
      <c r="F22" s="798"/>
      <c r="G22" s="798"/>
    </row>
    <row r="23" s="410" customFormat="1" ht="23.4" customHeight="1" spans="1:7">
      <c r="A23" s="756"/>
      <c r="B23" s="798"/>
      <c r="C23" s="799"/>
      <c r="D23" s="799"/>
      <c r="E23" s="799"/>
      <c r="F23" s="798"/>
      <c r="G23" s="798"/>
    </row>
    <row r="24" s="410" customFormat="1" ht="23.4" customHeight="1" spans="1:7">
      <c r="A24" s="756"/>
      <c r="B24" s="798"/>
      <c r="C24" s="799"/>
      <c r="D24" s="799"/>
      <c r="E24" s="799"/>
      <c r="F24" s="798"/>
      <c r="G24" s="798"/>
    </row>
    <row r="25" s="410" customFormat="1" ht="23.4" customHeight="1" spans="1:7">
      <c r="A25" s="756"/>
      <c r="B25" s="798"/>
      <c r="C25" s="799"/>
      <c r="D25" s="799"/>
      <c r="E25" s="799"/>
      <c r="F25" s="798"/>
      <c r="G25" s="798"/>
    </row>
    <row r="26" s="410" customFormat="1" ht="23.4" customHeight="1" spans="1:7">
      <c r="A26" s="756"/>
      <c r="B26" s="805"/>
      <c r="C26" s="806" t="str">
        <f>'Gen Inb'!O12&amp;"："&amp;'Gen Inb'!V12</f>
        <v>示例船务代理有限公司：联系人</v>
      </c>
      <c r="D26" s="807"/>
      <c r="E26" s="799"/>
      <c r="F26" s="798"/>
      <c r="G26" s="798"/>
    </row>
    <row r="27" s="410" customFormat="1" ht="23.4" customHeight="1" spans="1:7">
      <c r="A27" s="756"/>
      <c r="B27" s="808"/>
      <c r="C27" s="799"/>
      <c r="D27" s="809">
        <f>'Gen Inb'!V14</f>
        <v>1234567</v>
      </c>
      <c r="E27" s="799"/>
      <c r="F27" s="798"/>
      <c r="G27" s="798"/>
    </row>
    <row r="28" s="410" customFormat="1" ht="23.4" customHeight="1" spans="1:7">
      <c r="A28" s="756"/>
      <c r="B28" s="798"/>
      <c r="C28" s="799"/>
      <c r="D28" s="799"/>
      <c r="E28" s="799"/>
      <c r="F28" s="798"/>
      <c r="G28" s="798"/>
    </row>
    <row r="29" s="410" customFormat="1" ht="23.4" customHeight="1" spans="1:7">
      <c r="A29" s="756"/>
      <c r="B29" s="798"/>
      <c r="C29" s="799"/>
      <c r="D29" s="799"/>
      <c r="E29" s="799"/>
      <c r="F29" s="798"/>
      <c r="G29" s="798"/>
    </row>
    <row r="30" s="410" customFormat="1" ht="23.4" customHeight="1" spans="1:7">
      <c r="A30" s="756"/>
      <c r="B30" s="810"/>
      <c r="C30" s="811"/>
      <c r="D30" s="811"/>
      <c r="E30" s="811"/>
      <c r="F30" s="810"/>
      <c r="G30" s="810"/>
    </row>
    <row r="31" s="410" customFormat="1" ht="23.4" customHeight="1" spans="1:7">
      <c r="A31" s="756"/>
      <c r="B31" s="810"/>
      <c r="C31" s="811"/>
      <c r="D31" s="811"/>
      <c r="E31" s="811"/>
      <c r="F31" s="810"/>
      <c r="G31" s="810"/>
    </row>
    <row r="32" s="410" customFormat="1" ht="24" customHeight="1" spans="1:7">
      <c r="A32" s="756"/>
      <c r="B32" s="810"/>
      <c r="C32" s="811"/>
      <c r="D32" s="811"/>
      <c r="E32" s="811"/>
      <c r="F32" s="810"/>
      <c r="G32" s="810"/>
    </row>
    <row r="33" s="410" customFormat="1" ht="24.75" customHeight="1" spans="1:7">
      <c r="A33" s="756"/>
      <c r="B33" s="812"/>
      <c r="C33" s="813"/>
      <c r="D33" s="813"/>
      <c r="E33" s="813"/>
      <c r="F33" s="812"/>
      <c r="G33" s="812"/>
    </row>
    <row r="34" s="410" customFormat="1" ht="12" customHeight="1" spans="1:7">
      <c r="A34" s="756"/>
      <c r="B34" s="814" t="s">
        <v>185</v>
      </c>
      <c r="C34" s="815"/>
      <c r="D34" s="815"/>
      <c r="E34" s="815"/>
      <c r="F34" s="815"/>
      <c r="G34" s="815"/>
    </row>
    <row r="35" s="410" customFormat="1" ht="10.5" customHeight="1" spans="1:7">
      <c r="A35" s="756"/>
      <c r="B35" s="816" t="s">
        <v>186</v>
      </c>
      <c r="C35" s="817"/>
      <c r="D35" s="817"/>
      <c r="E35" s="817"/>
    </row>
    <row r="36" s="410" customFormat="1" ht="10.5" customHeight="1" spans="1:7">
      <c r="A36" s="818"/>
      <c r="B36" s="819"/>
      <c r="C36" s="819"/>
      <c r="D36" s="819"/>
      <c r="E36" s="819"/>
    </row>
    <row r="37" customHeight="1" spans="1:7">
      <c r="A37" s="820"/>
      <c r="B37" s="821"/>
      <c r="C37" s="405"/>
      <c r="D37" s="405"/>
      <c r="E37" s="405"/>
      <c r="F37" s="822" t="s">
        <v>187</v>
      </c>
      <c r="G37" s="822"/>
    </row>
    <row r="38" ht="14.25" customHeight="1" spans="1:7">
      <c r="B38" s="405"/>
      <c r="C38" s="405"/>
      <c r="D38" s="405"/>
      <c r="E38" s="405"/>
      <c r="F38" s="823" t="s">
        <v>188</v>
      </c>
      <c r="G38" s="823"/>
    </row>
    <row r="39" spans="1:7">
      <c r="B39" s="405"/>
      <c r="C39" s="405"/>
      <c r="D39" s="405"/>
      <c r="E39" s="405"/>
      <c r="F39" s="405"/>
      <c r="G39" s="405"/>
    </row>
    <row r="40" spans="1:7">
      <c r="B40" s="405"/>
      <c r="C40" s="405"/>
      <c r="D40" s="405"/>
      <c r="E40" s="405"/>
      <c r="F40" s="405"/>
      <c r="G40" s="405"/>
    </row>
    <row r="41" spans="1:7">
      <c r="B41" s="405"/>
      <c r="C41" s="405"/>
      <c r="D41" s="405"/>
      <c r="E41" s="405"/>
      <c r="F41" s="405"/>
      <c r="G41" s="405"/>
    </row>
    <row r="42" spans="1:7">
      <c r="B42" s="405"/>
      <c r="C42" s="405"/>
      <c r="D42" s="405"/>
      <c r="E42" s="405"/>
      <c r="F42" s="405"/>
      <c r="G42" s="405"/>
    </row>
    <row r="43" spans="1:7">
      <c r="B43" s="405"/>
      <c r="C43" s="405"/>
      <c r="D43" s="405"/>
      <c r="E43" s="405"/>
      <c r="F43" s="405"/>
      <c r="G43" s="405"/>
    </row>
    <row r="44" spans="1:7">
      <c r="B44" s="405"/>
      <c r="C44" s="405"/>
      <c r="D44" s="405"/>
      <c r="E44" s="405"/>
      <c r="F44" s="405"/>
      <c r="G44" s="405"/>
    </row>
    <row r="45" spans="1:7">
      <c r="B45" s="405"/>
      <c r="C45" s="405"/>
      <c r="D45" s="405"/>
      <c r="E45" s="405"/>
      <c r="F45" s="405"/>
      <c r="G45" s="405"/>
    </row>
    <row r="46" spans="1:7">
      <c r="B46" s="405"/>
      <c r="C46" s="405"/>
      <c r="D46" s="405"/>
      <c r="E46" s="405"/>
      <c r="F46" s="405"/>
      <c r="G46" s="405"/>
    </row>
    <row r="47" spans="1:7">
      <c r="B47" s="405"/>
      <c r="C47" s="405"/>
      <c r="D47" s="405"/>
      <c r="E47" s="405"/>
      <c r="F47" s="405"/>
      <c r="G47" s="405"/>
    </row>
    <row r="48" spans="1:7">
      <c r="B48" s="405"/>
      <c r="C48" s="405"/>
      <c r="D48" s="405"/>
      <c r="E48" s="405"/>
      <c r="F48" s="405"/>
      <c r="G48" s="405"/>
    </row>
    <row r="49" spans="2:7">
      <c r="B49" s="405"/>
      <c r="C49" s="405"/>
      <c r="D49" s="405"/>
      <c r="E49" s="405"/>
      <c r="F49" s="405"/>
      <c r="G49" s="405"/>
    </row>
    <row r="50" spans="2:7">
      <c r="B50" s="405"/>
      <c r="C50" s="405"/>
      <c r="D50" s="405"/>
      <c r="E50" s="405"/>
      <c r="F50" s="405"/>
      <c r="G50" s="405"/>
    </row>
    <row r="51" spans="2:7">
      <c r="B51" s="405"/>
      <c r="C51" s="405"/>
      <c r="D51" s="405"/>
      <c r="E51" s="405"/>
      <c r="F51" s="405"/>
      <c r="G51" s="405"/>
    </row>
    <row r="52" spans="2:7">
      <c r="B52" s="405"/>
      <c r="C52" s="405"/>
      <c r="D52" s="405"/>
      <c r="E52" s="405"/>
      <c r="F52" s="405"/>
      <c r="G52" s="405"/>
    </row>
    <row r="53" spans="2:7">
      <c r="B53" s="405"/>
      <c r="C53" s="405"/>
      <c r="D53" s="405"/>
      <c r="E53" s="405"/>
      <c r="F53" s="405"/>
      <c r="G53" s="405"/>
    </row>
    <row r="54" spans="2:7">
      <c r="B54" s="405"/>
      <c r="C54" s="405"/>
      <c r="D54" s="405"/>
      <c r="E54" s="405"/>
      <c r="F54" s="405"/>
      <c r="G54" s="405"/>
    </row>
    <row r="55" spans="2:7">
      <c r="B55" s="405"/>
      <c r="C55" s="405"/>
      <c r="D55" s="405"/>
      <c r="E55" s="405"/>
      <c r="F55" s="405"/>
      <c r="G55" s="405"/>
    </row>
    <row r="56" spans="2:7">
      <c r="B56" s="405"/>
      <c r="C56" s="405"/>
      <c r="D56" s="405"/>
      <c r="E56" s="405"/>
      <c r="F56" s="405"/>
      <c r="G56" s="405"/>
    </row>
    <row r="57" spans="2:7">
      <c r="B57" s="405"/>
      <c r="C57" s="405"/>
      <c r="D57" s="405"/>
      <c r="E57" s="405"/>
      <c r="F57" s="405"/>
      <c r="G57" s="405"/>
    </row>
    <row r="58" spans="2:7">
      <c r="B58" s="405"/>
      <c r="C58" s="405"/>
      <c r="D58" s="405"/>
      <c r="E58" s="405"/>
      <c r="F58" s="405"/>
      <c r="G58" s="405"/>
    </row>
    <row r="59" spans="2:7">
      <c r="B59" s="405"/>
      <c r="C59" s="405"/>
      <c r="D59" s="405"/>
      <c r="E59" s="405"/>
      <c r="F59" s="405"/>
      <c r="G59" s="405"/>
    </row>
    <row r="60" spans="2:7">
      <c r="B60" s="405"/>
      <c r="C60" s="405"/>
      <c r="D60" s="405"/>
      <c r="E60" s="405"/>
      <c r="F60" s="405"/>
      <c r="G60" s="405"/>
    </row>
    <row r="61" spans="2:7">
      <c r="B61" s="405"/>
      <c r="C61" s="405"/>
      <c r="D61" s="405"/>
      <c r="E61" s="405"/>
      <c r="F61" s="405"/>
      <c r="G61" s="405"/>
    </row>
    <row r="62" spans="2:7">
      <c r="B62" s="405"/>
      <c r="C62" s="405"/>
      <c r="D62" s="405"/>
      <c r="E62" s="405"/>
      <c r="F62" s="405"/>
      <c r="G62" s="405"/>
    </row>
    <row r="63" spans="2:7">
      <c r="B63" s="405"/>
      <c r="C63" s="405"/>
      <c r="D63" s="405"/>
      <c r="E63" s="405"/>
      <c r="F63" s="405"/>
      <c r="G63" s="405"/>
    </row>
    <row r="64" spans="2:7">
      <c r="B64" s="405"/>
      <c r="C64" s="405"/>
      <c r="D64" s="405"/>
      <c r="E64" s="405"/>
      <c r="F64" s="405"/>
      <c r="G64" s="405"/>
    </row>
    <row r="65" spans="2:7">
      <c r="B65" s="405"/>
      <c r="C65" s="405"/>
      <c r="D65" s="405"/>
      <c r="E65" s="405"/>
      <c r="F65" s="405"/>
      <c r="G65" s="405"/>
    </row>
    <row r="66" spans="2:7">
      <c r="B66" s="405"/>
      <c r="C66" s="405"/>
      <c r="D66" s="405"/>
      <c r="E66" s="405"/>
      <c r="F66" s="405"/>
      <c r="G66" s="405"/>
    </row>
    <row r="67" spans="2:7">
      <c r="B67" s="405"/>
      <c r="C67" s="405"/>
      <c r="D67" s="405"/>
      <c r="E67" s="405"/>
      <c r="F67" s="405"/>
      <c r="G67" s="405"/>
    </row>
    <row r="68" spans="2:7">
      <c r="B68" s="405"/>
      <c r="C68" s="405"/>
      <c r="D68" s="405"/>
      <c r="E68" s="405"/>
      <c r="F68" s="405"/>
      <c r="G68" s="405"/>
    </row>
    <row r="69" spans="2:7">
      <c r="B69" s="405"/>
      <c r="C69" s="405"/>
      <c r="D69" s="405"/>
      <c r="E69" s="405"/>
      <c r="F69" s="405"/>
      <c r="G69" s="405"/>
    </row>
    <row r="70" spans="2:7">
      <c r="B70" s="405"/>
      <c r="C70" s="405"/>
      <c r="D70" s="405"/>
      <c r="E70" s="405"/>
      <c r="F70" s="405"/>
      <c r="G70" s="405"/>
    </row>
    <row r="71" spans="2:7">
      <c r="B71" s="405"/>
      <c r="C71" s="405"/>
      <c r="D71" s="405"/>
      <c r="E71" s="405"/>
      <c r="F71" s="405"/>
      <c r="G71" s="405"/>
    </row>
    <row r="72" spans="2:7">
      <c r="B72" s="405"/>
      <c r="C72" s="405"/>
      <c r="D72" s="405"/>
      <c r="E72" s="405"/>
      <c r="F72" s="405"/>
      <c r="G72" s="405"/>
    </row>
    <row r="73" spans="2:7">
      <c r="B73" s="405"/>
      <c r="C73" s="405"/>
      <c r="D73" s="405"/>
      <c r="E73" s="405"/>
      <c r="F73" s="405"/>
      <c r="G73" s="405"/>
    </row>
    <row r="74" spans="2:7">
      <c r="B74" s="405"/>
      <c r="C74" s="405"/>
      <c r="D74" s="405"/>
      <c r="E74" s="405"/>
      <c r="F74" s="405"/>
      <c r="G74" s="405"/>
    </row>
    <row r="75" spans="2:7">
      <c r="B75" s="405"/>
      <c r="C75" s="405"/>
      <c r="D75" s="405"/>
      <c r="E75" s="405"/>
      <c r="F75" s="405"/>
      <c r="G75" s="405"/>
    </row>
    <row r="76" spans="2:7">
      <c r="B76" s="405"/>
      <c r="C76" s="405"/>
      <c r="D76" s="405"/>
      <c r="E76" s="405"/>
      <c r="F76" s="405"/>
      <c r="G76" s="405"/>
    </row>
    <row r="77" spans="2:7">
      <c r="B77" s="405"/>
      <c r="C77" s="405"/>
      <c r="D77" s="405"/>
      <c r="E77" s="405"/>
      <c r="F77" s="405"/>
      <c r="G77" s="405"/>
    </row>
    <row r="78" spans="2:7">
      <c r="B78" s="405"/>
      <c r="C78" s="405"/>
      <c r="D78" s="405"/>
      <c r="E78" s="405"/>
      <c r="F78" s="405"/>
      <c r="G78" s="405"/>
    </row>
    <row r="79" spans="2:7">
      <c r="B79" s="405"/>
      <c r="C79" s="405"/>
      <c r="D79" s="405"/>
      <c r="E79" s="405"/>
      <c r="F79" s="405"/>
      <c r="G79" s="405"/>
    </row>
    <row r="80" spans="2:7">
      <c r="B80" s="405"/>
      <c r="C80" s="405"/>
      <c r="D80" s="405"/>
      <c r="E80" s="405"/>
      <c r="F80" s="405"/>
      <c r="G80" s="405"/>
    </row>
    <row r="81" spans="2:7">
      <c r="B81" s="405"/>
      <c r="C81" s="405"/>
      <c r="D81" s="405"/>
      <c r="E81" s="405"/>
      <c r="F81" s="405"/>
      <c r="G81" s="405"/>
    </row>
    <row r="82" spans="2:7">
      <c r="B82" s="405"/>
      <c r="C82" s="405"/>
      <c r="D82" s="405"/>
      <c r="E82" s="405"/>
      <c r="F82" s="405"/>
      <c r="G82" s="405"/>
    </row>
    <row r="83" spans="2:7">
      <c r="B83" s="405"/>
      <c r="C83" s="405"/>
      <c r="D83" s="405"/>
      <c r="E83" s="405"/>
      <c r="F83" s="405"/>
      <c r="G83" s="405"/>
    </row>
    <row r="84" spans="2:7">
      <c r="B84" s="405"/>
      <c r="C84" s="405"/>
      <c r="D84" s="405"/>
      <c r="E84" s="405"/>
      <c r="F84" s="405"/>
      <c r="G84" s="405"/>
    </row>
    <row r="85" spans="2:7">
      <c r="B85" s="405"/>
      <c r="C85" s="405"/>
      <c r="D85" s="405"/>
      <c r="E85" s="405"/>
      <c r="F85" s="405"/>
      <c r="G85" s="405"/>
    </row>
    <row r="86" spans="2:7">
      <c r="B86" s="405"/>
      <c r="C86" s="405"/>
      <c r="D86" s="405"/>
      <c r="E86" s="405"/>
      <c r="F86" s="405"/>
      <c r="G86" s="405"/>
    </row>
    <row r="87" spans="2:7">
      <c r="B87" s="405"/>
      <c r="C87" s="405"/>
      <c r="D87" s="405"/>
      <c r="E87" s="405"/>
      <c r="F87" s="405"/>
      <c r="G87" s="405"/>
    </row>
    <row r="88" spans="2:7">
      <c r="B88" s="405"/>
      <c r="C88" s="405"/>
      <c r="D88" s="405"/>
      <c r="E88" s="405"/>
      <c r="F88" s="405"/>
      <c r="G88" s="405"/>
    </row>
    <row r="89" spans="2:7">
      <c r="B89" s="405"/>
      <c r="C89" s="405"/>
      <c r="D89" s="405"/>
      <c r="E89" s="405"/>
      <c r="F89" s="405"/>
      <c r="G89" s="405"/>
    </row>
    <row r="90" spans="2:7">
      <c r="B90" s="405"/>
      <c r="C90" s="405"/>
      <c r="D90" s="405"/>
      <c r="E90" s="405"/>
      <c r="F90" s="405"/>
      <c r="G90" s="405"/>
    </row>
    <row r="91" spans="2:7">
      <c r="B91" s="405"/>
      <c r="C91" s="405"/>
      <c r="D91" s="405"/>
      <c r="E91" s="405"/>
      <c r="F91" s="405"/>
      <c r="G91" s="405"/>
    </row>
    <row r="92" spans="2:7">
      <c r="B92" s="405"/>
      <c r="C92" s="405"/>
      <c r="D92" s="405"/>
      <c r="E92" s="405"/>
      <c r="F92" s="405"/>
      <c r="G92" s="405"/>
    </row>
    <row r="93" spans="2:7">
      <c r="B93" s="405"/>
      <c r="C93" s="405"/>
      <c r="D93" s="405"/>
      <c r="E93" s="405"/>
      <c r="F93" s="405"/>
      <c r="G93" s="405"/>
    </row>
    <row r="94" spans="2:7">
      <c r="B94" s="405"/>
      <c r="C94" s="405"/>
      <c r="D94" s="405"/>
      <c r="E94" s="405"/>
      <c r="F94" s="405"/>
      <c r="G94" s="405"/>
    </row>
    <row r="95" spans="2:7">
      <c r="B95" s="405"/>
      <c r="C95" s="405"/>
      <c r="D95" s="405"/>
      <c r="E95" s="405"/>
      <c r="F95" s="405"/>
      <c r="G95" s="405"/>
    </row>
    <row r="96" spans="2:7">
      <c r="B96" s="405"/>
      <c r="C96" s="405"/>
      <c r="D96" s="405"/>
      <c r="E96" s="405"/>
      <c r="F96" s="405"/>
      <c r="G96" s="405"/>
    </row>
    <row r="97" spans="2:7">
      <c r="B97" s="405"/>
      <c r="C97" s="405"/>
      <c r="D97" s="405"/>
      <c r="E97" s="405"/>
      <c r="F97" s="405"/>
      <c r="G97" s="405"/>
    </row>
    <row r="98" spans="2:7">
      <c r="B98" s="405"/>
      <c r="C98" s="405"/>
      <c r="D98" s="405"/>
      <c r="E98" s="405"/>
      <c r="F98" s="405"/>
      <c r="G98" s="405"/>
    </row>
    <row r="99" spans="2:7">
      <c r="B99" s="405"/>
      <c r="C99" s="405"/>
      <c r="D99" s="405"/>
      <c r="E99" s="405"/>
      <c r="F99" s="405"/>
      <c r="G99" s="405"/>
    </row>
    <row r="100" spans="2:7">
      <c r="B100" s="405"/>
      <c r="C100" s="405"/>
      <c r="D100" s="405"/>
      <c r="E100" s="405"/>
      <c r="F100" s="405"/>
      <c r="G100" s="405"/>
    </row>
    <row r="101" spans="2:7">
      <c r="B101" s="405"/>
      <c r="C101" s="405"/>
      <c r="D101" s="405"/>
      <c r="E101" s="405"/>
      <c r="F101" s="405"/>
      <c r="G101" s="405"/>
    </row>
    <row r="102" spans="2:7">
      <c r="B102" s="405"/>
      <c r="C102" s="405"/>
      <c r="D102" s="405"/>
      <c r="E102" s="405"/>
      <c r="F102" s="405"/>
      <c r="G102" s="405"/>
    </row>
    <row r="103" spans="2:7">
      <c r="B103" s="405"/>
      <c r="C103" s="405"/>
      <c r="D103" s="405"/>
      <c r="E103" s="405"/>
      <c r="F103" s="405"/>
      <c r="G103" s="405"/>
    </row>
    <row r="104" spans="2:7">
      <c r="B104" s="405"/>
      <c r="C104" s="405"/>
      <c r="D104" s="405"/>
      <c r="E104" s="405"/>
      <c r="F104" s="405"/>
      <c r="G104" s="405"/>
    </row>
    <row r="105" spans="2:7">
      <c r="B105" s="405"/>
      <c r="C105" s="405"/>
      <c r="D105" s="405"/>
      <c r="E105" s="405"/>
      <c r="F105" s="405"/>
      <c r="G105" s="405"/>
    </row>
    <row r="106" spans="2:7">
      <c r="B106" s="405"/>
      <c r="C106" s="405"/>
      <c r="D106" s="405"/>
      <c r="E106" s="405"/>
      <c r="F106" s="405"/>
      <c r="G106" s="405"/>
    </row>
    <row r="107" spans="2:7">
      <c r="B107" s="405"/>
      <c r="C107" s="405"/>
      <c r="D107" s="405"/>
      <c r="E107" s="405"/>
      <c r="F107" s="405"/>
      <c r="G107" s="405"/>
    </row>
    <row r="108" spans="2:7">
      <c r="B108" s="405"/>
      <c r="C108" s="405"/>
      <c r="D108" s="405"/>
      <c r="E108" s="405"/>
      <c r="F108" s="405"/>
      <c r="G108" s="405"/>
    </row>
    <row r="109" spans="2:7">
      <c r="B109" s="405"/>
      <c r="C109" s="405"/>
      <c r="D109" s="405"/>
      <c r="E109" s="405"/>
      <c r="F109" s="405"/>
      <c r="G109" s="405"/>
    </row>
    <row r="110" spans="2:7">
      <c r="B110" s="405"/>
      <c r="C110" s="405"/>
      <c r="D110" s="405"/>
      <c r="E110" s="405"/>
      <c r="F110" s="405"/>
      <c r="G110" s="405"/>
    </row>
    <row r="111" spans="2:7">
      <c r="B111" s="405"/>
      <c r="C111" s="405"/>
      <c r="D111" s="405"/>
      <c r="E111" s="405"/>
      <c r="F111" s="405"/>
      <c r="G111" s="405"/>
    </row>
    <row r="112" spans="2:7">
      <c r="B112" s="405"/>
      <c r="C112" s="405"/>
      <c r="D112" s="405"/>
      <c r="E112" s="405"/>
      <c r="F112" s="405"/>
      <c r="G112" s="405"/>
    </row>
    <row r="113" spans="2:7">
      <c r="B113" s="405"/>
      <c r="C113" s="405"/>
      <c r="D113" s="405"/>
      <c r="E113" s="405"/>
      <c r="F113" s="405"/>
      <c r="G113" s="405"/>
    </row>
    <row r="114" spans="2:7">
      <c r="B114" s="405"/>
      <c r="C114" s="405"/>
      <c r="D114" s="405"/>
      <c r="E114" s="405"/>
      <c r="F114" s="405"/>
      <c r="G114" s="405"/>
    </row>
    <row r="115" spans="2:7">
      <c r="B115" s="405"/>
      <c r="C115" s="405"/>
      <c r="D115" s="405"/>
      <c r="E115" s="405"/>
      <c r="F115" s="405"/>
      <c r="G115" s="405"/>
    </row>
    <row r="116" spans="2:7">
      <c r="B116" s="405"/>
      <c r="C116" s="405"/>
      <c r="D116" s="405"/>
      <c r="E116" s="405"/>
      <c r="F116" s="405"/>
      <c r="G116" s="405"/>
    </row>
    <row r="117" spans="2:7">
      <c r="B117" s="405"/>
      <c r="C117" s="405"/>
      <c r="D117" s="405"/>
      <c r="E117" s="405"/>
      <c r="F117" s="405"/>
      <c r="G117" s="405"/>
    </row>
    <row r="118" spans="2:7">
      <c r="B118" s="405"/>
      <c r="C118" s="405"/>
      <c r="D118" s="405"/>
      <c r="E118" s="405"/>
      <c r="F118" s="405"/>
      <c r="G118" s="405"/>
    </row>
    <row r="119" spans="2:7">
      <c r="B119" s="405"/>
      <c r="C119" s="405"/>
      <c r="D119" s="405"/>
      <c r="E119" s="405"/>
      <c r="F119" s="405"/>
      <c r="G119" s="405"/>
    </row>
    <row r="120" spans="2:7">
      <c r="B120" s="405"/>
      <c r="C120" s="405"/>
      <c r="D120" s="405"/>
      <c r="E120" s="405"/>
      <c r="F120" s="405"/>
      <c r="G120" s="405"/>
    </row>
    <row r="121" spans="2:7">
      <c r="B121" s="405"/>
      <c r="C121" s="405"/>
      <c r="D121" s="405"/>
      <c r="E121" s="405"/>
      <c r="F121" s="405"/>
      <c r="G121" s="405"/>
    </row>
    <row r="122" spans="2:7">
      <c r="B122" s="405"/>
      <c r="C122" s="405"/>
      <c r="D122" s="405"/>
      <c r="E122" s="405"/>
      <c r="F122" s="405"/>
      <c r="G122" s="405"/>
    </row>
    <row r="123" spans="2:7">
      <c r="B123" s="405"/>
      <c r="C123" s="405"/>
      <c r="D123" s="405"/>
      <c r="E123" s="405"/>
      <c r="F123" s="405"/>
      <c r="G123" s="405"/>
    </row>
    <row r="124" spans="2:7">
      <c r="B124" s="405"/>
      <c r="C124" s="405"/>
      <c r="D124" s="405"/>
      <c r="E124" s="405"/>
      <c r="F124" s="405"/>
      <c r="G124" s="405"/>
    </row>
    <row r="125" spans="2:7">
      <c r="B125" s="405"/>
      <c r="C125" s="405"/>
      <c r="D125" s="405"/>
      <c r="E125" s="405"/>
      <c r="F125" s="405"/>
      <c r="G125" s="405"/>
    </row>
    <row r="126" spans="2:7">
      <c r="B126" s="405"/>
      <c r="C126" s="405"/>
      <c r="D126" s="405"/>
      <c r="E126" s="405"/>
      <c r="F126" s="405"/>
      <c r="G126" s="405"/>
    </row>
    <row r="127" spans="2:7">
      <c r="B127" s="405"/>
      <c r="C127" s="405"/>
      <c r="D127" s="405"/>
      <c r="E127" s="405"/>
      <c r="F127" s="405"/>
      <c r="G127" s="405"/>
    </row>
    <row r="128" spans="2:7">
      <c r="B128" s="405"/>
      <c r="C128" s="405"/>
      <c r="D128" s="405"/>
      <c r="E128" s="405"/>
      <c r="F128" s="405"/>
      <c r="G128" s="405"/>
    </row>
    <row r="129" spans="2:7">
      <c r="B129" s="405"/>
      <c r="C129" s="405"/>
      <c r="D129" s="405"/>
      <c r="E129" s="405"/>
      <c r="F129" s="405"/>
      <c r="G129" s="405"/>
    </row>
    <row r="130" spans="2:7">
      <c r="B130" s="405"/>
      <c r="C130" s="405"/>
      <c r="D130" s="405"/>
      <c r="E130" s="405"/>
      <c r="F130" s="405"/>
      <c r="G130" s="405"/>
    </row>
    <row r="131" spans="2:7">
      <c r="B131" s="405"/>
      <c r="C131" s="405"/>
      <c r="D131" s="405"/>
      <c r="E131" s="405"/>
      <c r="F131" s="405"/>
      <c r="G131" s="405"/>
    </row>
    <row r="132" spans="2:7">
      <c r="B132" s="405"/>
      <c r="C132" s="405"/>
      <c r="D132" s="405"/>
      <c r="E132" s="405"/>
      <c r="F132" s="405"/>
      <c r="G132" s="405"/>
    </row>
    <row r="133" spans="2:7">
      <c r="B133" s="405"/>
      <c r="C133" s="405"/>
      <c r="D133" s="405"/>
      <c r="E133" s="405"/>
      <c r="F133" s="405"/>
      <c r="G133" s="405"/>
    </row>
    <row r="134" spans="2:7">
      <c r="B134" s="405"/>
      <c r="C134" s="405"/>
      <c r="D134" s="405"/>
      <c r="E134" s="405"/>
      <c r="F134" s="405"/>
      <c r="G134" s="405"/>
    </row>
    <row r="135" spans="2:7">
      <c r="B135" s="405"/>
      <c r="C135" s="405"/>
      <c r="D135" s="405"/>
      <c r="E135" s="405"/>
      <c r="F135" s="405"/>
      <c r="G135" s="405"/>
    </row>
    <row r="136" spans="2:7">
      <c r="B136" s="405"/>
      <c r="C136" s="405"/>
      <c r="D136" s="405"/>
      <c r="E136" s="405"/>
      <c r="F136" s="405"/>
      <c r="G136" s="405"/>
    </row>
    <row r="137" spans="2:7">
      <c r="B137" s="405"/>
      <c r="C137" s="405"/>
      <c r="D137" s="405"/>
      <c r="E137" s="405"/>
      <c r="F137" s="405"/>
      <c r="G137" s="405"/>
    </row>
    <row r="138" spans="2:7">
      <c r="B138" s="405"/>
      <c r="C138" s="405"/>
      <c r="D138" s="405"/>
      <c r="E138" s="405"/>
      <c r="F138" s="405"/>
      <c r="G138" s="405"/>
    </row>
    <row r="139" spans="2:7">
      <c r="B139" s="405"/>
      <c r="C139" s="405"/>
      <c r="D139" s="405"/>
      <c r="E139" s="405"/>
      <c r="F139" s="405"/>
      <c r="G139" s="405"/>
    </row>
    <row r="140" spans="2:7">
      <c r="B140" s="405"/>
      <c r="C140" s="405"/>
      <c r="D140" s="405"/>
      <c r="E140" s="405"/>
      <c r="F140" s="405"/>
      <c r="G140" s="405"/>
    </row>
    <row r="141" spans="2:7">
      <c r="B141" s="405"/>
      <c r="C141" s="405"/>
      <c r="D141" s="405"/>
      <c r="E141" s="405"/>
      <c r="F141" s="405"/>
      <c r="G141" s="405"/>
    </row>
    <row r="142" spans="2:7">
      <c r="B142" s="405"/>
      <c r="C142" s="405"/>
      <c r="D142" s="405"/>
      <c r="E142" s="405"/>
      <c r="F142" s="405"/>
      <c r="G142" s="405"/>
    </row>
    <row r="143" spans="2:7">
      <c r="B143" s="405"/>
      <c r="C143" s="405"/>
      <c r="D143" s="405"/>
      <c r="E143" s="405"/>
      <c r="F143" s="405"/>
      <c r="G143" s="405"/>
    </row>
    <row r="144" spans="2:7">
      <c r="B144" s="405"/>
      <c r="C144" s="405"/>
      <c r="D144" s="405"/>
      <c r="E144" s="405"/>
      <c r="F144" s="405"/>
      <c r="G144" s="405"/>
    </row>
    <row r="145" spans="2:7">
      <c r="B145" s="405"/>
      <c r="C145" s="405"/>
      <c r="D145" s="405"/>
      <c r="E145" s="405"/>
      <c r="F145" s="405"/>
      <c r="G145" s="405"/>
    </row>
    <row r="146" spans="2:7">
      <c r="B146" s="405"/>
      <c r="C146" s="405"/>
      <c r="D146" s="405"/>
      <c r="E146" s="405"/>
      <c r="F146" s="405"/>
      <c r="G146" s="405"/>
    </row>
    <row r="147" spans="2:7">
      <c r="B147" s="405"/>
      <c r="C147" s="405"/>
      <c r="D147" s="405"/>
      <c r="E147" s="405"/>
      <c r="F147" s="405"/>
      <c r="G147" s="405"/>
    </row>
    <row r="148" spans="2:7">
      <c r="B148" s="405"/>
      <c r="C148" s="405"/>
      <c r="D148" s="405"/>
      <c r="E148" s="405"/>
      <c r="F148" s="405"/>
      <c r="G148" s="405"/>
    </row>
    <row r="149" spans="2:7">
      <c r="B149" s="405"/>
      <c r="C149" s="405"/>
      <c r="D149" s="405"/>
      <c r="E149" s="405"/>
      <c r="F149" s="405"/>
      <c r="G149" s="405"/>
    </row>
    <row r="150" spans="2:7">
      <c r="B150" s="405"/>
      <c r="C150" s="405"/>
      <c r="D150" s="405"/>
      <c r="E150" s="405"/>
      <c r="F150" s="405"/>
      <c r="G150" s="405"/>
    </row>
    <row r="151" spans="2:7">
      <c r="B151" s="405"/>
      <c r="C151" s="405"/>
      <c r="D151" s="405"/>
      <c r="E151" s="405"/>
      <c r="F151" s="405"/>
      <c r="G151" s="405"/>
    </row>
    <row r="152" spans="2:7">
      <c r="B152" s="405"/>
      <c r="C152" s="405"/>
      <c r="D152" s="405"/>
      <c r="E152" s="405"/>
      <c r="F152" s="405"/>
      <c r="G152" s="405"/>
    </row>
    <row r="153" spans="2:7">
      <c r="B153" s="405"/>
      <c r="C153" s="405"/>
      <c r="D153" s="405"/>
      <c r="E153" s="405"/>
      <c r="F153" s="405"/>
      <c r="G153" s="405"/>
    </row>
    <row r="154" spans="2:7">
      <c r="B154" s="405"/>
      <c r="C154" s="405"/>
      <c r="D154" s="405"/>
      <c r="E154" s="405"/>
      <c r="F154" s="405"/>
      <c r="G154" s="405"/>
    </row>
    <row r="155" spans="2:7">
      <c r="B155" s="405"/>
      <c r="C155" s="405"/>
      <c r="D155" s="405"/>
      <c r="E155" s="405"/>
      <c r="F155" s="405"/>
      <c r="G155" s="405"/>
    </row>
    <row r="156" spans="2:7">
      <c r="B156" s="405"/>
      <c r="C156" s="405"/>
      <c r="D156" s="405"/>
      <c r="E156" s="405"/>
      <c r="F156" s="405"/>
      <c r="G156" s="405"/>
    </row>
    <row r="157" spans="2:7">
      <c r="B157" s="405"/>
      <c r="C157" s="405"/>
      <c r="D157" s="405"/>
      <c r="E157" s="405"/>
      <c r="F157" s="405"/>
      <c r="G157" s="405"/>
    </row>
    <row r="158" spans="2:7">
      <c r="B158" s="405"/>
      <c r="C158" s="405"/>
      <c r="D158" s="405"/>
      <c r="E158" s="405"/>
      <c r="F158" s="405"/>
      <c r="G158" s="405"/>
    </row>
    <row r="159" spans="2:7">
      <c r="B159" s="405"/>
      <c r="C159" s="405"/>
      <c r="D159" s="405"/>
      <c r="E159" s="405"/>
      <c r="F159" s="405"/>
      <c r="G159" s="405"/>
    </row>
    <row r="160" spans="2:7">
      <c r="B160" s="405"/>
      <c r="C160" s="405"/>
      <c r="D160" s="405"/>
      <c r="E160" s="405"/>
      <c r="F160" s="405"/>
      <c r="G160" s="405"/>
    </row>
    <row r="161" spans="2:7">
      <c r="B161" s="405"/>
      <c r="C161" s="405"/>
      <c r="D161" s="405"/>
      <c r="E161" s="405"/>
      <c r="F161" s="405"/>
      <c r="G161" s="405"/>
    </row>
    <row r="162" spans="2:7">
      <c r="B162" s="405"/>
      <c r="C162" s="405"/>
      <c r="D162" s="405"/>
      <c r="E162" s="405"/>
      <c r="F162" s="405"/>
      <c r="G162" s="405"/>
    </row>
    <row r="163" spans="2:7">
      <c r="B163" s="405"/>
      <c r="C163" s="405"/>
      <c r="D163" s="405"/>
      <c r="E163" s="405"/>
      <c r="F163" s="405"/>
      <c r="G163" s="405"/>
    </row>
    <row r="164" spans="2:7">
      <c r="B164" s="405"/>
      <c r="C164" s="405"/>
      <c r="D164" s="405"/>
      <c r="E164" s="405"/>
      <c r="F164" s="405"/>
      <c r="G164" s="405"/>
    </row>
    <row r="165" spans="2:7">
      <c r="B165" s="405"/>
      <c r="C165" s="405"/>
      <c r="D165" s="405"/>
      <c r="E165" s="405"/>
      <c r="F165" s="405"/>
      <c r="G165" s="405"/>
    </row>
    <row r="166" spans="2:7">
      <c r="B166" s="405"/>
      <c r="C166" s="405"/>
      <c r="D166" s="405"/>
      <c r="E166" s="405"/>
      <c r="F166" s="405"/>
      <c r="G166" s="405"/>
    </row>
    <row r="167" spans="2:7">
      <c r="B167" s="405"/>
      <c r="C167" s="405"/>
      <c r="D167" s="405"/>
      <c r="E167" s="405"/>
      <c r="F167" s="405"/>
      <c r="G167" s="405"/>
    </row>
    <row r="168" spans="2:7">
      <c r="B168" s="405"/>
      <c r="C168" s="405"/>
      <c r="D168" s="405"/>
      <c r="E168" s="405"/>
      <c r="F168" s="405"/>
      <c r="G168" s="405"/>
    </row>
    <row r="169" spans="2:7">
      <c r="B169" s="405"/>
      <c r="C169" s="405"/>
      <c r="D169" s="405"/>
      <c r="E169" s="405"/>
      <c r="F169" s="405"/>
      <c r="G169" s="405"/>
    </row>
    <row r="170" spans="2:7">
      <c r="B170" s="405"/>
      <c r="C170" s="405"/>
      <c r="D170" s="405"/>
      <c r="E170" s="405"/>
      <c r="F170" s="405"/>
      <c r="G170" s="405"/>
    </row>
    <row r="171" spans="2:7">
      <c r="B171" s="405"/>
      <c r="C171" s="405"/>
      <c r="D171" s="405"/>
      <c r="E171" s="405"/>
      <c r="F171" s="405"/>
      <c r="G171" s="405"/>
    </row>
    <row r="172" spans="2:7">
      <c r="B172" s="405"/>
      <c r="C172" s="405"/>
      <c r="D172" s="405"/>
      <c r="E172" s="405"/>
      <c r="F172" s="405"/>
      <c r="G172" s="405"/>
    </row>
    <row r="173" spans="2:7">
      <c r="B173" s="405"/>
      <c r="C173" s="405"/>
      <c r="D173" s="405"/>
      <c r="E173" s="405"/>
      <c r="F173" s="405"/>
      <c r="G173" s="405"/>
    </row>
    <row r="174" spans="2:7">
      <c r="B174" s="405"/>
      <c r="C174" s="405"/>
      <c r="D174" s="405"/>
      <c r="E174" s="405"/>
      <c r="F174" s="405"/>
      <c r="G174" s="405"/>
    </row>
    <row r="175" spans="2:7">
      <c r="B175" s="405"/>
      <c r="C175" s="405"/>
      <c r="D175" s="405"/>
      <c r="E175" s="405"/>
      <c r="F175" s="405"/>
      <c r="G175" s="405"/>
    </row>
    <row r="176" spans="2:7">
      <c r="B176" s="405"/>
      <c r="C176" s="405"/>
      <c r="D176" s="405"/>
      <c r="E176" s="405"/>
      <c r="F176" s="405"/>
      <c r="G176" s="405"/>
    </row>
    <row r="177" spans="2:7">
      <c r="B177" s="405"/>
      <c r="C177" s="405"/>
      <c r="D177" s="405"/>
      <c r="E177" s="405"/>
      <c r="F177" s="405"/>
      <c r="G177" s="405"/>
    </row>
    <row r="178" spans="2:7">
      <c r="B178" s="405"/>
      <c r="C178" s="405"/>
      <c r="D178" s="405"/>
      <c r="E178" s="405"/>
      <c r="F178" s="405"/>
      <c r="G178" s="405"/>
    </row>
    <row r="179" spans="2:7">
      <c r="B179" s="405"/>
      <c r="C179" s="405"/>
      <c r="D179" s="405"/>
      <c r="E179" s="405"/>
      <c r="F179" s="405"/>
      <c r="G179" s="405"/>
    </row>
    <row r="180" spans="2:7">
      <c r="B180" s="405"/>
      <c r="C180" s="405"/>
      <c r="D180" s="405"/>
      <c r="E180" s="405"/>
      <c r="F180" s="405"/>
      <c r="G180" s="405"/>
    </row>
    <row r="181" spans="2:7">
      <c r="B181" s="405"/>
      <c r="C181" s="405"/>
      <c r="D181" s="405"/>
      <c r="E181" s="405"/>
      <c r="F181" s="405"/>
      <c r="G181" s="405"/>
    </row>
    <row r="182" spans="2:7">
      <c r="B182" s="405"/>
      <c r="C182" s="405"/>
      <c r="D182" s="405"/>
      <c r="E182" s="405"/>
      <c r="F182" s="405"/>
      <c r="G182" s="405"/>
    </row>
    <row r="183" spans="2:7">
      <c r="B183" s="405"/>
      <c r="C183" s="405"/>
      <c r="D183" s="405"/>
      <c r="E183" s="405"/>
      <c r="F183" s="405"/>
      <c r="G183" s="405"/>
    </row>
    <row r="184" spans="2:7">
      <c r="B184" s="405"/>
      <c r="C184" s="405"/>
      <c r="D184" s="405"/>
      <c r="E184" s="405"/>
      <c r="F184" s="405"/>
      <c r="G184" s="405"/>
    </row>
    <row r="185" spans="2:7">
      <c r="B185" s="405"/>
      <c r="C185" s="405"/>
      <c r="D185" s="405"/>
      <c r="E185" s="405"/>
      <c r="F185" s="405"/>
      <c r="G185" s="405"/>
    </row>
    <row r="186" spans="2:7">
      <c r="B186" s="405"/>
      <c r="C186" s="405"/>
      <c r="D186" s="405"/>
      <c r="E186" s="405"/>
      <c r="F186" s="405"/>
      <c r="G186" s="405"/>
    </row>
    <row r="187" spans="2:7">
      <c r="B187" s="405"/>
      <c r="C187" s="405"/>
      <c r="D187" s="405"/>
      <c r="E187" s="405"/>
      <c r="F187" s="405"/>
      <c r="G187" s="405"/>
    </row>
    <row r="188" spans="2:7">
      <c r="B188" s="405"/>
      <c r="C188" s="405"/>
      <c r="D188" s="405"/>
      <c r="E188" s="405"/>
      <c r="F188" s="405"/>
      <c r="G188" s="405"/>
    </row>
    <row r="189" spans="2:7">
      <c r="B189" s="405"/>
      <c r="C189" s="405"/>
      <c r="D189" s="405"/>
      <c r="E189" s="405"/>
      <c r="F189" s="405"/>
      <c r="G189" s="405"/>
    </row>
    <row r="190" spans="2:7">
      <c r="B190" s="405"/>
      <c r="C190" s="405"/>
      <c r="D190" s="405"/>
      <c r="E190" s="405"/>
      <c r="F190" s="405"/>
      <c r="G190" s="405"/>
    </row>
    <row r="191" spans="2:7">
      <c r="B191" s="405"/>
      <c r="C191" s="405"/>
      <c r="D191" s="405"/>
      <c r="E191" s="405"/>
      <c r="F191" s="405"/>
      <c r="G191" s="405"/>
    </row>
    <row r="192" spans="2:7">
      <c r="B192" s="405"/>
      <c r="C192" s="405"/>
      <c r="D192" s="405"/>
      <c r="E192" s="405"/>
      <c r="F192" s="405"/>
      <c r="G192" s="405"/>
    </row>
    <row r="193" spans="2:7">
      <c r="B193" s="405"/>
      <c r="C193" s="405"/>
      <c r="D193" s="405"/>
      <c r="E193" s="405"/>
      <c r="F193" s="405"/>
      <c r="G193" s="405"/>
    </row>
    <row r="194" spans="2:7">
      <c r="B194" s="405"/>
      <c r="C194" s="405"/>
      <c r="D194" s="405"/>
      <c r="E194" s="405"/>
      <c r="F194" s="405"/>
      <c r="G194" s="405"/>
    </row>
    <row r="195" spans="2:7">
      <c r="B195" s="405"/>
      <c r="C195" s="405"/>
      <c r="D195" s="405"/>
      <c r="E195" s="405"/>
      <c r="F195" s="405"/>
      <c r="G195" s="405"/>
    </row>
    <row r="196" spans="2:7">
      <c r="B196" s="405"/>
      <c r="C196" s="405"/>
      <c r="D196" s="405"/>
      <c r="E196" s="405"/>
      <c r="F196" s="405"/>
      <c r="G196" s="405"/>
    </row>
    <row r="197" spans="2:7">
      <c r="B197" s="405"/>
      <c r="C197" s="405"/>
      <c r="D197" s="405"/>
      <c r="E197" s="405"/>
      <c r="F197" s="405"/>
      <c r="G197" s="405"/>
    </row>
    <row r="198" spans="2:7">
      <c r="B198" s="405"/>
      <c r="C198" s="405"/>
      <c r="D198" s="405"/>
      <c r="E198" s="405"/>
      <c r="F198" s="405"/>
      <c r="G198" s="405"/>
    </row>
    <row r="199" spans="2:7">
      <c r="B199" s="405"/>
      <c r="C199" s="405"/>
      <c r="D199" s="405"/>
      <c r="E199" s="405"/>
      <c r="F199" s="405"/>
      <c r="G199" s="405"/>
    </row>
    <row r="200" spans="2:7">
      <c r="B200" s="405"/>
      <c r="C200" s="405"/>
      <c r="D200" s="405"/>
      <c r="E200" s="405"/>
      <c r="F200" s="405"/>
      <c r="G200" s="405"/>
    </row>
    <row r="201" spans="2:7">
      <c r="B201" s="405"/>
      <c r="C201" s="405"/>
      <c r="D201" s="405"/>
      <c r="E201" s="405"/>
      <c r="F201" s="405"/>
      <c r="G201" s="405"/>
    </row>
    <row r="202" spans="2:7">
      <c r="B202" s="405"/>
      <c r="C202" s="405"/>
      <c r="D202" s="405"/>
      <c r="E202" s="405"/>
      <c r="F202" s="405"/>
      <c r="G202" s="405"/>
    </row>
    <row r="203" spans="2:7">
      <c r="B203" s="405"/>
      <c r="C203" s="405"/>
      <c r="D203" s="405"/>
      <c r="E203" s="405"/>
      <c r="F203" s="405"/>
      <c r="G203" s="405"/>
    </row>
    <row r="204" spans="2:7">
      <c r="B204" s="405"/>
      <c r="C204" s="405"/>
      <c r="D204" s="405"/>
      <c r="E204" s="405"/>
      <c r="F204" s="405"/>
      <c r="G204" s="405"/>
    </row>
    <row r="205" spans="2:7">
      <c r="B205" s="405"/>
      <c r="C205" s="405"/>
      <c r="D205" s="405"/>
      <c r="E205" s="405"/>
      <c r="F205" s="405"/>
      <c r="G205" s="405"/>
    </row>
    <row r="206" spans="2:7">
      <c r="B206" s="405"/>
      <c r="C206" s="405"/>
      <c r="D206" s="405"/>
      <c r="E206" s="405"/>
      <c r="F206" s="405"/>
      <c r="G206" s="405"/>
    </row>
    <row r="207" spans="2:7">
      <c r="B207" s="405"/>
      <c r="C207" s="405"/>
      <c r="D207" s="405"/>
      <c r="E207" s="405"/>
      <c r="F207" s="405"/>
      <c r="G207" s="405"/>
    </row>
    <row r="208" spans="2:7">
      <c r="B208" s="405"/>
      <c r="C208" s="405"/>
      <c r="D208" s="405"/>
      <c r="E208" s="405"/>
      <c r="F208" s="405"/>
      <c r="G208" s="405"/>
    </row>
    <row r="209" spans="2:7">
      <c r="B209" s="405"/>
      <c r="C209" s="405"/>
      <c r="D209" s="405"/>
      <c r="E209" s="405"/>
      <c r="F209" s="405"/>
      <c r="G209" s="405"/>
    </row>
    <row r="210" spans="2:7">
      <c r="B210" s="405"/>
      <c r="C210" s="405"/>
      <c r="D210" s="405"/>
      <c r="E210" s="405"/>
      <c r="F210" s="405"/>
      <c r="G210" s="405"/>
    </row>
    <row r="211" spans="2:7">
      <c r="B211" s="405"/>
      <c r="C211" s="405"/>
      <c r="D211" s="405"/>
      <c r="E211" s="405"/>
      <c r="F211" s="405"/>
      <c r="G211" s="405"/>
    </row>
    <row r="212" spans="2:7">
      <c r="B212" s="405"/>
      <c r="C212" s="405"/>
      <c r="D212" s="405"/>
      <c r="E212" s="405"/>
      <c r="F212" s="405"/>
      <c r="G212" s="405"/>
    </row>
    <row r="213" spans="2:7">
      <c r="B213" s="405"/>
      <c r="C213" s="405"/>
      <c r="D213" s="405"/>
      <c r="E213" s="405"/>
      <c r="F213" s="405"/>
      <c r="G213" s="405"/>
    </row>
    <row r="214" spans="2:7">
      <c r="B214" s="405"/>
      <c r="C214" s="405"/>
      <c r="D214" s="405"/>
      <c r="E214" s="405"/>
      <c r="F214" s="405"/>
      <c r="G214" s="405"/>
    </row>
    <row r="215" spans="2:7">
      <c r="B215" s="405"/>
      <c r="C215" s="405"/>
      <c r="D215" s="405"/>
      <c r="E215" s="405"/>
      <c r="F215" s="405"/>
      <c r="G215" s="405"/>
    </row>
    <row r="216" spans="2:7">
      <c r="B216" s="405"/>
      <c r="C216" s="405"/>
      <c r="D216" s="405"/>
      <c r="E216" s="405"/>
      <c r="F216" s="405"/>
      <c r="G216" s="405"/>
    </row>
    <row r="217" spans="2:7">
      <c r="B217" s="405"/>
      <c r="C217" s="405"/>
      <c r="D217" s="405"/>
      <c r="E217" s="405"/>
      <c r="F217" s="405"/>
      <c r="G217" s="405"/>
    </row>
    <row r="218" spans="2:7">
      <c r="B218" s="405"/>
      <c r="C218" s="405"/>
      <c r="D218" s="405"/>
      <c r="E218" s="405"/>
      <c r="F218" s="405"/>
      <c r="G218" s="405"/>
    </row>
    <row r="219" spans="2:7">
      <c r="B219" s="405"/>
      <c r="C219" s="405"/>
      <c r="D219" s="405"/>
      <c r="E219" s="405"/>
      <c r="F219" s="405"/>
      <c r="G219" s="405"/>
    </row>
    <row r="220" spans="2:7">
      <c r="B220" s="405"/>
      <c r="C220" s="405"/>
      <c r="D220" s="405"/>
      <c r="E220" s="405"/>
      <c r="F220" s="405"/>
      <c r="G220" s="405"/>
    </row>
    <row r="221" spans="2:7">
      <c r="B221" s="405"/>
      <c r="C221" s="405"/>
      <c r="D221" s="405"/>
      <c r="E221" s="405"/>
      <c r="F221" s="405"/>
      <c r="G221" s="405"/>
    </row>
    <row r="222" spans="2:7">
      <c r="B222" s="405"/>
      <c r="C222" s="405"/>
      <c r="D222" s="405"/>
      <c r="E222" s="405"/>
      <c r="F222" s="405"/>
      <c r="G222" s="405"/>
    </row>
    <row r="223" spans="2:7">
      <c r="B223" s="405"/>
      <c r="C223" s="405"/>
      <c r="D223" s="405"/>
      <c r="E223" s="405"/>
      <c r="F223" s="405"/>
      <c r="G223" s="405"/>
    </row>
    <row r="224" spans="2:7">
      <c r="B224" s="405"/>
      <c r="C224" s="405"/>
      <c r="D224" s="405"/>
      <c r="E224" s="405"/>
      <c r="F224" s="405"/>
      <c r="G224" s="405"/>
    </row>
    <row r="225" spans="2:7">
      <c r="B225" s="405"/>
      <c r="C225" s="405"/>
      <c r="D225" s="405"/>
      <c r="E225" s="405"/>
      <c r="F225" s="405"/>
      <c r="G225" s="405"/>
    </row>
    <row r="226" spans="2:7">
      <c r="B226" s="405"/>
      <c r="C226" s="405"/>
      <c r="D226" s="405"/>
      <c r="E226" s="405"/>
      <c r="F226" s="405"/>
      <c r="G226" s="405"/>
    </row>
    <row r="227" spans="2:7">
      <c r="B227" s="405"/>
      <c r="C227" s="405"/>
      <c r="D227" s="405"/>
      <c r="E227" s="405"/>
      <c r="F227" s="405"/>
      <c r="G227" s="405"/>
    </row>
    <row r="228" spans="2:7">
      <c r="B228" s="405"/>
      <c r="C228" s="405"/>
      <c r="D228" s="405"/>
      <c r="E228" s="405"/>
      <c r="F228" s="405"/>
      <c r="G228" s="405"/>
    </row>
    <row r="229" spans="2:7">
      <c r="B229" s="405"/>
      <c r="C229" s="405"/>
      <c r="D229" s="405"/>
      <c r="E229" s="405"/>
      <c r="F229" s="405"/>
      <c r="G229" s="405"/>
    </row>
    <row r="230" spans="2:7">
      <c r="B230" s="405"/>
      <c r="C230" s="405"/>
      <c r="D230" s="405"/>
      <c r="E230" s="405"/>
      <c r="F230" s="405"/>
      <c r="G230" s="405"/>
    </row>
    <row r="231" spans="2:7">
      <c r="B231" s="405"/>
      <c r="C231" s="405"/>
      <c r="D231" s="405"/>
      <c r="E231" s="405"/>
      <c r="F231" s="405"/>
      <c r="G231" s="405"/>
    </row>
    <row r="232" spans="2:7">
      <c r="B232" s="405"/>
      <c r="C232" s="405"/>
      <c r="D232" s="405"/>
      <c r="E232" s="405"/>
      <c r="F232" s="405"/>
      <c r="G232" s="405"/>
    </row>
    <row r="233" spans="2:7">
      <c r="B233" s="405"/>
      <c r="C233" s="405"/>
      <c r="D233" s="405"/>
      <c r="E233" s="405"/>
      <c r="F233" s="405"/>
      <c r="G233" s="405"/>
    </row>
    <row r="234" spans="2:7">
      <c r="B234" s="405"/>
      <c r="C234" s="405"/>
      <c r="D234" s="405"/>
      <c r="E234" s="405"/>
      <c r="F234" s="405"/>
      <c r="G234" s="405"/>
    </row>
    <row r="235" spans="2:7">
      <c r="B235" s="405"/>
      <c r="C235" s="405"/>
      <c r="D235" s="405"/>
      <c r="E235" s="405"/>
      <c r="F235" s="405"/>
      <c r="G235" s="405"/>
    </row>
    <row r="236" spans="2:7">
      <c r="B236" s="405"/>
      <c r="C236" s="405"/>
      <c r="D236" s="405"/>
      <c r="E236" s="405"/>
      <c r="F236" s="405"/>
      <c r="G236" s="405"/>
    </row>
    <row r="237" spans="2:7">
      <c r="B237" s="405"/>
      <c r="C237" s="405"/>
      <c r="D237" s="405"/>
      <c r="E237" s="405"/>
      <c r="F237" s="405"/>
      <c r="G237" s="405"/>
    </row>
    <row r="238" spans="2:7">
      <c r="B238" s="405"/>
      <c r="C238" s="405"/>
      <c r="D238" s="405"/>
      <c r="E238" s="405"/>
      <c r="F238" s="405"/>
      <c r="G238" s="405"/>
    </row>
    <row r="239" spans="2:7">
      <c r="B239" s="405"/>
      <c r="C239" s="405"/>
      <c r="D239" s="405"/>
      <c r="E239" s="405"/>
      <c r="F239" s="405"/>
      <c r="G239" s="405"/>
    </row>
    <row r="240" spans="2:7">
      <c r="B240" s="405"/>
      <c r="C240" s="405"/>
      <c r="D240" s="405"/>
      <c r="E240" s="405"/>
      <c r="F240" s="405"/>
      <c r="G240" s="405"/>
    </row>
    <row r="241" spans="2:7">
      <c r="B241" s="405"/>
      <c r="C241" s="405"/>
      <c r="D241" s="405"/>
      <c r="E241" s="405"/>
      <c r="F241" s="405"/>
      <c r="G241" s="405"/>
    </row>
    <row r="242" spans="2:7">
      <c r="B242" s="405"/>
      <c r="C242" s="405"/>
      <c r="D242" s="405"/>
      <c r="E242" s="405"/>
      <c r="F242" s="405"/>
      <c r="G242" s="405"/>
    </row>
    <row r="243" spans="2:7">
      <c r="B243" s="405"/>
      <c r="C243" s="405"/>
      <c r="D243" s="405"/>
      <c r="E243" s="405"/>
      <c r="F243" s="405"/>
      <c r="G243" s="405"/>
    </row>
    <row r="244" spans="2:7">
      <c r="B244" s="405"/>
      <c r="C244" s="405"/>
      <c r="D244" s="405"/>
      <c r="E244" s="405"/>
      <c r="F244" s="405"/>
      <c r="G244" s="405"/>
    </row>
    <row r="245" spans="2:7">
      <c r="B245" s="405"/>
      <c r="C245" s="405"/>
      <c r="D245" s="405"/>
      <c r="E245" s="405"/>
      <c r="F245" s="405"/>
      <c r="G245" s="405"/>
    </row>
    <row r="246" spans="2:7">
      <c r="B246" s="405"/>
      <c r="C246" s="405"/>
      <c r="D246" s="405"/>
      <c r="E246" s="405"/>
      <c r="F246" s="405"/>
      <c r="G246" s="405"/>
    </row>
    <row r="247" spans="2:7">
      <c r="B247" s="405"/>
      <c r="C247" s="405"/>
      <c r="D247" s="405"/>
      <c r="E247" s="405"/>
      <c r="F247" s="405"/>
      <c r="G247" s="405"/>
    </row>
    <row r="248" spans="2:7">
      <c r="B248" s="405"/>
      <c r="C248" s="405"/>
      <c r="D248" s="405"/>
      <c r="E248" s="405"/>
      <c r="F248" s="405"/>
      <c r="G248" s="405"/>
    </row>
    <row r="249" spans="2:7">
      <c r="B249" s="405"/>
      <c r="C249" s="405"/>
      <c r="D249" s="405"/>
      <c r="E249" s="405"/>
      <c r="F249" s="405"/>
      <c r="G249" s="405"/>
    </row>
    <row r="250" spans="2:7">
      <c r="B250" s="405"/>
      <c r="C250" s="405"/>
      <c r="D250" s="405"/>
      <c r="E250" s="405"/>
      <c r="F250" s="405"/>
      <c r="G250" s="405"/>
    </row>
    <row r="251" spans="2:7">
      <c r="B251" s="405"/>
      <c r="C251" s="405"/>
      <c r="D251" s="405"/>
      <c r="E251" s="405"/>
      <c r="F251" s="405"/>
      <c r="G251" s="405"/>
    </row>
    <row r="252" spans="2:7">
      <c r="B252" s="405"/>
      <c r="C252" s="405"/>
      <c r="D252" s="405"/>
      <c r="E252" s="405"/>
      <c r="F252" s="405"/>
      <c r="G252" s="405"/>
    </row>
    <row r="253" spans="2:7">
      <c r="B253" s="405"/>
      <c r="C253" s="405"/>
      <c r="D253" s="405"/>
      <c r="E253" s="405"/>
      <c r="F253" s="405"/>
      <c r="G253" s="405"/>
    </row>
    <row r="254" spans="2:7">
      <c r="B254" s="405"/>
      <c r="C254" s="405"/>
      <c r="D254" s="405"/>
      <c r="E254" s="405"/>
      <c r="F254" s="405"/>
      <c r="G254" s="405"/>
    </row>
    <row r="255" spans="2:7">
      <c r="B255" s="405"/>
      <c r="C255" s="405"/>
      <c r="D255" s="405"/>
      <c r="E255" s="405"/>
      <c r="F255" s="405"/>
      <c r="G255" s="405"/>
    </row>
    <row r="256" spans="2:7">
      <c r="B256" s="405"/>
      <c r="C256" s="405"/>
      <c r="D256" s="405"/>
      <c r="E256" s="405"/>
      <c r="F256" s="405"/>
      <c r="G256" s="405"/>
    </row>
    <row r="257" spans="2:7">
      <c r="B257" s="405"/>
      <c r="C257" s="405"/>
      <c r="D257" s="405"/>
      <c r="E257" s="405"/>
      <c r="F257" s="405"/>
      <c r="G257" s="405"/>
    </row>
    <row r="258" spans="2:7">
      <c r="B258" s="405"/>
      <c r="C258" s="405"/>
      <c r="D258" s="405"/>
      <c r="E258" s="405"/>
      <c r="F258" s="405"/>
      <c r="G258" s="405"/>
    </row>
    <row r="259" spans="2:7">
      <c r="B259" s="405"/>
      <c r="C259" s="405"/>
      <c r="D259" s="405"/>
      <c r="E259" s="405"/>
      <c r="F259" s="405"/>
      <c r="G259" s="405"/>
    </row>
    <row r="260" spans="2:7">
      <c r="B260" s="405"/>
      <c r="C260" s="405"/>
      <c r="D260" s="405"/>
      <c r="E260" s="405"/>
      <c r="F260" s="405"/>
      <c r="G260" s="405"/>
    </row>
    <row r="261" spans="2:7">
      <c r="B261" s="405"/>
      <c r="C261" s="405"/>
      <c r="D261" s="405"/>
      <c r="E261" s="405"/>
      <c r="F261" s="405"/>
      <c r="G261" s="405"/>
    </row>
    <row r="262" spans="2:7">
      <c r="B262" s="405"/>
      <c r="C262" s="405"/>
      <c r="D262" s="405"/>
      <c r="E262" s="405"/>
      <c r="F262" s="405"/>
      <c r="G262" s="405"/>
    </row>
    <row r="263" spans="2:7">
      <c r="B263" s="405"/>
      <c r="C263" s="405"/>
      <c r="D263" s="405"/>
      <c r="E263" s="405"/>
      <c r="F263" s="405"/>
      <c r="G263" s="405"/>
    </row>
    <row r="264" spans="2:7">
      <c r="B264" s="405"/>
      <c r="C264" s="405"/>
      <c r="D264" s="405"/>
      <c r="E264" s="405"/>
      <c r="F264" s="405"/>
      <c r="G264" s="405"/>
    </row>
    <row r="265" spans="2:7">
      <c r="B265" s="405"/>
      <c r="C265" s="405"/>
      <c r="D265" s="405"/>
      <c r="E265" s="405"/>
      <c r="F265" s="405"/>
      <c r="G265" s="405"/>
    </row>
    <row r="266" spans="2:7">
      <c r="B266" s="405"/>
      <c r="C266" s="405"/>
      <c r="D266" s="405"/>
      <c r="E266" s="405"/>
      <c r="F266" s="405"/>
      <c r="G266" s="405"/>
    </row>
    <row r="267" spans="2:7">
      <c r="B267" s="405"/>
      <c r="C267" s="405"/>
      <c r="D267" s="405"/>
      <c r="E267" s="405"/>
      <c r="F267" s="405"/>
      <c r="G267" s="405"/>
    </row>
    <row r="268" spans="2:7">
      <c r="B268" s="405"/>
      <c r="C268" s="405"/>
      <c r="D268" s="405"/>
      <c r="E268" s="405"/>
      <c r="F268" s="405"/>
      <c r="G268" s="405"/>
    </row>
    <row r="269" spans="2:7">
      <c r="B269" s="405"/>
      <c r="C269" s="405"/>
      <c r="D269" s="405"/>
      <c r="E269" s="405"/>
      <c r="F269" s="405"/>
      <c r="G269" s="405"/>
    </row>
    <row r="270" spans="2:7">
      <c r="B270" s="405"/>
      <c r="C270" s="405"/>
      <c r="D270" s="405"/>
      <c r="E270" s="405"/>
      <c r="F270" s="405"/>
      <c r="G270" s="405"/>
    </row>
    <row r="271" spans="2:7">
      <c r="B271" s="405"/>
      <c r="C271" s="405"/>
      <c r="D271" s="405"/>
      <c r="E271" s="405"/>
      <c r="F271" s="405"/>
      <c r="G271" s="405"/>
    </row>
    <row r="272" spans="2:7">
      <c r="B272" s="405"/>
      <c r="C272" s="405"/>
      <c r="D272" s="405"/>
      <c r="E272" s="405"/>
      <c r="F272" s="405"/>
      <c r="G272" s="405"/>
    </row>
    <row r="273" spans="2:7">
      <c r="B273" s="405"/>
      <c r="C273" s="405"/>
      <c r="D273" s="405"/>
      <c r="E273" s="405"/>
      <c r="F273" s="405"/>
      <c r="G273" s="405"/>
    </row>
    <row r="274" spans="2:7">
      <c r="B274" s="405"/>
      <c r="C274" s="405"/>
      <c r="D274" s="405"/>
      <c r="E274" s="405"/>
      <c r="F274" s="405"/>
      <c r="G274" s="405"/>
    </row>
    <row r="275" spans="2:7">
      <c r="B275" s="405"/>
      <c r="C275" s="405"/>
      <c r="D275" s="405"/>
      <c r="E275" s="405"/>
      <c r="F275" s="405"/>
      <c r="G275" s="405"/>
    </row>
    <row r="276" spans="2:7">
      <c r="B276" s="405"/>
      <c r="C276" s="405"/>
      <c r="D276" s="405"/>
      <c r="E276" s="405"/>
      <c r="F276" s="405"/>
      <c r="G276" s="405"/>
    </row>
    <row r="277" spans="2:7">
      <c r="B277" s="405"/>
      <c r="C277" s="405"/>
      <c r="D277" s="405"/>
      <c r="E277" s="405"/>
      <c r="F277" s="405"/>
      <c r="G277" s="405"/>
    </row>
    <row r="278" spans="2:7">
      <c r="B278" s="405"/>
      <c r="C278" s="405"/>
      <c r="D278" s="405"/>
      <c r="E278" s="405"/>
      <c r="F278" s="405"/>
      <c r="G278" s="405"/>
    </row>
    <row r="279" spans="2:7">
      <c r="B279" s="405"/>
      <c r="C279" s="405"/>
      <c r="D279" s="405"/>
      <c r="E279" s="405"/>
      <c r="F279" s="405"/>
      <c r="G279" s="405"/>
    </row>
    <row r="280" spans="2:7">
      <c r="B280" s="405"/>
      <c r="C280" s="405"/>
      <c r="D280" s="405"/>
      <c r="E280" s="405"/>
      <c r="F280" s="405"/>
      <c r="G280" s="405"/>
    </row>
    <row r="281" spans="2:7">
      <c r="B281" s="405"/>
      <c r="C281" s="405"/>
      <c r="D281" s="405"/>
      <c r="E281" s="405"/>
      <c r="F281" s="405"/>
      <c r="G281" s="405"/>
    </row>
    <row r="282" spans="2:7">
      <c r="B282" s="405"/>
      <c r="C282" s="405"/>
      <c r="D282" s="405"/>
      <c r="E282" s="405"/>
      <c r="F282" s="405"/>
      <c r="G282" s="405"/>
    </row>
    <row r="283" spans="2:7">
      <c r="B283" s="405"/>
      <c r="C283" s="405"/>
      <c r="D283" s="405"/>
      <c r="E283" s="405"/>
      <c r="F283" s="405"/>
      <c r="G283" s="405"/>
    </row>
    <row r="284" spans="2:7">
      <c r="B284" s="405"/>
      <c r="C284" s="405"/>
      <c r="D284" s="405"/>
      <c r="E284" s="405"/>
      <c r="F284" s="405"/>
      <c r="G284" s="405"/>
    </row>
    <row r="285" spans="2:7">
      <c r="B285" s="405"/>
      <c r="C285" s="405"/>
      <c r="D285" s="405"/>
      <c r="E285" s="405"/>
      <c r="F285" s="405"/>
      <c r="G285" s="405"/>
    </row>
    <row r="286" spans="2:7">
      <c r="B286" s="405"/>
      <c r="C286" s="405"/>
      <c r="D286" s="405"/>
      <c r="E286" s="405"/>
      <c r="F286" s="405"/>
      <c r="G286" s="405"/>
    </row>
    <row r="287" spans="2:7">
      <c r="B287" s="405"/>
      <c r="C287" s="405"/>
      <c r="D287" s="405"/>
      <c r="E287" s="405"/>
      <c r="F287" s="405"/>
      <c r="G287" s="405"/>
    </row>
    <row r="288" spans="2:7">
      <c r="B288" s="405"/>
      <c r="C288" s="405"/>
      <c r="D288" s="405"/>
      <c r="E288" s="405"/>
      <c r="F288" s="405"/>
      <c r="G288" s="405"/>
    </row>
    <row r="289" spans="2:7">
      <c r="B289" s="405"/>
      <c r="C289" s="405"/>
      <c r="D289" s="405"/>
      <c r="E289" s="405"/>
      <c r="F289" s="405"/>
      <c r="G289" s="405"/>
    </row>
    <row r="290" spans="2:7">
      <c r="B290" s="405"/>
      <c r="C290" s="405"/>
      <c r="D290" s="405"/>
      <c r="E290" s="405"/>
      <c r="F290" s="405"/>
      <c r="G290" s="405"/>
    </row>
    <row r="291" spans="2:7">
      <c r="B291" s="405"/>
      <c r="C291" s="405"/>
      <c r="D291" s="405"/>
      <c r="E291" s="405"/>
      <c r="F291" s="405"/>
      <c r="G291" s="405"/>
    </row>
    <row r="292" spans="2:7">
      <c r="B292" s="405"/>
      <c r="C292" s="405"/>
      <c r="D292" s="405"/>
      <c r="E292" s="405"/>
      <c r="F292" s="405"/>
      <c r="G292" s="405"/>
    </row>
    <row r="293" spans="2:7">
      <c r="B293" s="405"/>
      <c r="C293" s="405"/>
      <c r="D293" s="405"/>
      <c r="E293" s="405"/>
      <c r="F293" s="405"/>
      <c r="G293" s="405"/>
    </row>
    <row r="294" spans="2:7">
      <c r="B294" s="405"/>
      <c r="C294" s="405"/>
      <c r="D294" s="405"/>
      <c r="E294" s="405"/>
      <c r="F294" s="405"/>
      <c r="G294" s="405"/>
    </row>
    <row r="295" spans="2:7">
      <c r="B295" s="405"/>
      <c r="C295" s="405"/>
      <c r="D295" s="405"/>
      <c r="E295" s="405"/>
      <c r="F295" s="405"/>
      <c r="G295" s="405"/>
    </row>
    <row r="296" spans="2:7">
      <c r="B296" s="405"/>
      <c r="C296" s="405"/>
      <c r="D296" s="405"/>
      <c r="E296" s="405"/>
      <c r="F296" s="405"/>
      <c r="G296" s="405"/>
    </row>
    <row r="297" spans="2:7">
      <c r="B297" s="405"/>
      <c r="C297" s="405"/>
      <c r="D297" s="405"/>
      <c r="E297" s="405"/>
      <c r="F297" s="405"/>
      <c r="G297" s="405"/>
    </row>
    <row r="298" spans="2:7">
      <c r="B298" s="405"/>
      <c r="C298" s="405"/>
      <c r="D298" s="405"/>
      <c r="E298" s="405"/>
      <c r="F298" s="405"/>
      <c r="G298" s="405"/>
    </row>
    <row r="299" spans="2:7">
      <c r="B299" s="405"/>
      <c r="C299" s="405"/>
      <c r="D299" s="405"/>
      <c r="E299" s="405"/>
      <c r="F299" s="405"/>
      <c r="G299" s="405"/>
    </row>
    <row r="300" spans="2:7">
      <c r="B300" s="405"/>
      <c r="C300" s="405"/>
      <c r="D300" s="405"/>
      <c r="E300" s="405"/>
      <c r="F300" s="405"/>
      <c r="G300" s="405"/>
    </row>
    <row r="301" spans="2:7">
      <c r="B301" s="405"/>
      <c r="C301" s="405"/>
      <c r="D301" s="405"/>
      <c r="E301" s="405"/>
      <c r="F301" s="405"/>
      <c r="G301" s="405"/>
    </row>
    <row r="302" spans="2:7">
      <c r="B302" s="405"/>
      <c r="C302" s="405"/>
      <c r="D302" s="405"/>
      <c r="E302" s="405"/>
      <c r="F302" s="405"/>
      <c r="G302" s="405"/>
    </row>
    <row r="303" spans="2:7">
      <c r="B303" s="405"/>
      <c r="C303" s="405"/>
      <c r="D303" s="405"/>
      <c r="E303" s="405"/>
      <c r="F303" s="405"/>
      <c r="G303" s="405"/>
    </row>
    <row r="304" spans="2:7">
      <c r="B304" s="405"/>
      <c r="C304" s="405"/>
      <c r="D304" s="405"/>
      <c r="E304" s="405"/>
      <c r="F304" s="405"/>
      <c r="G304" s="405"/>
    </row>
    <row r="305" spans="2:7">
      <c r="B305" s="405"/>
      <c r="C305" s="405"/>
      <c r="D305" s="405"/>
      <c r="E305" s="405"/>
      <c r="F305" s="405"/>
      <c r="G305" s="405"/>
    </row>
    <row r="306" spans="2:7">
      <c r="B306" s="405"/>
      <c r="C306" s="405"/>
      <c r="D306" s="405"/>
      <c r="E306" s="405"/>
      <c r="F306" s="405"/>
      <c r="G306" s="405"/>
    </row>
    <row r="307" spans="2:7">
      <c r="B307" s="405"/>
      <c r="C307" s="405"/>
      <c r="D307" s="405"/>
      <c r="E307" s="405"/>
      <c r="F307" s="405"/>
      <c r="G307" s="405"/>
    </row>
    <row r="308" spans="2:7">
      <c r="B308" s="405"/>
      <c r="C308" s="405"/>
      <c r="D308" s="405"/>
      <c r="E308" s="405"/>
      <c r="F308" s="405"/>
      <c r="G308" s="405"/>
    </row>
    <row r="309" spans="2:7">
      <c r="B309" s="405"/>
      <c r="C309" s="405"/>
      <c r="D309" s="405"/>
      <c r="E309" s="405"/>
      <c r="F309" s="405"/>
      <c r="G309" s="405"/>
    </row>
    <row r="310" spans="2:7">
      <c r="B310" s="405"/>
      <c r="C310" s="405"/>
      <c r="D310" s="405"/>
      <c r="E310" s="405"/>
      <c r="F310" s="405"/>
      <c r="G310" s="405"/>
    </row>
    <row r="311" spans="2:7">
      <c r="B311" s="405"/>
      <c r="C311" s="405"/>
      <c r="D311" s="405"/>
      <c r="E311" s="405"/>
      <c r="F311" s="405"/>
      <c r="G311" s="405"/>
    </row>
    <row r="312" spans="2:7">
      <c r="B312" s="405"/>
      <c r="C312" s="405"/>
      <c r="D312" s="405"/>
      <c r="E312" s="405"/>
      <c r="F312" s="405"/>
      <c r="G312" s="405"/>
    </row>
    <row r="313" spans="2:7">
      <c r="B313" s="405"/>
      <c r="C313" s="405"/>
      <c r="D313" s="405"/>
      <c r="E313" s="405"/>
      <c r="F313" s="405"/>
      <c r="G313" s="405"/>
    </row>
    <row r="314" spans="2:7">
      <c r="B314" s="405"/>
      <c r="C314" s="405"/>
      <c r="D314" s="405"/>
      <c r="E314" s="405"/>
      <c r="F314" s="405"/>
      <c r="G314" s="405"/>
    </row>
    <row r="315" spans="2:7">
      <c r="B315" s="405"/>
      <c r="C315" s="405"/>
      <c r="D315" s="405"/>
      <c r="E315" s="405"/>
      <c r="F315" s="405"/>
      <c r="G315" s="405"/>
    </row>
    <row r="316" spans="2:7">
      <c r="B316" s="405"/>
      <c r="C316" s="405"/>
      <c r="D316" s="405"/>
      <c r="E316" s="405"/>
      <c r="F316" s="405"/>
      <c r="G316" s="405"/>
    </row>
    <row r="317" spans="2:7">
      <c r="B317" s="405"/>
      <c r="C317" s="405"/>
      <c r="D317" s="405"/>
      <c r="E317" s="405"/>
      <c r="F317" s="405"/>
      <c r="G317" s="405"/>
    </row>
    <row r="318" spans="2:7">
      <c r="B318" s="405"/>
      <c r="C318" s="405"/>
      <c r="D318" s="405"/>
      <c r="E318" s="405"/>
      <c r="F318" s="405"/>
      <c r="G318" s="405"/>
    </row>
    <row r="319" spans="2:7">
      <c r="B319" s="405"/>
      <c r="C319" s="405"/>
      <c r="D319" s="405"/>
      <c r="E319" s="405"/>
      <c r="F319" s="405"/>
      <c r="G319" s="405"/>
    </row>
    <row r="320" spans="2:7">
      <c r="B320" s="405"/>
      <c r="C320" s="405"/>
      <c r="D320" s="405"/>
      <c r="E320" s="405"/>
      <c r="F320" s="405"/>
      <c r="G320" s="405"/>
    </row>
    <row r="321" spans="2:7">
      <c r="B321" s="405"/>
      <c r="C321" s="405"/>
      <c r="D321" s="405"/>
      <c r="E321" s="405"/>
      <c r="F321" s="405"/>
      <c r="G321" s="405"/>
    </row>
    <row r="322" spans="2:7">
      <c r="B322" s="405"/>
      <c r="C322" s="405"/>
      <c r="D322" s="405"/>
      <c r="E322" s="405"/>
      <c r="F322" s="405"/>
      <c r="G322" s="405"/>
    </row>
    <row r="323" spans="2:7">
      <c r="B323" s="405"/>
      <c r="C323" s="405"/>
      <c r="D323" s="405"/>
      <c r="E323" s="405"/>
      <c r="F323" s="405"/>
      <c r="G323" s="405"/>
    </row>
    <row r="324" spans="2:7">
      <c r="B324" s="405"/>
      <c r="C324" s="405"/>
      <c r="D324" s="405"/>
      <c r="E324" s="405"/>
      <c r="F324" s="405"/>
      <c r="G324" s="405"/>
    </row>
    <row r="325" spans="2:7">
      <c r="B325" s="405"/>
      <c r="C325" s="405"/>
      <c r="D325" s="405"/>
      <c r="E325" s="405"/>
      <c r="F325" s="405"/>
      <c r="G325" s="405"/>
    </row>
    <row r="326" spans="2:7">
      <c r="B326" s="405"/>
      <c r="C326" s="405"/>
      <c r="D326" s="405"/>
      <c r="E326" s="405"/>
      <c r="F326" s="405"/>
      <c r="G326" s="405"/>
    </row>
    <row r="327" spans="2:7">
      <c r="B327" s="405"/>
      <c r="C327" s="405"/>
      <c r="D327" s="405"/>
      <c r="E327" s="405"/>
      <c r="F327" s="405"/>
      <c r="G327" s="405"/>
    </row>
    <row r="328" spans="2:7">
      <c r="B328" s="405"/>
      <c r="C328" s="405"/>
      <c r="D328" s="405"/>
      <c r="E328" s="405"/>
      <c r="F328" s="405"/>
      <c r="G328" s="405"/>
    </row>
    <row r="329" spans="2:7">
      <c r="B329" s="405"/>
      <c r="C329" s="405"/>
      <c r="D329" s="405"/>
      <c r="E329" s="405"/>
      <c r="F329" s="405"/>
      <c r="G329" s="405"/>
    </row>
    <row r="330" spans="2:7">
      <c r="B330" s="405"/>
      <c r="C330" s="405"/>
      <c r="D330" s="405"/>
      <c r="E330" s="405"/>
      <c r="F330" s="405"/>
      <c r="G330" s="405"/>
    </row>
    <row r="331" spans="2:7">
      <c r="B331" s="405"/>
      <c r="C331" s="405"/>
      <c r="D331" s="405"/>
      <c r="E331" s="405"/>
      <c r="F331" s="405"/>
      <c r="G331" s="405"/>
    </row>
    <row r="332" spans="2:7">
      <c r="B332" s="405"/>
      <c r="C332" s="405"/>
      <c r="D332" s="405"/>
      <c r="E332" s="405"/>
      <c r="F332" s="405"/>
      <c r="G332" s="405"/>
    </row>
    <row r="333" spans="2:7">
      <c r="B333" s="405"/>
      <c r="C333" s="405"/>
      <c r="D333" s="405"/>
      <c r="E333" s="405"/>
      <c r="F333" s="405"/>
      <c r="G333" s="405"/>
    </row>
    <row r="334" spans="2:7">
      <c r="B334" s="405"/>
      <c r="C334" s="405"/>
      <c r="D334" s="405"/>
      <c r="E334" s="405"/>
      <c r="F334" s="405"/>
      <c r="G334" s="405"/>
    </row>
    <row r="335" spans="2:7">
      <c r="B335" s="405"/>
      <c r="C335" s="405"/>
      <c r="D335" s="405"/>
      <c r="E335" s="405"/>
      <c r="F335" s="405"/>
      <c r="G335" s="405"/>
    </row>
    <row r="336" spans="2:7">
      <c r="B336" s="405"/>
      <c r="C336" s="405"/>
      <c r="D336" s="405"/>
      <c r="E336" s="405"/>
      <c r="F336" s="405"/>
      <c r="G336" s="405"/>
    </row>
    <row r="337" spans="2:7">
      <c r="B337" s="405"/>
      <c r="C337" s="405"/>
      <c r="D337" s="405"/>
      <c r="E337" s="405"/>
      <c r="F337" s="405"/>
      <c r="G337" s="405"/>
    </row>
    <row r="338" spans="2:7">
      <c r="B338" s="405"/>
      <c r="C338" s="405"/>
      <c r="D338" s="405"/>
      <c r="E338" s="405"/>
      <c r="F338" s="405"/>
      <c r="G338" s="405"/>
    </row>
    <row r="339" spans="2:7">
      <c r="B339" s="405"/>
      <c r="C339" s="405"/>
      <c r="D339" s="405"/>
      <c r="E339" s="405"/>
      <c r="F339" s="405"/>
      <c r="G339" s="405"/>
    </row>
    <row r="340" spans="2:7">
      <c r="B340" s="405"/>
      <c r="C340" s="405"/>
      <c r="D340" s="405"/>
      <c r="E340" s="405"/>
      <c r="F340" s="405"/>
      <c r="G340" s="405"/>
    </row>
    <row r="341" spans="2:7">
      <c r="B341" s="405"/>
      <c r="C341" s="405"/>
      <c r="D341" s="405"/>
      <c r="E341" s="405"/>
      <c r="F341" s="405"/>
      <c r="G341" s="405"/>
    </row>
    <row r="342" spans="2:7">
      <c r="B342" s="405"/>
      <c r="C342" s="405"/>
      <c r="D342" s="405"/>
      <c r="E342" s="405"/>
      <c r="F342" s="405"/>
      <c r="G342" s="405"/>
    </row>
    <row r="343" spans="2:7">
      <c r="B343" s="405"/>
      <c r="C343" s="405"/>
      <c r="D343" s="405"/>
      <c r="E343" s="405"/>
      <c r="F343" s="405"/>
      <c r="G343" s="405"/>
    </row>
    <row r="344" spans="2:7">
      <c r="B344" s="405"/>
      <c r="C344" s="405"/>
      <c r="D344" s="405"/>
      <c r="E344" s="405"/>
      <c r="F344" s="405"/>
      <c r="G344" s="405"/>
    </row>
    <row r="345" spans="2:7">
      <c r="B345" s="405"/>
      <c r="C345" s="405"/>
      <c r="D345" s="405"/>
      <c r="E345" s="405"/>
      <c r="F345" s="405"/>
      <c r="G345" s="405"/>
    </row>
    <row r="346" spans="2:7">
      <c r="B346" s="405"/>
      <c r="C346" s="405"/>
      <c r="D346" s="405"/>
      <c r="E346" s="405"/>
      <c r="F346" s="405"/>
      <c r="G346" s="405"/>
    </row>
    <row r="347" spans="2:7">
      <c r="B347" s="405"/>
      <c r="C347" s="405"/>
      <c r="D347" s="405"/>
      <c r="E347" s="405"/>
      <c r="F347" s="405"/>
      <c r="G347" s="405"/>
    </row>
    <row r="348" spans="2:7">
      <c r="B348" s="405"/>
      <c r="C348" s="405"/>
      <c r="D348" s="405"/>
      <c r="E348" s="405"/>
      <c r="F348" s="405"/>
      <c r="G348" s="405"/>
    </row>
    <row r="349" spans="2:7">
      <c r="B349" s="405"/>
      <c r="C349" s="405"/>
      <c r="D349" s="405"/>
      <c r="E349" s="405"/>
      <c r="F349" s="405"/>
      <c r="G349" s="405"/>
    </row>
    <row r="350" spans="2:7">
      <c r="B350" s="405"/>
      <c r="C350" s="405"/>
      <c r="D350" s="405"/>
      <c r="E350" s="405"/>
      <c r="F350" s="405"/>
      <c r="G350" s="405"/>
    </row>
    <row r="351" spans="2:7">
      <c r="B351" s="405"/>
      <c r="C351" s="405"/>
      <c r="D351" s="405"/>
      <c r="E351" s="405"/>
      <c r="F351" s="405"/>
      <c r="G351" s="405"/>
    </row>
    <row r="352" spans="2:7">
      <c r="B352" s="405"/>
      <c r="C352" s="405"/>
      <c r="D352" s="405"/>
      <c r="E352" s="405"/>
      <c r="F352" s="405"/>
      <c r="G352" s="405"/>
    </row>
    <row r="353" spans="2:7">
      <c r="B353" s="405"/>
      <c r="C353" s="405"/>
      <c r="D353" s="405"/>
      <c r="E353" s="405"/>
      <c r="F353" s="405"/>
      <c r="G353" s="405"/>
    </row>
    <row r="354" spans="2:7">
      <c r="B354" s="405"/>
      <c r="C354" s="405"/>
      <c r="D354" s="405"/>
      <c r="E354" s="405"/>
      <c r="F354" s="405"/>
      <c r="G354" s="405"/>
    </row>
    <row r="355" spans="2:7">
      <c r="B355" s="405"/>
      <c r="C355" s="405"/>
      <c r="D355" s="405"/>
      <c r="E355" s="405"/>
      <c r="F355" s="405"/>
      <c r="G355" s="405"/>
    </row>
    <row r="356" spans="2:7">
      <c r="B356" s="405"/>
      <c r="C356" s="405"/>
      <c r="D356" s="405"/>
      <c r="E356" s="405"/>
      <c r="F356" s="405"/>
      <c r="G356" s="405"/>
    </row>
    <row r="357" spans="2:7">
      <c r="B357" s="405"/>
      <c r="C357" s="405"/>
      <c r="D357" s="405"/>
      <c r="E357" s="405"/>
      <c r="F357" s="405"/>
      <c r="G357" s="405"/>
    </row>
    <row r="358" spans="2:7">
      <c r="B358" s="405"/>
      <c r="C358" s="405"/>
      <c r="D358" s="405"/>
      <c r="E358" s="405"/>
      <c r="F358" s="405"/>
      <c r="G358" s="405"/>
    </row>
    <row r="359" spans="2:7">
      <c r="B359" s="405"/>
      <c r="C359" s="405"/>
      <c r="D359" s="405"/>
      <c r="E359" s="405"/>
      <c r="F359" s="405"/>
      <c r="G359" s="405"/>
    </row>
    <row r="360" spans="2:7">
      <c r="B360" s="405"/>
      <c r="C360" s="405"/>
      <c r="D360" s="405"/>
      <c r="E360" s="405"/>
      <c r="F360" s="405"/>
      <c r="G360" s="405"/>
    </row>
    <row r="361" spans="2:7">
      <c r="B361" s="405"/>
      <c r="C361" s="405"/>
      <c r="D361" s="405"/>
      <c r="E361" s="405"/>
      <c r="F361" s="405"/>
      <c r="G361" s="405"/>
    </row>
    <row r="362" spans="2:7">
      <c r="B362" s="405"/>
      <c r="C362" s="405"/>
      <c r="D362" s="405"/>
      <c r="E362" s="405"/>
      <c r="F362" s="405"/>
      <c r="G362" s="405"/>
    </row>
    <row r="363" spans="2:7">
      <c r="B363" s="405"/>
      <c r="C363" s="405"/>
      <c r="D363" s="405"/>
      <c r="E363" s="405"/>
      <c r="F363" s="405"/>
      <c r="G363" s="405"/>
    </row>
    <row r="364" spans="2:7">
      <c r="B364" s="405"/>
      <c r="C364" s="405"/>
      <c r="D364" s="405"/>
      <c r="E364" s="405"/>
      <c r="F364" s="405"/>
      <c r="G364" s="405"/>
    </row>
    <row r="365" spans="2:7">
      <c r="B365" s="405"/>
      <c r="C365" s="405"/>
      <c r="D365" s="405"/>
      <c r="E365" s="405"/>
      <c r="F365" s="405"/>
      <c r="G365" s="405"/>
    </row>
    <row r="366" spans="2:7">
      <c r="B366" s="405"/>
      <c r="C366" s="405"/>
      <c r="D366" s="405"/>
      <c r="E366" s="405"/>
      <c r="F366" s="405"/>
      <c r="G366" s="405"/>
    </row>
    <row r="367" spans="2:7">
      <c r="B367" s="405"/>
      <c r="C367" s="405"/>
      <c r="D367" s="405"/>
      <c r="E367" s="405"/>
      <c r="F367" s="405"/>
      <c r="G367" s="405"/>
    </row>
    <row r="368" spans="2:7">
      <c r="B368" s="405"/>
      <c r="C368" s="405"/>
      <c r="D368" s="405"/>
      <c r="E368" s="405"/>
      <c r="F368" s="405"/>
      <c r="G368" s="405"/>
    </row>
    <row r="369" spans="2:7">
      <c r="B369" s="405"/>
      <c r="C369" s="405"/>
      <c r="D369" s="405"/>
      <c r="E369" s="405"/>
      <c r="F369" s="405"/>
      <c r="G369" s="405"/>
    </row>
    <row r="370" spans="2:7">
      <c r="B370" s="405"/>
      <c r="C370" s="405"/>
      <c r="D370" s="405"/>
      <c r="E370" s="405"/>
      <c r="F370" s="405"/>
      <c r="G370" s="405"/>
    </row>
    <row r="371" spans="2:7">
      <c r="B371" s="405"/>
      <c r="C371" s="405"/>
      <c r="D371" s="405"/>
      <c r="E371" s="405"/>
      <c r="F371" s="405"/>
      <c r="G371" s="405"/>
    </row>
    <row r="372" spans="2:7">
      <c r="B372" s="405"/>
      <c r="C372" s="405"/>
      <c r="D372" s="405"/>
      <c r="E372" s="405"/>
      <c r="F372" s="405"/>
      <c r="G372" s="405"/>
    </row>
    <row r="373" spans="2:7">
      <c r="B373" s="405"/>
      <c r="C373" s="405"/>
      <c r="D373" s="405"/>
      <c r="E373" s="405"/>
      <c r="F373" s="405"/>
      <c r="G373" s="405"/>
    </row>
    <row r="374" spans="2:7">
      <c r="B374" s="405"/>
      <c r="C374" s="405"/>
      <c r="D374" s="405"/>
      <c r="E374" s="405"/>
      <c r="F374" s="405"/>
      <c r="G374" s="405"/>
    </row>
    <row r="375" spans="2:7">
      <c r="B375" s="405"/>
      <c r="C375" s="405"/>
      <c r="D375" s="405"/>
      <c r="E375" s="405"/>
      <c r="F375" s="405"/>
      <c r="G375" s="405"/>
    </row>
    <row r="376" spans="2:7">
      <c r="B376" s="405"/>
      <c r="C376" s="405"/>
      <c r="D376" s="405"/>
      <c r="E376" s="405"/>
      <c r="F376" s="405"/>
      <c r="G376" s="405"/>
    </row>
    <row r="377" spans="2:7">
      <c r="B377" s="405"/>
      <c r="C377" s="405"/>
      <c r="D377" s="405"/>
      <c r="E377" s="405"/>
      <c r="F377" s="405"/>
      <c r="G377" s="405"/>
    </row>
    <row r="378" spans="2:7">
      <c r="B378" s="405"/>
      <c r="C378" s="405"/>
      <c r="D378" s="405"/>
      <c r="E378" s="405"/>
      <c r="F378" s="405"/>
      <c r="G378" s="405"/>
    </row>
    <row r="379" spans="2:7">
      <c r="B379" s="405"/>
      <c r="C379" s="405"/>
      <c r="D379" s="405"/>
      <c r="E379" s="405"/>
      <c r="F379" s="405"/>
      <c r="G379" s="405"/>
    </row>
    <row r="380" spans="2:7">
      <c r="B380" s="405"/>
      <c r="C380" s="405"/>
      <c r="D380" s="405"/>
      <c r="E380" s="405"/>
      <c r="F380" s="405"/>
      <c r="G380" s="405"/>
    </row>
    <row r="381" spans="2:7">
      <c r="B381" s="405"/>
      <c r="C381" s="405"/>
      <c r="D381" s="405"/>
      <c r="E381" s="405"/>
      <c r="F381" s="405"/>
      <c r="G381" s="405"/>
    </row>
    <row r="382" spans="2:7">
      <c r="B382" s="405"/>
      <c r="C382" s="405"/>
      <c r="D382" s="405"/>
      <c r="E382" s="405"/>
      <c r="F382" s="405"/>
      <c r="G382" s="405"/>
    </row>
    <row r="383" spans="2:7">
      <c r="B383" s="405"/>
      <c r="C383" s="405"/>
      <c r="D383" s="405"/>
      <c r="E383" s="405"/>
      <c r="F383" s="405"/>
      <c r="G383" s="405"/>
    </row>
    <row r="384" spans="2:7">
      <c r="B384" s="405"/>
      <c r="C384" s="405"/>
      <c r="D384" s="405"/>
      <c r="E384" s="405"/>
      <c r="F384" s="405"/>
      <c r="G384" s="405"/>
    </row>
    <row r="385" spans="2:7">
      <c r="B385" s="405"/>
      <c r="C385" s="405"/>
      <c r="D385" s="405"/>
      <c r="E385" s="405"/>
      <c r="F385" s="405"/>
      <c r="G385" s="405"/>
    </row>
    <row r="386" spans="2:7">
      <c r="B386" s="405"/>
      <c r="C386" s="405"/>
      <c r="D386" s="405"/>
      <c r="E386" s="405"/>
      <c r="F386" s="405"/>
      <c r="G386" s="405"/>
    </row>
    <row r="387" spans="2:7">
      <c r="B387" s="405"/>
      <c r="C387" s="405"/>
      <c r="D387" s="405"/>
      <c r="E387" s="405"/>
      <c r="F387" s="405"/>
      <c r="G387" s="405"/>
    </row>
    <row r="388" spans="2:7">
      <c r="B388" s="405"/>
      <c r="C388" s="405"/>
      <c r="D388" s="405"/>
      <c r="E388" s="405"/>
      <c r="F388" s="405"/>
      <c r="G388" s="405"/>
    </row>
    <row r="389" spans="2:7">
      <c r="B389" s="405"/>
      <c r="C389" s="405"/>
      <c r="D389" s="405"/>
      <c r="E389" s="405"/>
      <c r="F389" s="405"/>
      <c r="G389" s="405"/>
    </row>
    <row r="390" spans="2:7">
      <c r="B390" s="405"/>
      <c r="C390" s="405"/>
      <c r="D390" s="405"/>
      <c r="E390" s="405"/>
      <c r="F390" s="405"/>
      <c r="G390" s="405"/>
    </row>
    <row r="391" spans="2:7">
      <c r="B391" s="405"/>
      <c r="C391" s="405"/>
      <c r="D391" s="405"/>
      <c r="E391" s="405"/>
      <c r="F391" s="405"/>
      <c r="G391" s="405"/>
    </row>
    <row r="392" spans="2:7">
      <c r="B392" s="405"/>
      <c r="C392" s="405"/>
      <c r="D392" s="405"/>
      <c r="E392" s="405"/>
      <c r="F392" s="405"/>
      <c r="G392" s="405"/>
    </row>
    <row r="393" spans="2:7">
      <c r="B393" s="405"/>
      <c r="C393" s="405"/>
      <c r="D393" s="405"/>
      <c r="E393" s="405"/>
      <c r="F393" s="405"/>
      <c r="G393" s="405"/>
    </row>
    <row r="394" spans="2:7">
      <c r="B394" s="405"/>
      <c r="C394" s="405"/>
      <c r="D394" s="405"/>
      <c r="E394" s="405"/>
      <c r="F394" s="405"/>
      <c r="G394" s="405"/>
    </row>
    <row r="395" spans="2:7">
      <c r="B395" s="405"/>
      <c r="C395" s="405"/>
      <c r="D395" s="405"/>
      <c r="E395" s="405"/>
      <c r="F395" s="405"/>
      <c r="G395" s="405"/>
    </row>
    <row r="396" spans="2:7">
      <c r="B396" s="405"/>
      <c r="C396" s="405"/>
      <c r="D396" s="405"/>
      <c r="E396" s="405"/>
      <c r="F396" s="405"/>
      <c r="G396" s="405"/>
    </row>
    <row r="397" spans="2:7">
      <c r="B397" s="405"/>
      <c r="C397" s="405"/>
      <c r="D397" s="405"/>
      <c r="E397" s="405"/>
      <c r="F397" s="405"/>
      <c r="G397" s="405"/>
    </row>
    <row r="398" spans="2:7">
      <c r="B398" s="405"/>
      <c r="C398" s="405"/>
      <c r="D398" s="405"/>
      <c r="E398" s="405"/>
      <c r="F398" s="405"/>
      <c r="G398" s="405"/>
    </row>
    <row r="399" spans="2:7">
      <c r="B399" s="405"/>
      <c r="C399" s="405"/>
      <c r="D399" s="405"/>
      <c r="E399" s="405"/>
      <c r="F399" s="405"/>
      <c r="G399" s="405"/>
    </row>
    <row r="400" spans="2:7">
      <c r="B400" s="405"/>
      <c r="C400" s="405"/>
      <c r="D400" s="405"/>
      <c r="E400" s="405"/>
      <c r="F400" s="405"/>
      <c r="G400" s="405"/>
    </row>
    <row r="401" spans="2:7">
      <c r="B401" s="405"/>
      <c r="C401" s="405"/>
      <c r="D401" s="405"/>
      <c r="E401" s="405"/>
      <c r="F401" s="405"/>
      <c r="G401" s="405"/>
    </row>
    <row r="402" spans="2:7">
      <c r="B402" s="405"/>
      <c r="C402" s="405"/>
      <c r="D402" s="405"/>
      <c r="E402" s="405"/>
      <c r="F402" s="405"/>
      <c r="G402" s="405"/>
    </row>
    <row r="403" spans="2:7">
      <c r="B403" s="405"/>
      <c r="C403" s="405"/>
      <c r="D403" s="405"/>
      <c r="E403" s="405"/>
      <c r="F403" s="405"/>
      <c r="G403" s="405"/>
    </row>
    <row r="404" spans="2:7">
      <c r="B404" s="405"/>
      <c r="C404" s="405"/>
      <c r="D404" s="405"/>
      <c r="E404" s="405"/>
      <c r="F404" s="405"/>
      <c r="G404" s="405"/>
    </row>
    <row r="405" spans="2:7">
      <c r="B405" s="405"/>
      <c r="C405" s="405"/>
      <c r="D405" s="405"/>
      <c r="E405" s="405"/>
      <c r="F405" s="405"/>
      <c r="G405" s="405"/>
    </row>
    <row r="406" spans="2:7">
      <c r="B406" s="405"/>
      <c r="C406" s="405"/>
      <c r="D406" s="405"/>
      <c r="E406" s="405"/>
      <c r="F406" s="405"/>
      <c r="G406" s="405"/>
    </row>
    <row r="407" spans="2:7">
      <c r="B407" s="405"/>
      <c r="C407" s="405"/>
      <c r="D407" s="405"/>
      <c r="E407" s="405"/>
      <c r="F407" s="405"/>
      <c r="G407" s="405"/>
    </row>
    <row r="408" spans="2:7">
      <c r="B408" s="405"/>
      <c r="C408" s="405"/>
      <c r="D408" s="405"/>
      <c r="E408" s="405"/>
      <c r="F408" s="405"/>
      <c r="G408" s="405"/>
    </row>
    <row r="409" spans="2:7">
      <c r="B409" s="405"/>
      <c r="C409" s="405"/>
      <c r="D409" s="405"/>
      <c r="E409" s="405"/>
      <c r="F409" s="405"/>
      <c r="G409" s="405"/>
    </row>
    <row r="410" spans="2:7">
      <c r="B410" s="405"/>
      <c r="C410" s="405"/>
      <c r="D410" s="405"/>
      <c r="E410" s="405"/>
      <c r="F410" s="405"/>
      <c r="G410" s="405"/>
    </row>
    <row r="411" spans="2:7">
      <c r="B411" s="405"/>
      <c r="C411" s="405"/>
      <c r="D411" s="405"/>
      <c r="E411" s="405"/>
      <c r="F411" s="405"/>
      <c r="G411" s="405"/>
    </row>
    <row r="412" spans="2:7">
      <c r="B412" s="405"/>
      <c r="C412" s="405"/>
      <c r="D412" s="405"/>
      <c r="E412" s="405"/>
      <c r="F412" s="405"/>
      <c r="G412" s="405"/>
    </row>
    <row r="413" spans="2:7">
      <c r="B413" s="405"/>
      <c r="C413" s="405"/>
      <c r="D413" s="405"/>
      <c r="E413" s="405"/>
      <c r="F413" s="405"/>
      <c r="G413" s="405"/>
    </row>
    <row r="414" spans="2:7">
      <c r="B414" s="405"/>
      <c r="C414" s="405"/>
      <c r="D414" s="405"/>
      <c r="E414" s="405"/>
      <c r="F414" s="405"/>
      <c r="G414" s="405"/>
    </row>
    <row r="415" spans="2:7">
      <c r="B415" s="405"/>
      <c r="C415" s="405"/>
      <c r="D415" s="405"/>
      <c r="E415" s="405"/>
      <c r="F415" s="405"/>
      <c r="G415" s="405"/>
    </row>
    <row r="416" spans="2:7">
      <c r="B416" s="405"/>
      <c r="C416" s="405"/>
      <c r="D416" s="405"/>
      <c r="E416" s="405"/>
      <c r="F416" s="405"/>
      <c r="G416" s="405"/>
    </row>
    <row r="417" spans="2:7">
      <c r="B417" s="405"/>
      <c r="C417" s="405"/>
      <c r="D417" s="405"/>
      <c r="E417" s="405"/>
      <c r="F417" s="405"/>
      <c r="G417" s="405"/>
    </row>
    <row r="418" spans="2:7">
      <c r="B418" s="405"/>
      <c r="C418" s="405"/>
      <c r="D418" s="405"/>
      <c r="E418" s="405"/>
      <c r="F418" s="405"/>
      <c r="G418" s="405"/>
    </row>
    <row r="419" spans="2:7">
      <c r="B419" s="405"/>
      <c r="C419" s="405"/>
      <c r="D419" s="405"/>
      <c r="E419" s="405"/>
      <c r="F419" s="405"/>
      <c r="G419" s="405"/>
    </row>
    <row r="420" spans="2:7">
      <c r="B420" s="405"/>
      <c r="C420" s="405"/>
      <c r="D420" s="405"/>
      <c r="E420" s="405"/>
      <c r="F420" s="405"/>
      <c r="G420" s="405"/>
    </row>
    <row r="421" spans="2:7">
      <c r="B421" s="405"/>
      <c r="C421" s="405"/>
      <c r="D421" s="405"/>
      <c r="E421" s="405"/>
      <c r="F421" s="405"/>
      <c r="G421" s="405"/>
    </row>
    <row r="422" spans="2:7">
      <c r="B422" s="405"/>
      <c r="C422" s="405"/>
      <c r="D422" s="405"/>
      <c r="E422" s="405"/>
      <c r="F422" s="405"/>
      <c r="G422" s="405"/>
    </row>
    <row r="423" spans="2:7">
      <c r="B423" s="405"/>
      <c r="C423" s="405"/>
      <c r="D423" s="405"/>
      <c r="E423" s="405"/>
      <c r="F423" s="405"/>
      <c r="G423" s="405"/>
    </row>
    <row r="424" spans="2:7">
      <c r="B424" s="405"/>
      <c r="C424" s="405"/>
      <c r="D424" s="405"/>
      <c r="E424" s="405"/>
      <c r="F424" s="405"/>
      <c r="G424" s="405"/>
    </row>
    <row r="425" spans="2:7">
      <c r="B425" s="405"/>
      <c r="C425" s="405"/>
      <c r="D425" s="405"/>
      <c r="E425" s="405"/>
      <c r="F425" s="405"/>
      <c r="G425" s="405"/>
    </row>
    <row r="426" spans="2:7">
      <c r="B426" s="405"/>
      <c r="C426" s="405"/>
      <c r="D426" s="405"/>
      <c r="E426" s="405"/>
      <c r="F426" s="405"/>
      <c r="G426" s="405"/>
    </row>
    <row r="427" spans="2:7">
      <c r="B427" s="405"/>
      <c r="C427" s="405"/>
      <c r="D427" s="405"/>
      <c r="E427" s="405"/>
      <c r="F427" s="405"/>
      <c r="G427" s="405"/>
    </row>
    <row r="428" spans="2:7">
      <c r="B428" s="405"/>
      <c r="C428" s="405"/>
      <c r="D428" s="405"/>
      <c r="E428" s="405"/>
      <c r="F428" s="405"/>
      <c r="G428" s="405"/>
    </row>
    <row r="429" spans="2:7">
      <c r="B429" s="405"/>
      <c r="C429" s="405"/>
      <c r="D429" s="405"/>
      <c r="E429" s="405"/>
      <c r="F429" s="405"/>
      <c r="G429" s="405"/>
    </row>
    <row r="430" spans="2:7">
      <c r="B430" s="405"/>
      <c r="C430" s="405"/>
      <c r="D430" s="405"/>
      <c r="E430" s="405"/>
      <c r="F430" s="405"/>
      <c r="G430" s="405"/>
    </row>
    <row r="431" spans="2:7">
      <c r="B431" s="405"/>
      <c r="C431" s="405"/>
      <c r="D431" s="405"/>
      <c r="E431" s="405"/>
      <c r="F431" s="405"/>
      <c r="G431" s="405"/>
    </row>
    <row r="432" spans="2:7">
      <c r="B432" s="405"/>
      <c r="C432" s="405"/>
      <c r="D432" s="405"/>
      <c r="E432" s="405"/>
      <c r="F432" s="405"/>
      <c r="G432" s="405"/>
    </row>
    <row r="433" spans="2:7">
      <c r="B433" s="405"/>
      <c r="C433" s="405"/>
      <c r="D433" s="405"/>
      <c r="E433" s="405"/>
      <c r="F433" s="405"/>
      <c r="G433" s="405"/>
    </row>
    <row r="434" spans="2:7">
      <c r="B434" s="405"/>
      <c r="C434" s="405"/>
      <c r="D434" s="405"/>
      <c r="E434" s="405"/>
      <c r="F434" s="405"/>
      <c r="G434" s="405"/>
    </row>
    <row r="435" spans="2:7">
      <c r="B435" s="405"/>
      <c r="C435" s="405"/>
      <c r="D435" s="405"/>
      <c r="E435" s="405"/>
      <c r="F435" s="405"/>
      <c r="G435" s="405"/>
    </row>
    <row r="436" spans="2:7">
      <c r="B436" s="405"/>
      <c r="C436" s="405"/>
      <c r="D436" s="405"/>
      <c r="E436" s="405"/>
      <c r="F436" s="405"/>
      <c r="G436" s="405"/>
    </row>
    <row r="437" spans="2:7">
      <c r="B437" s="405"/>
      <c r="C437" s="405"/>
      <c r="D437" s="405"/>
      <c r="E437" s="405"/>
      <c r="F437" s="405"/>
      <c r="G437" s="405"/>
    </row>
    <row r="438" spans="2:7">
      <c r="B438" s="405"/>
      <c r="C438" s="405"/>
      <c r="D438" s="405"/>
      <c r="E438" s="405"/>
      <c r="F438" s="405"/>
      <c r="G438" s="405"/>
    </row>
    <row r="439" spans="2:7">
      <c r="B439" s="405"/>
      <c r="C439" s="405"/>
      <c r="D439" s="405"/>
      <c r="E439" s="405"/>
      <c r="F439" s="405"/>
      <c r="G439" s="405"/>
    </row>
    <row r="440" spans="2:7">
      <c r="B440" s="405"/>
      <c r="C440" s="405"/>
      <c r="D440" s="405"/>
      <c r="E440" s="405"/>
      <c r="F440" s="405"/>
      <c r="G440" s="405"/>
    </row>
    <row r="441" spans="2:7">
      <c r="B441" s="405"/>
      <c r="C441" s="405"/>
      <c r="D441" s="405"/>
      <c r="E441" s="405"/>
      <c r="F441" s="405"/>
      <c r="G441" s="405"/>
    </row>
    <row r="442" spans="2:7">
      <c r="B442" s="405"/>
      <c r="C442" s="405"/>
      <c r="D442" s="405"/>
      <c r="E442" s="405"/>
      <c r="F442" s="405"/>
      <c r="G442" s="405"/>
    </row>
    <row r="443" spans="2:7">
      <c r="B443" s="405"/>
      <c r="C443" s="405"/>
      <c r="D443" s="405"/>
      <c r="E443" s="405"/>
      <c r="F443" s="405"/>
      <c r="G443" s="405"/>
    </row>
    <row r="444" spans="2:7">
      <c r="B444" s="405"/>
      <c r="C444" s="405"/>
      <c r="D444" s="405"/>
      <c r="E444" s="405"/>
      <c r="F444" s="405"/>
      <c r="G444" s="405"/>
    </row>
  </sheetData>
  <mergeCells count="7">
    <mergeCell ref="B1:F1"/>
    <mergeCell ref="B2:F2"/>
    <mergeCell ref="C11:E11"/>
    <mergeCell ref="F37:G37"/>
    <mergeCell ref="F38:G38"/>
    <mergeCell ref="A1:A35"/>
    <mergeCell ref="E8:E9"/>
  </mergeCells>
  <printOptions horizontalCentered="1"/>
  <pageMargins left="0.313888888888889" right="0.313888888888889" top="0.629166666666667" bottom="0.629166666666667" header="0.15625" footer="0.15625"/>
  <pageSetup paperSize="9" firstPageNumber="4"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6625" name="Check Box 1" r:id="rId3">
              <controlPr defaultSize="0">
                <anchor moveWithCells="1">
                  <from>
                    <xdr:col>4</xdr:col>
                    <xdr:colOff>228600</xdr:colOff>
                    <xdr:row>2</xdr:row>
                    <xdr:rowOff>7620</xdr:rowOff>
                  </from>
                  <to>
                    <xdr:col>4</xdr:col>
                    <xdr:colOff>533400</xdr:colOff>
                    <xdr:row>4</xdr:row>
                    <xdr:rowOff>7620</xdr:rowOff>
                  </to>
                </anchor>
              </controlPr>
            </control>
          </mc:Choice>
        </mc:AlternateContent>
        <mc:AlternateContent xmlns:mc="http://schemas.openxmlformats.org/markup-compatibility/2006">
          <mc:Choice Requires="x14">
            <control shapeId="26626" name="Check Box 2" r:id="rId4">
              <controlPr defaultSize="0">
                <anchor moveWithCells="1">
                  <from>
                    <xdr:col>5</xdr:col>
                    <xdr:colOff>0</xdr:colOff>
                    <xdr:row>2</xdr:row>
                    <xdr:rowOff>7620</xdr:rowOff>
                  </from>
                  <to>
                    <xdr:col>5</xdr:col>
                    <xdr:colOff>304800</xdr:colOff>
                    <xdr:row>4</xdr:row>
                    <xdr:rowOff>7620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tabColor rgb="FFFFC000"/>
  </sheetPr>
  <dimension ref="A1:AC37"/>
  <sheetViews>
    <sheetView view="pageBreakPreview" zoomScale="85" zoomScaleNormal="70" workbookViewId="0">
      <selection activeCell="W8" sqref="W8:X8"/>
    </sheetView>
  </sheetViews>
  <sheetFormatPr defaultColWidth="9" defaultRowHeight="13.5"/>
  <cols>
    <col min="1" max="1" width="2.10833333333333" style="410" customWidth="1"/>
    <col min="2" max="2" width="7" style="410" customWidth="1"/>
    <col min="3" max="3" width="2.10833333333333" style="410" customWidth="1"/>
    <col min="4" max="4" width="2" style="410" customWidth="1"/>
    <col min="5" max="5" width="2.44166666666667" style="410" customWidth="1"/>
    <col min="6" max="6" width="1.88333333333333" style="410" customWidth="1"/>
    <col min="7" max="7" width="4.775" style="410" customWidth="1"/>
    <col min="8" max="8" width="10.1083333333333" style="410" customWidth="1"/>
    <col min="9" max="9" width="3.775" style="410" customWidth="1"/>
    <col min="10" max="10" width="4.44166666666667" style="410" customWidth="1"/>
    <col min="11" max="11" width="2.21666666666667" style="410" customWidth="1"/>
    <col min="12" max="12" width="14.3333333333333" style="410" customWidth="1"/>
    <col min="13" max="13" width="5.10833333333333" style="410" customWidth="1"/>
    <col min="14" max="14" width="11.1083333333333" style="410" customWidth="1"/>
    <col min="15" max="15" width="3.10833333333333" style="410" customWidth="1"/>
    <col min="16" max="16" width="7.10833333333333" style="410" customWidth="1"/>
    <col min="17" max="17" width="12" style="410" hidden="1" customWidth="1"/>
    <col min="18" max="18" width="2" style="410" customWidth="1"/>
    <col min="19" max="19" width="4.33333333333333" style="410" customWidth="1"/>
    <col min="20" max="20" width="1.44166666666667" style="410" customWidth="1"/>
    <col min="21" max="21" width="5.44166666666667" style="410" customWidth="1"/>
    <col min="22" max="22" width="4" style="410" customWidth="1"/>
    <col min="23" max="23" width="11.8833333333333" style="410" customWidth="1"/>
    <col min="24" max="24" width="20.4416666666667" style="410" customWidth="1"/>
    <col min="25" max="16384" width="9" style="410"/>
  </cols>
  <sheetData>
    <row r="1" ht="22.5" customHeight="1" spans="1:29">
      <c r="A1" s="824" t="s">
        <v>51</v>
      </c>
      <c r="B1" s="825" t="s">
        <v>52</v>
      </c>
      <c r="C1" s="825"/>
      <c r="D1" s="825"/>
      <c r="E1" s="825"/>
      <c r="F1" s="825"/>
      <c r="G1" s="825"/>
      <c r="H1" s="825"/>
      <c r="I1" s="825"/>
      <c r="J1" s="825"/>
      <c r="K1" s="825"/>
      <c r="L1" s="825"/>
      <c r="M1" s="825"/>
      <c r="N1" s="825"/>
      <c r="O1" s="825"/>
      <c r="P1" s="825"/>
      <c r="Q1" s="825"/>
      <c r="R1" s="825"/>
      <c r="S1" s="825"/>
      <c r="T1" s="825"/>
      <c r="U1" s="825"/>
      <c r="V1" s="825"/>
      <c r="W1" s="826"/>
      <c r="X1" s="826"/>
      <c r="Z1" s="827"/>
    </row>
    <row r="2" ht="19.5" spans="1:29">
      <c r="A2" s="828"/>
      <c r="B2" s="829" t="s">
        <v>53</v>
      </c>
      <c r="C2" s="829"/>
      <c r="D2" s="829"/>
      <c r="E2" s="829"/>
      <c r="F2" s="829"/>
      <c r="G2" s="829"/>
      <c r="H2" s="829"/>
      <c r="I2" s="830"/>
      <c r="J2" s="830"/>
      <c r="K2" s="830"/>
      <c r="L2" s="830"/>
      <c r="M2" s="830"/>
      <c r="N2" s="830"/>
      <c r="O2" s="830"/>
      <c r="P2" s="830"/>
      <c r="Q2" s="830"/>
      <c r="R2" s="830"/>
      <c r="S2" s="830"/>
      <c r="T2" s="830"/>
      <c r="U2" s="830"/>
      <c r="V2" s="830"/>
      <c r="W2" s="831"/>
      <c r="X2" s="831"/>
    </row>
    <row r="3" ht="9.75" customHeight="1" spans="1:29">
      <c r="A3" s="828"/>
      <c r="B3" s="832" t="s">
        <v>54</v>
      </c>
      <c r="C3" s="833"/>
      <c r="D3" s="833"/>
      <c r="E3" s="833"/>
      <c r="F3" s="833"/>
      <c r="G3" s="833"/>
      <c r="H3" s="833"/>
      <c r="I3" s="834"/>
      <c r="J3" s="834"/>
      <c r="K3" s="834"/>
      <c r="L3" s="834"/>
      <c r="M3" s="834"/>
      <c r="N3" s="834"/>
      <c r="O3" s="835"/>
      <c r="P3" s="836" t="s">
        <v>56</v>
      </c>
      <c r="Q3" s="834"/>
      <c r="R3" s="834"/>
      <c r="S3" s="834"/>
      <c r="T3" s="834"/>
      <c r="U3" s="835" t="s">
        <v>55</v>
      </c>
      <c r="V3" s="837" t="s">
        <v>57</v>
      </c>
      <c r="W3" s="838"/>
      <c r="X3" s="839"/>
    </row>
    <row r="4" ht="9" customHeight="1" spans="1:29">
      <c r="A4" s="828"/>
      <c r="B4" s="840" t="s">
        <v>58</v>
      </c>
      <c r="C4" s="833"/>
      <c r="D4" s="833"/>
      <c r="E4" s="833"/>
      <c r="F4" s="833"/>
      <c r="G4" s="833"/>
      <c r="H4" s="833"/>
      <c r="I4" s="834"/>
      <c r="J4" s="834"/>
      <c r="K4" s="834"/>
      <c r="L4" s="834"/>
      <c r="M4" s="834"/>
      <c r="N4" s="834"/>
      <c r="O4" s="841"/>
      <c r="P4" s="842" t="s">
        <v>59</v>
      </c>
      <c r="Q4" s="834"/>
      <c r="R4" s="834"/>
      <c r="S4" s="834"/>
      <c r="T4" s="834"/>
      <c r="U4" s="841"/>
      <c r="V4" s="843" t="s">
        <v>60</v>
      </c>
      <c r="W4" s="843"/>
      <c r="X4" s="839"/>
    </row>
    <row r="5" ht="5.25" customHeight="1" spans="1:29">
      <c r="A5" s="828"/>
      <c r="B5" s="407"/>
      <c r="C5" s="413"/>
      <c r="D5" s="413"/>
      <c r="E5" s="413"/>
      <c r="F5" s="413"/>
      <c r="G5" s="413"/>
      <c r="H5" s="413"/>
      <c r="I5" s="411"/>
      <c r="J5" s="411"/>
      <c r="K5" s="411"/>
      <c r="L5" s="411"/>
      <c r="M5" s="411"/>
      <c r="N5" s="411"/>
      <c r="O5" s="844"/>
      <c r="P5" s="407"/>
      <c r="Q5" s="411"/>
      <c r="R5" s="411"/>
      <c r="S5" s="411"/>
      <c r="T5" s="411"/>
      <c r="U5" s="844"/>
      <c r="V5" s="407"/>
      <c r="W5" s="411"/>
      <c r="X5" s="411"/>
    </row>
    <row r="6" ht="30" customHeight="1" spans="1:29">
      <c r="A6" s="828"/>
      <c r="B6" s="845" t="s">
        <v>189</v>
      </c>
      <c r="C6" s="846"/>
      <c r="D6" s="846"/>
      <c r="E6" s="846"/>
      <c r="F6" s="846"/>
      <c r="G6" s="846"/>
      <c r="H6" s="847"/>
      <c r="I6" s="848" t="str">
        <f>'Gen Inb'!I6</f>
        <v>环球01 </v>
      </c>
      <c r="J6" s="848"/>
      <c r="K6" s="848"/>
      <c r="L6" s="848"/>
      <c r="M6" s="849" t="str">
        <f>'Gen Inb'!M6:N6</f>
        <v>集装箱轮</v>
      </c>
      <c r="N6" s="850"/>
      <c r="O6" s="851" t="s">
        <v>190</v>
      </c>
      <c r="P6" s="852"/>
      <c r="Q6" s="847"/>
      <c r="R6" s="847"/>
      <c r="S6" s="853" t="str">
        <f>'Gen Inb'!S6</f>
        <v>南沙新港</v>
      </c>
      <c r="T6" s="853"/>
      <c r="U6" s="854"/>
      <c r="V6" s="855" t="s">
        <v>191</v>
      </c>
      <c r="W6" s="856"/>
      <c r="X6" s="857">
        <v>44160</v>
      </c>
    </row>
    <row r="7" ht="30" customHeight="1" spans="1:29">
      <c r="A7" s="828"/>
      <c r="B7" s="858" t="s">
        <v>65</v>
      </c>
      <c r="C7" s="426"/>
      <c r="D7" s="426"/>
      <c r="E7" s="426"/>
      <c r="F7" s="426"/>
      <c r="G7" s="426"/>
      <c r="H7" s="426"/>
      <c r="I7" s="859" t="str">
        <f>'Gen Inb'!I7</f>
        <v>GLOBAO 01</v>
      </c>
      <c r="J7" s="859"/>
      <c r="K7" s="859"/>
      <c r="L7" s="859"/>
      <c r="M7" s="860" t="str">
        <f>'Gen Inb'!M7:N7</f>
        <v>Container</v>
      </c>
      <c r="N7" s="861"/>
      <c r="O7" s="862" t="s">
        <v>67</v>
      </c>
      <c r="P7" s="443"/>
      <c r="Q7" s="443"/>
      <c r="R7" s="443"/>
      <c r="S7" s="863" t="str">
        <f>'Gen Inb'!S7</f>
        <v>NANSHA NEW PORT</v>
      </c>
      <c r="T7" s="863"/>
      <c r="U7" s="864"/>
      <c r="V7" s="862" t="s">
        <v>69</v>
      </c>
      <c r="W7" s="865"/>
      <c r="X7" s="866"/>
    </row>
    <row r="8" ht="39" customHeight="1" spans="1:29">
      <c r="A8" s="828"/>
      <c r="B8" s="867" t="s">
        <v>192</v>
      </c>
      <c r="C8" s="868"/>
      <c r="D8" s="427"/>
      <c r="E8" s="427"/>
      <c r="F8" s="869" t="str">
        <f>'Gen Inb'!F8</f>
        <v>利比里亚</v>
      </c>
      <c r="G8" s="870"/>
      <c r="H8" s="871"/>
      <c r="I8" s="872" t="s">
        <v>193</v>
      </c>
      <c r="J8" s="873"/>
      <c r="K8" s="873"/>
      <c r="L8" s="873"/>
      <c r="M8" s="874" t="str">
        <f>'Crew Outb'!C11&amp;" "&amp;'Crew Outb'!D11</f>
        <v>于洪涛 </v>
      </c>
      <c r="N8" s="875"/>
      <c r="O8" s="876" t="s">
        <v>194</v>
      </c>
      <c r="P8" s="877"/>
      <c r="Q8" s="877"/>
      <c r="R8" s="877"/>
      <c r="S8" s="877"/>
      <c r="T8" s="877"/>
      <c r="U8" s="877"/>
      <c r="V8" s="877"/>
      <c r="W8" s="878" t="s">
        <v>195</v>
      </c>
      <c r="X8" s="879"/>
      <c r="AA8" s="410" t="s">
        <v>75</v>
      </c>
      <c r="AC8" s="410" t="s">
        <v>76</v>
      </c>
    </row>
    <row r="9" ht="39" customHeight="1" spans="1:29">
      <c r="A9" s="828"/>
      <c r="B9" s="858" t="s">
        <v>77</v>
      </c>
      <c r="C9" s="426"/>
      <c r="D9" s="426"/>
      <c r="E9" s="426"/>
      <c r="F9" s="880" t="str">
        <f>'Gen Inb'!F9</f>
        <v>LIBERIA</v>
      </c>
      <c r="G9" s="881"/>
      <c r="H9" s="882"/>
      <c r="I9" s="883" t="s">
        <v>78</v>
      </c>
      <c r="J9" s="884"/>
      <c r="K9" s="884"/>
      <c r="L9" s="884"/>
      <c r="M9" s="885"/>
      <c r="N9" s="886"/>
      <c r="O9" s="426" t="s">
        <v>79</v>
      </c>
      <c r="P9" s="443"/>
      <c r="Q9" s="443"/>
      <c r="R9" s="443"/>
      <c r="S9" s="443"/>
      <c r="T9" s="443"/>
      <c r="U9" s="443"/>
      <c r="V9" s="443"/>
      <c r="W9" s="887" t="s">
        <v>196</v>
      </c>
      <c r="X9" s="888"/>
      <c r="AA9" s="803" t="s">
        <v>81</v>
      </c>
      <c r="AC9" s="410" t="s">
        <v>82</v>
      </c>
    </row>
    <row r="10" ht="30" customHeight="1" spans="1:29">
      <c r="A10" s="828"/>
      <c r="B10" s="889" t="s">
        <v>197</v>
      </c>
      <c r="C10" s="890"/>
      <c r="D10" s="890"/>
      <c r="E10" s="890"/>
      <c r="F10" s="890"/>
      <c r="G10" s="890"/>
      <c r="H10" s="891"/>
      <c r="I10" s="892" t="str">
        <f>'Gen Inb'!I10</f>
        <v>IMO:1234567</v>
      </c>
      <c r="J10" s="893"/>
      <c r="K10" s="893"/>
      <c r="L10" s="893"/>
      <c r="M10" s="893"/>
      <c r="N10" s="894"/>
      <c r="O10" s="876" t="s">
        <v>198</v>
      </c>
      <c r="P10" s="877"/>
      <c r="Q10" s="877"/>
      <c r="R10" s="877"/>
      <c r="S10" s="877"/>
      <c r="T10" s="877"/>
      <c r="U10" s="877"/>
      <c r="V10" s="877"/>
      <c r="W10" s="877"/>
      <c r="X10" s="895"/>
      <c r="AA10" s="803" t="s">
        <v>86</v>
      </c>
    </row>
    <row r="11" ht="30" customHeight="1" spans="1:29">
      <c r="A11" s="828"/>
      <c r="B11" s="896" t="s">
        <v>199</v>
      </c>
      <c r="C11" s="897"/>
      <c r="D11" s="897"/>
      <c r="E11" s="897"/>
      <c r="F11" s="897"/>
      <c r="G11" s="897"/>
      <c r="H11" s="898"/>
      <c r="I11" s="899"/>
      <c r="J11" s="900"/>
      <c r="K11" s="900"/>
      <c r="L11" s="900"/>
      <c r="M11" s="900"/>
      <c r="N11" s="901"/>
      <c r="O11" s="902" t="s">
        <v>88</v>
      </c>
      <c r="P11" s="903"/>
      <c r="Q11" s="903"/>
      <c r="R11" s="903"/>
      <c r="S11" s="903"/>
      <c r="T11" s="903"/>
      <c r="U11" s="903"/>
      <c r="V11" s="903"/>
      <c r="W11" s="903"/>
      <c r="X11" s="904"/>
      <c r="AA11" s="803" t="s">
        <v>89</v>
      </c>
    </row>
    <row r="12" ht="30" customHeight="1" spans="1:29">
      <c r="A12" s="828"/>
      <c r="B12" s="905" t="s">
        <v>200</v>
      </c>
      <c r="C12" s="432"/>
      <c r="D12" s="432"/>
      <c r="E12" s="906">
        <f>'Gen Inb'!E12</f>
        <v>15257</v>
      </c>
      <c r="F12" s="907"/>
      <c r="G12" s="907"/>
      <c r="H12" s="908"/>
      <c r="I12" s="909" t="s">
        <v>201</v>
      </c>
      <c r="J12" s="910"/>
      <c r="K12" s="427" t="s">
        <v>92</v>
      </c>
      <c r="L12" s="911">
        <f>'Gen Inb'!L12</f>
        <v>7467</v>
      </c>
      <c r="M12" s="912"/>
      <c r="N12" s="913"/>
      <c r="O12" s="914" t="s">
        <v>113</v>
      </c>
      <c r="P12" s="915">
        <f>'Gen Inb'!P12</f>
        <v>0</v>
      </c>
      <c r="Q12" s="915"/>
      <c r="R12" s="915"/>
      <c r="S12" s="915"/>
      <c r="T12" s="915"/>
      <c r="U12" s="915"/>
      <c r="V12" s="916" t="s">
        <v>202</v>
      </c>
      <c r="W12" s="916"/>
      <c r="X12" s="917"/>
      <c r="AA12" s="803" t="s">
        <v>95</v>
      </c>
    </row>
    <row r="13" ht="30" customHeight="1" spans="1:29">
      <c r="A13" s="828"/>
      <c r="B13" s="858" t="s">
        <v>96</v>
      </c>
      <c r="C13" s="426"/>
      <c r="D13" s="426"/>
      <c r="E13" s="918"/>
      <c r="F13" s="918"/>
      <c r="G13" s="918"/>
      <c r="H13" s="919"/>
      <c r="I13" s="883" t="s">
        <v>97</v>
      </c>
      <c r="J13" s="920"/>
      <c r="K13" s="921"/>
      <c r="L13" s="922"/>
      <c r="M13" s="922"/>
      <c r="N13" s="923"/>
      <c r="O13" s="924"/>
      <c r="P13" s="925"/>
      <c r="Q13" s="925"/>
      <c r="R13" s="925"/>
      <c r="S13" s="925"/>
      <c r="T13" s="925"/>
      <c r="U13" s="925"/>
      <c r="V13" s="926"/>
      <c r="W13" s="926"/>
      <c r="X13" s="927"/>
      <c r="AA13" s="803" t="s">
        <v>99</v>
      </c>
    </row>
    <row r="14" ht="30" customHeight="1" spans="1:29">
      <c r="A14" s="828"/>
      <c r="B14" s="928" t="s">
        <v>203</v>
      </c>
      <c r="C14" s="929"/>
      <c r="D14" s="929"/>
      <c r="E14" s="929"/>
      <c r="F14" s="930"/>
      <c r="G14" s="930"/>
      <c r="H14" s="930"/>
      <c r="I14" s="873"/>
      <c r="J14" s="873"/>
      <c r="K14" s="931" t="str">
        <f>'Gen Inb'!K14:N15</f>
        <v>一期   W</v>
      </c>
      <c r="L14" s="931"/>
      <c r="M14" s="931"/>
      <c r="N14" s="932"/>
      <c r="O14" s="933"/>
      <c r="P14" s="934">
        <f>'Gen Inb'!P14</f>
        <v>1234567</v>
      </c>
      <c r="Q14" s="935"/>
      <c r="R14" s="935"/>
      <c r="S14" s="935"/>
      <c r="T14" s="935"/>
      <c r="U14" s="935"/>
      <c r="V14" s="936">
        <v>1234567</v>
      </c>
      <c r="W14" s="937"/>
      <c r="X14" s="938"/>
      <c r="AA14" s="803" t="s">
        <v>102</v>
      </c>
    </row>
    <row r="15" ht="30" customHeight="1" spans="1:29">
      <c r="A15" s="828"/>
      <c r="B15" s="896" t="s">
        <v>103</v>
      </c>
      <c r="C15" s="897"/>
      <c r="D15" s="897"/>
      <c r="E15" s="897"/>
      <c r="F15" s="897"/>
      <c r="G15" s="897"/>
      <c r="H15" s="897"/>
      <c r="I15" s="921"/>
      <c r="J15" s="921"/>
      <c r="K15" s="939"/>
      <c r="L15" s="939"/>
      <c r="M15" s="939"/>
      <c r="N15" s="940"/>
      <c r="O15" s="941"/>
      <c r="P15" s="942"/>
      <c r="Q15" s="942"/>
      <c r="R15" s="942"/>
      <c r="S15" s="942"/>
      <c r="T15" s="942"/>
      <c r="U15" s="942"/>
      <c r="V15" s="943"/>
      <c r="W15" s="943"/>
      <c r="X15" s="944"/>
      <c r="AA15" s="803" t="s">
        <v>104</v>
      </c>
    </row>
    <row r="16" ht="15.75" spans="1:29">
      <c r="A16" s="828"/>
      <c r="B16" s="867" t="s">
        <v>204</v>
      </c>
      <c r="C16" s="868"/>
      <c r="D16" s="868"/>
      <c r="E16" s="868"/>
      <c r="F16" s="868"/>
      <c r="G16" s="868"/>
      <c r="H16" s="868"/>
      <c r="I16" s="945"/>
      <c r="J16" s="945"/>
      <c r="K16" s="945"/>
      <c r="L16" s="945"/>
      <c r="M16" s="945"/>
      <c r="N16" s="945"/>
      <c r="O16" s="945"/>
      <c r="P16" s="945"/>
      <c r="Q16" s="945"/>
      <c r="R16" s="945"/>
      <c r="S16" s="945"/>
      <c r="T16" s="945"/>
      <c r="U16" s="945"/>
      <c r="V16" s="945"/>
      <c r="W16" s="945"/>
      <c r="X16" s="946"/>
    </row>
    <row r="17" spans="1:24">
      <c r="A17" s="828"/>
      <c r="B17" s="947" t="s">
        <v>106</v>
      </c>
      <c r="C17" s="427"/>
      <c r="D17" s="427"/>
      <c r="E17" s="427"/>
      <c r="F17" s="427"/>
      <c r="G17" s="427"/>
      <c r="H17" s="427"/>
      <c r="I17" s="945"/>
      <c r="J17" s="945"/>
      <c r="K17" s="945"/>
      <c r="L17" s="945"/>
      <c r="M17" s="945"/>
      <c r="N17" s="945"/>
      <c r="O17" s="945"/>
      <c r="P17" s="945"/>
      <c r="Q17" s="945"/>
      <c r="R17" s="945"/>
      <c r="S17" s="945"/>
      <c r="T17" s="945"/>
      <c r="U17" s="945"/>
      <c r="V17" s="945"/>
      <c r="W17" s="945"/>
      <c r="X17" s="946"/>
    </row>
    <row r="18" ht="30" customHeight="1" spans="1:24">
      <c r="A18" s="828"/>
      <c r="B18" s="948"/>
      <c r="C18" s="949"/>
      <c r="D18" s="950"/>
      <c r="E18" s="950"/>
      <c r="F18" s="950"/>
      <c r="G18" s="951" t="str">
        <f>'Gen Inb'!W8</f>
        <v>俄罗斯东方港</v>
      </c>
      <c r="H18" s="951"/>
      <c r="I18" s="951"/>
      <c r="J18" s="951"/>
      <c r="K18" s="952" t="s">
        <v>13</v>
      </c>
      <c r="L18" s="952"/>
      <c r="M18" s="953" t="str">
        <f>S6</f>
        <v>南沙新港</v>
      </c>
      <c r="N18" s="953"/>
      <c r="O18" s="953"/>
      <c r="P18" s="953"/>
      <c r="Q18" s="954"/>
      <c r="R18" s="952" t="s">
        <v>13</v>
      </c>
      <c r="S18" s="952"/>
      <c r="T18" s="955" t="str">
        <f>W8</f>
        <v>示例国籍</v>
      </c>
      <c r="U18" s="955"/>
      <c r="V18" s="955"/>
      <c r="W18" s="955"/>
      <c r="X18" s="956"/>
    </row>
    <row r="19" ht="30" customHeight="1" spans="1:24">
      <c r="A19" s="828"/>
      <c r="B19" s="957" t="str">
        <f>'Gen Inb'!W9</f>
        <v>VOSTOCHNIY</v>
      </c>
      <c r="C19" s="958"/>
      <c r="D19" s="958"/>
      <c r="E19" s="958"/>
      <c r="F19" s="958"/>
      <c r="G19" s="958" t="str">
        <f>'Gen Inb'!W9</f>
        <v>VOSTOCHNIY</v>
      </c>
      <c r="H19" s="958"/>
      <c r="I19" s="958"/>
      <c r="J19" s="958"/>
      <c r="K19" s="959"/>
      <c r="L19" s="959"/>
      <c r="M19" s="960" t="str">
        <f>S7</f>
        <v>NANSHA NEW PORT</v>
      </c>
      <c r="N19" s="960"/>
      <c r="O19" s="960"/>
      <c r="P19" s="960"/>
      <c r="Q19" s="961"/>
      <c r="R19" s="959"/>
      <c r="S19" s="959"/>
      <c r="T19" s="962" t="str">
        <f>W9</f>
        <v>HONGKONG</v>
      </c>
      <c r="U19" s="962"/>
      <c r="V19" s="962"/>
      <c r="W19" s="962"/>
      <c r="X19" s="963"/>
    </row>
    <row r="20" ht="30.75" customHeight="1" spans="1:24">
      <c r="A20" s="828"/>
      <c r="B20" s="964" t="s">
        <v>109</v>
      </c>
      <c r="C20" s="965"/>
      <c r="D20" s="965"/>
      <c r="E20" s="965"/>
      <c r="F20" s="965"/>
      <c r="G20" s="965"/>
      <c r="H20" s="965"/>
      <c r="I20" s="966"/>
      <c r="J20" s="966"/>
      <c r="K20" s="966"/>
      <c r="L20" s="966"/>
      <c r="M20" s="966"/>
      <c r="N20" s="966"/>
      <c r="O20" s="966"/>
      <c r="P20" s="966"/>
      <c r="Q20" s="966"/>
      <c r="R20" s="966"/>
      <c r="S20" s="966"/>
      <c r="T20" s="966"/>
      <c r="U20" s="966"/>
      <c r="V20" s="966"/>
      <c r="W20" s="966"/>
      <c r="X20" s="967"/>
    </row>
    <row r="21" ht="30.75" customHeight="1" spans="1:24">
      <c r="A21" s="828"/>
      <c r="B21" s="867" t="s">
        <v>110</v>
      </c>
      <c r="C21" s="868"/>
      <c r="D21" s="868"/>
      <c r="E21" s="868"/>
      <c r="F21" s="868"/>
      <c r="G21" s="868"/>
      <c r="H21" s="868"/>
      <c r="I21" s="945"/>
      <c r="J21" s="968" t="s">
        <v>111</v>
      </c>
      <c r="K21" s="969"/>
      <c r="L21" s="970">
        <f>W22+W23</f>
        <v>12363.5</v>
      </c>
      <c r="M21" s="970">
        <f>IF(AND(W22=0,W23=0),"NIL",W22+W23)</f>
        <v>12363.5</v>
      </c>
      <c r="N21" s="970"/>
      <c r="O21" s="971" t="s">
        <v>112</v>
      </c>
      <c r="P21" s="972" t="s">
        <v>113</v>
      </c>
      <c r="Q21" s="972"/>
      <c r="R21" s="972"/>
      <c r="S21" s="972"/>
      <c r="T21" s="972"/>
      <c r="U21" s="972"/>
      <c r="V21" s="972"/>
      <c r="W21" s="972"/>
      <c r="X21" s="973"/>
    </row>
    <row r="22" ht="30.75" customHeight="1" spans="1:24">
      <c r="A22" s="828"/>
      <c r="B22" s="974"/>
      <c r="C22" s="975"/>
      <c r="D22" s="976"/>
      <c r="E22" s="977" t="s">
        <v>205</v>
      </c>
      <c r="F22" s="978" t="str">
        <f>IF('Cstm Outb'!D8+'Cstm Outb'!E8=0,"NIL","20F×"&amp;'Cstm Outb'!D8&amp;", 40F×"&amp;'Cstm Outb'!E8&amp;", 20E×"&amp;'Cstm Outb'!H10&amp;", 40E×"&amp;'Cstm Outb'!I10)</f>
        <v>NIL</v>
      </c>
      <c r="G22" s="978"/>
      <c r="H22" s="978"/>
      <c r="I22" s="978"/>
      <c r="J22" s="978"/>
      <c r="K22" s="978"/>
      <c r="L22" s="978"/>
      <c r="M22" s="978"/>
      <c r="N22" s="978"/>
      <c r="O22" s="978"/>
      <c r="P22" s="979" t="s">
        <v>115</v>
      </c>
      <c r="Q22" s="980"/>
      <c r="R22" s="981">
        <f>'Cstm Outb'!D8+'Cstm Outb'!E8*2</f>
        <v>0</v>
      </c>
      <c r="S22" s="981"/>
      <c r="T22" s="982" t="s">
        <v>116</v>
      </c>
      <c r="U22" s="982"/>
      <c r="V22" s="983" t="s">
        <v>117</v>
      </c>
      <c r="W22" s="984">
        <v>8256.5</v>
      </c>
      <c r="X22" s="985" t="s">
        <v>118</v>
      </c>
    </row>
    <row r="23" ht="30.75" customHeight="1" spans="1:24">
      <c r="A23" s="828"/>
      <c r="B23" s="974"/>
      <c r="C23" s="975"/>
      <c r="D23" s="986"/>
      <c r="E23" s="987" t="s">
        <v>119</v>
      </c>
      <c r="F23" s="988" t="str">
        <f>'Gen Inb'!F23</f>
        <v>20F×133, 40F×124</v>
      </c>
      <c r="G23" s="988"/>
      <c r="H23" s="988"/>
      <c r="I23" s="988"/>
      <c r="J23" s="988"/>
      <c r="K23" s="988"/>
      <c r="L23" s="988"/>
      <c r="M23" s="988"/>
      <c r="N23" s="988"/>
      <c r="O23" s="988"/>
      <c r="P23" s="989" t="s">
        <v>115</v>
      </c>
      <c r="Q23" s="990"/>
      <c r="R23" s="991">
        <f>'Gen Inb'!R23</f>
        <v>381</v>
      </c>
      <c r="S23" s="991"/>
      <c r="T23" s="992" t="s">
        <v>116</v>
      </c>
      <c r="U23" s="992"/>
      <c r="V23" s="986" t="s">
        <v>117</v>
      </c>
      <c r="W23" s="993">
        <f>'Gen Inb'!W23</f>
        <v>4107</v>
      </c>
      <c r="X23" s="994" t="s">
        <v>118</v>
      </c>
    </row>
    <row r="24" ht="30" customHeight="1" spans="1:24">
      <c r="A24" s="828"/>
      <c r="B24" s="995" t="s">
        <v>120</v>
      </c>
      <c r="C24" s="432"/>
      <c r="D24" s="432"/>
      <c r="E24" s="432"/>
      <c r="F24" s="432"/>
      <c r="G24" s="432"/>
      <c r="H24" s="996">
        <v>17</v>
      </c>
      <c r="I24" s="432" t="s">
        <v>121</v>
      </c>
      <c r="J24" s="877"/>
      <c r="K24" s="432"/>
      <c r="L24" s="877"/>
      <c r="M24" s="877"/>
      <c r="N24" s="997" t="str">
        <f>'Gen Inb'!N24</f>
        <v>nil</v>
      </c>
      <c r="O24" s="998" t="s">
        <v>123</v>
      </c>
      <c r="P24" s="999"/>
      <c r="Q24" s="1000"/>
      <c r="R24" s="1001" t="s">
        <v>124</v>
      </c>
      <c r="S24" s="1001"/>
      <c r="T24" s="1001"/>
      <c r="U24" s="1001"/>
      <c r="V24" s="1002"/>
      <c r="W24" s="1003" t="s">
        <v>125</v>
      </c>
      <c r="X24" s="1004"/>
    </row>
    <row r="25" ht="30" customHeight="1" spans="1:24">
      <c r="A25" s="828"/>
      <c r="B25" s="858" t="s">
        <v>126</v>
      </c>
      <c r="C25" s="426"/>
      <c r="D25" s="426"/>
      <c r="E25" s="426"/>
      <c r="F25" s="426"/>
      <c r="G25" s="426"/>
      <c r="H25" s="1005"/>
      <c r="I25" s="426" t="s">
        <v>127</v>
      </c>
      <c r="J25" s="443"/>
      <c r="K25" s="426"/>
      <c r="L25" s="443"/>
      <c r="M25" s="443"/>
      <c r="N25" s="1006"/>
      <c r="O25" s="1007" t="s">
        <v>128</v>
      </c>
      <c r="P25" s="1008"/>
      <c r="Q25" s="1009"/>
      <c r="R25" s="1010" t="s">
        <v>129</v>
      </c>
      <c r="S25" s="1010"/>
      <c r="T25" s="1010"/>
      <c r="U25" s="1010"/>
      <c r="V25" s="1011"/>
      <c r="W25" s="1012" t="s">
        <v>206</v>
      </c>
      <c r="X25" s="1013"/>
    </row>
    <row r="26" ht="30" customHeight="1" spans="1:24">
      <c r="A26" s="828"/>
      <c r="B26" s="1014" t="s">
        <v>131</v>
      </c>
      <c r="C26" s="1015"/>
      <c r="D26" s="1015"/>
      <c r="E26" s="1015"/>
      <c r="F26" s="1015"/>
      <c r="G26" s="1015"/>
      <c r="H26" s="1015"/>
      <c r="I26" s="461"/>
      <c r="J26" s="461"/>
      <c r="K26" s="1015"/>
      <c r="L26" s="1015"/>
      <c r="M26" s="1015"/>
      <c r="N26" s="1016"/>
      <c r="O26" s="1017" t="s">
        <v>132</v>
      </c>
      <c r="P26" s="1018"/>
      <c r="Q26" s="873"/>
      <c r="R26" s="1010" t="s">
        <v>207</v>
      </c>
      <c r="S26" s="1010"/>
      <c r="T26" s="1010"/>
      <c r="U26" s="1010"/>
      <c r="V26" s="1011"/>
      <c r="W26" s="1012" t="s">
        <v>208</v>
      </c>
      <c r="X26" s="1013"/>
    </row>
    <row r="27" ht="30" customHeight="1" spans="1:24">
      <c r="A27" s="828"/>
      <c r="B27" s="1019" t="s">
        <v>134</v>
      </c>
      <c r="C27" s="460"/>
      <c r="D27" s="460"/>
      <c r="E27" s="460"/>
      <c r="F27" s="460"/>
      <c r="G27" s="460"/>
      <c r="H27" s="460"/>
      <c r="I27" s="1020"/>
      <c r="J27" s="1020"/>
      <c r="K27" s="1020"/>
      <c r="L27" s="1020"/>
      <c r="M27" s="1020"/>
      <c r="N27" s="1021"/>
      <c r="O27" s="1022" t="s">
        <v>135</v>
      </c>
      <c r="P27" s="1018"/>
      <c r="Q27" s="873"/>
      <c r="R27" s="1010">
        <v>1234567</v>
      </c>
      <c r="S27" s="1010"/>
      <c r="T27" s="1010"/>
      <c r="U27" s="1010"/>
      <c r="V27" s="1011"/>
      <c r="W27" s="1012" t="s">
        <v>209</v>
      </c>
      <c r="X27" s="1013"/>
    </row>
    <row r="28" ht="30" customHeight="1" spans="1:24">
      <c r="A28" s="828"/>
      <c r="B28" s="947" t="s">
        <v>136</v>
      </c>
      <c r="C28" s="427"/>
      <c r="D28" s="427"/>
      <c r="E28" s="427"/>
      <c r="F28" s="427"/>
      <c r="G28" s="427"/>
      <c r="H28" s="1023"/>
      <c r="I28" s="427" t="s">
        <v>137</v>
      </c>
      <c r="J28" s="435"/>
      <c r="K28" s="435"/>
      <c r="L28" s="435"/>
      <c r="M28" s="435"/>
      <c r="N28" s="1024"/>
      <c r="O28" s="1017" t="s">
        <v>138</v>
      </c>
      <c r="P28" s="1025"/>
      <c r="Q28" s="1026"/>
      <c r="R28" s="955" t="s">
        <v>210</v>
      </c>
      <c r="S28" s="1010"/>
      <c r="T28" s="1010"/>
      <c r="U28" s="1010"/>
      <c r="V28" s="1011"/>
      <c r="W28" s="1012"/>
      <c r="X28" s="1013"/>
    </row>
    <row r="29" ht="30" customHeight="1" spans="1:24">
      <c r="A29" s="828"/>
      <c r="B29" s="858" t="s">
        <v>140</v>
      </c>
      <c r="C29" s="426"/>
      <c r="D29" s="426"/>
      <c r="E29" s="426"/>
      <c r="F29" s="426"/>
      <c r="G29" s="426"/>
      <c r="H29" s="1023"/>
      <c r="I29" s="469" t="s">
        <v>141</v>
      </c>
      <c r="J29" s="443"/>
      <c r="K29" s="443"/>
      <c r="L29" s="443"/>
      <c r="M29" s="443"/>
      <c r="N29" s="1024"/>
      <c r="O29" s="1027" t="s">
        <v>142</v>
      </c>
      <c r="P29" s="1028"/>
      <c r="Q29" s="1028"/>
      <c r="R29" s="1029" t="s">
        <v>211</v>
      </c>
      <c r="S29" s="1029"/>
      <c r="T29" s="1029"/>
      <c r="U29" s="1029"/>
      <c r="V29" s="1030"/>
      <c r="W29" s="1031"/>
      <c r="X29" s="1032"/>
    </row>
    <row r="30" ht="30" customHeight="1" spans="1:24">
      <c r="A30" s="828"/>
      <c r="B30" s="947" t="s">
        <v>144</v>
      </c>
      <c r="C30" s="427"/>
      <c r="D30" s="427"/>
      <c r="E30" s="427"/>
      <c r="F30" s="427"/>
      <c r="G30" s="427"/>
      <c r="H30" s="1033">
        <v>1</v>
      </c>
      <c r="I30" s="427" t="s">
        <v>145</v>
      </c>
      <c r="J30" s="435"/>
      <c r="K30" s="435"/>
      <c r="L30" s="435"/>
      <c r="M30" s="435"/>
      <c r="N30" s="1034" t="s">
        <v>146</v>
      </c>
      <c r="O30" s="432" t="s">
        <v>147</v>
      </c>
      <c r="P30" s="432"/>
      <c r="Q30" s="432"/>
      <c r="R30" s="432"/>
      <c r="S30" s="432"/>
      <c r="T30" s="432"/>
      <c r="U30" s="432"/>
      <c r="V30" s="432"/>
      <c r="W30" s="432"/>
      <c r="X30" s="1035"/>
    </row>
    <row r="31" ht="30" customHeight="1" spans="1:24">
      <c r="A31" s="828"/>
      <c r="B31" s="858" t="s">
        <v>148</v>
      </c>
      <c r="C31" s="426"/>
      <c r="D31" s="426"/>
      <c r="E31" s="426"/>
      <c r="F31" s="426"/>
      <c r="G31" s="426"/>
      <c r="H31" s="1036"/>
      <c r="I31" s="426" t="s">
        <v>149</v>
      </c>
      <c r="J31" s="443"/>
      <c r="K31" s="443"/>
      <c r="L31" s="443"/>
      <c r="M31" s="443"/>
      <c r="N31" s="1034"/>
      <c r="O31" s="427" t="s">
        <v>150</v>
      </c>
      <c r="P31" s="435"/>
      <c r="Q31" s="435"/>
      <c r="R31" s="435"/>
      <c r="S31" s="435"/>
      <c r="T31" s="435"/>
      <c r="U31" s="435"/>
      <c r="V31" s="435"/>
      <c r="W31" s="435"/>
      <c r="X31" s="1037"/>
    </row>
    <row r="32" ht="30" customHeight="1" spans="1:24">
      <c r="A32" s="828"/>
      <c r="B32" s="947" t="s">
        <v>151</v>
      </c>
      <c r="C32" s="427"/>
      <c r="D32" s="427"/>
      <c r="E32" s="427"/>
      <c r="F32" s="427"/>
      <c r="G32" s="427"/>
      <c r="H32" s="1023"/>
      <c r="I32" s="427" t="s">
        <v>152</v>
      </c>
      <c r="J32" s="435"/>
      <c r="K32" s="435"/>
      <c r="L32" s="435"/>
      <c r="M32" s="435"/>
      <c r="N32" s="1024"/>
      <c r="O32" s="1038"/>
      <c r="P32"/>
      <c r="Q32"/>
      <c r="R32"/>
      <c r="S32"/>
      <c r="T32"/>
      <c r="U32"/>
      <c r="V32"/>
      <c r="W32"/>
      <c r="X32" s="1039"/>
    </row>
    <row r="33" ht="30" customHeight="1" spans="1:24">
      <c r="A33" s="828"/>
      <c r="B33" s="1040" t="s">
        <v>153</v>
      </c>
      <c r="C33" s="1041"/>
      <c r="D33" s="1041"/>
      <c r="E33" s="1041"/>
      <c r="F33" s="1041"/>
      <c r="G33" s="1041"/>
      <c r="H33" s="1042"/>
      <c r="I33" s="1043" t="s">
        <v>154</v>
      </c>
      <c r="J33" s="1044"/>
      <c r="K33" s="1044"/>
      <c r="L33" s="1044"/>
      <c r="M33" s="1044"/>
      <c r="N33" s="1045"/>
      <c r="O33" s="1046"/>
      <c r="P33" s="1047"/>
      <c r="Q33" s="1047"/>
      <c r="R33" s="1047"/>
      <c r="S33" s="1047"/>
      <c r="T33" s="1047"/>
      <c r="U33" s="1047"/>
      <c r="V33" s="1047"/>
      <c r="W33" s="1047"/>
      <c r="X33" s="1048"/>
    </row>
    <row r="34" ht="11.25" customHeight="1" spans="1:24">
      <c r="A34" s="828"/>
      <c r="B34" s="1049" t="s">
        <v>155</v>
      </c>
      <c r="C34" s="1049"/>
      <c r="D34" s="1049"/>
      <c r="E34" s="1049"/>
      <c r="F34" s="1049"/>
      <c r="G34" s="1049"/>
      <c r="H34" s="1049"/>
      <c r="I34" s="1049"/>
      <c r="J34" s="1050"/>
      <c r="K34" s="1051"/>
      <c r="L34" s="1051"/>
      <c r="M34" s="1051"/>
      <c r="N34" s="1051"/>
      <c r="O34" s="1051"/>
      <c r="P34" s="1051"/>
      <c r="Q34" s="1051"/>
      <c r="R34" s="1051"/>
      <c r="S34" s="1051"/>
      <c r="T34" s="1051"/>
      <c r="U34" s="1051"/>
      <c r="V34" s="1051"/>
      <c r="W34" s="1051"/>
      <c r="X34" s="1051"/>
    </row>
    <row r="35" ht="11.25" customHeight="1" spans="1:24">
      <c r="A35" s="828"/>
      <c r="B35" s="413" t="s">
        <v>156</v>
      </c>
      <c r="C35" s="413"/>
      <c r="D35" s="413"/>
      <c r="E35" s="413"/>
      <c r="F35" s="413"/>
      <c r="G35" s="413"/>
      <c r="H35" s="413"/>
      <c r="I35" s="411"/>
      <c r="J35" s="411"/>
      <c r="K35" s="819"/>
      <c r="L35" s="819"/>
      <c r="M35" s="819"/>
      <c r="N35" s="819"/>
      <c r="O35" s="819"/>
      <c r="P35" s="819"/>
      <c r="Q35" s="819"/>
      <c r="R35" s="819"/>
      <c r="S35" s="819"/>
      <c r="T35" s="819"/>
      <c r="U35" s="819"/>
      <c r="V35" s="1052"/>
      <c r="W35" s="1053"/>
      <c r="X35" s="1053"/>
    </row>
    <row r="36" ht="11.25" customHeight="1" spans="1:24">
      <c r="A36" s="1054"/>
      <c r="B36" s="407"/>
      <c r="C36" s="407"/>
      <c r="D36" s="407"/>
      <c r="E36" s="407"/>
      <c r="F36" s="407"/>
      <c r="G36" s="407"/>
      <c r="H36" s="819"/>
      <c r="I36" s="819"/>
      <c r="J36" s="819"/>
      <c r="K36" s="819"/>
      <c r="L36" s="819"/>
      <c r="M36" s="819"/>
      <c r="N36" s="819"/>
      <c r="O36" s="819"/>
      <c r="P36" s="819" t="s">
        <v>113</v>
      </c>
      <c r="Q36" s="819"/>
      <c r="R36" s="819"/>
      <c r="S36" s="819"/>
      <c r="T36" s="819"/>
      <c r="U36" s="819"/>
      <c r="V36" s="819"/>
      <c r="W36" s="819"/>
      <c r="X36" s="819"/>
    </row>
    <row r="37" ht="11.25" customHeight="1" spans="1:24">
      <c r="A37" s="1054"/>
      <c r="B37" s="407"/>
      <c r="C37" s="407"/>
      <c r="D37" s="407"/>
      <c r="E37" s="407"/>
      <c r="F37" s="407"/>
      <c r="G37" s="407"/>
      <c r="H37" s="819"/>
      <c r="I37" s="819"/>
      <c r="J37" s="819"/>
      <c r="K37" s="819"/>
      <c r="L37" s="819"/>
      <c r="M37" s="819"/>
      <c r="N37" s="819"/>
      <c r="O37" s="819"/>
      <c r="P37" s="819"/>
      <c r="Q37" s="819"/>
      <c r="R37" s="819"/>
      <c r="S37" s="819"/>
      <c r="T37" s="819"/>
      <c r="U37" s="819"/>
      <c r="V37" s="819"/>
      <c r="W37" s="819"/>
      <c r="X37" s="819"/>
    </row>
  </sheetData>
  <mergeCells count="71">
    <mergeCell ref="B1:X1"/>
    <mergeCell ref="B2:X2"/>
    <mergeCell ref="V3:W3"/>
    <mergeCell ref="V4:W4"/>
    <mergeCell ref="I6:L6"/>
    <mergeCell ref="M6:N6"/>
    <mergeCell ref="S6:U6"/>
    <mergeCell ref="V6:W6"/>
    <mergeCell ref="I7:L7"/>
    <mergeCell ref="M7:N7"/>
    <mergeCell ref="S7:U7"/>
    <mergeCell ref="F8:H8"/>
    <mergeCell ref="I8:L8"/>
    <mergeCell ref="W8:X8"/>
    <mergeCell ref="F9:H9"/>
    <mergeCell ref="I9:L9"/>
    <mergeCell ref="W9:X9"/>
    <mergeCell ref="B10:H10"/>
    <mergeCell ref="I10:N10"/>
    <mergeCell ref="I11:N11"/>
    <mergeCell ref="I12:J12"/>
    <mergeCell ref="I13:K13"/>
    <mergeCell ref="B16:X16"/>
    <mergeCell ref="B17:X17"/>
    <mergeCell ref="G18:J18"/>
    <mergeCell ref="M18:P18"/>
    <mergeCell ref="T18:W18"/>
    <mergeCell ref="B19:J19"/>
    <mergeCell ref="M19:P19"/>
    <mergeCell ref="L21:N21"/>
    <mergeCell ref="F22:O22"/>
    <mergeCell ref="R22:S22"/>
    <mergeCell ref="T22:U22"/>
    <mergeCell ref="F23:O23"/>
    <mergeCell ref="R23:S23"/>
    <mergeCell ref="T23:U23"/>
    <mergeCell ref="R24:V24"/>
    <mergeCell ref="W24:X24"/>
    <mergeCell ref="O25:P25"/>
    <mergeCell ref="R25:V25"/>
    <mergeCell ref="B26:N26"/>
    <mergeCell ref="R26:V26"/>
    <mergeCell ref="B27:N27"/>
    <mergeCell ref="R27:V27"/>
    <mergeCell ref="R28:V28"/>
    <mergeCell ref="O29:Q29"/>
    <mergeCell ref="R29:V29"/>
    <mergeCell ref="O30:X30"/>
    <mergeCell ref="O31:X31"/>
    <mergeCell ref="A1:A37"/>
    <mergeCell ref="H24:H25"/>
    <mergeCell ref="H28:H29"/>
    <mergeCell ref="H30:H31"/>
    <mergeCell ref="H32:H33"/>
    <mergeCell ref="N24:N25"/>
    <mergeCell ref="N28:N29"/>
    <mergeCell ref="N30:N31"/>
    <mergeCell ref="N32:N33"/>
    <mergeCell ref="O3:O4"/>
    <mergeCell ref="U3:U4"/>
    <mergeCell ref="O32:X33"/>
    <mergeCell ref="M8:N9"/>
    <mergeCell ref="P14:U15"/>
    <mergeCell ref="K14:N15"/>
    <mergeCell ref="V14:X15"/>
    <mergeCell ref="V12:X13"/>
    <mergeCell ref="K18:L19"/>
    <mergeCell ref="R18:S19"/>
    <mergeCell ref="L12:N13"/>
    <mergeCell ref="P12:U13"/>
    <mergeCell ref="E12:H13"/>
  </mergeCells>
  <conditionalFormatting sqref="F23:O23 R23:S23 W23">
    <cfRule type="cellIs" dxfId="1" priority="1" operator="equal">
      <formula>0</formula>
    </cfRule>
  </conditionalFormatting>
  <pageMargins left="0.826388888888889" right="0.235416666666667" top="0.747916666666667" bottom="0.747916666666667" header="0.313888888888889" footer="0.313888888888889"/>
  <pageSetup paperSize="9" scale="65" firstPageNumber="6" orientation="portrait" useFirstPageNumber="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J444"/>
  <sheetViews>
    <sheetView view="pageBreakPreview" zoomScaleNormal="100" workbookViewId="0">
      <selection activeCell="F23" sqref="F23"/>
    </sheetView>
  </sheetViews>
  <sheetFormatPr defaultColWidth="9" defaultRowHeight="13.5"/>
  <cols>
    <col min="1" max="1" width="2.66666666666667" style="410" customWidth="1"/>
    <col min="2" max="2" width="15" style="410" customWidth="1"/>
    <col min="3" max="3" width="12.4416666666667" style="410" customWidth="1"/>
    <col min="4" max="4" width="12.8833333333333" style="410" customWidth="1"/>
    <col min="5" max="5" width="15.1083333333333" style="410" customWidth="1"/>
    <col min="6" max="6" width="22.4416666666667" style="410" customWidth="1"/>
    <col min="7" max="7" width="13.775" style="410" customWidth="1"/>
    <col min="8" max="16384" width="9" style="245"/>
  </cols>
  <sheetData>
    <row r="1" s="410" customFormat="1" ht="23.25" customHeight="1" spans="1:10">
      <c r="A1" s="756" t="s">
        <v>51</v>
      </c>
      <c r="B1" s="757" t="s">
        <v>157</v>
      </c>
      <c r="C1" s="757"/>
      <c r="D1" s="757"/>
      <c r="E1" s="757"/>
      <c r="F1" s="757"/>
      <c r="G1" s="758"/>
    </row>
    <row r="2" s="410" customFormat="1" ht="15" customHeight="1" spans="1:10">
      <c r="A2" s="756"/>
      <c r="B2" s="759" t="s">
        <v>158</v>
      </c>
      <c r="C2" s="759"/>
      <c r="D2" s="759"/>
      <c r="E2" s="759"/>
      <c r="F2" s="759"/>
      <c r="G2" s="760" t="s">
        <v>159</v>
      </c>
    </row>
    <row r="3" s="410" customFormat="1" customHeight="1" spans="1:10">
      <c r="A3" s="756"/>
      <c r="B3" s="761" t="s">
        <v>160</v>
      </c>
      <c r="C3" s="762"/>
      <c r="D3" s="762"/>
      <c r="E3" s="763" t="s">
        <v>56</v>
      </c>
      <c r="F3" s="764" t="s">
        <v>161</v>
      </c>
      <c r="G3" s="765" t="s">
        <v>162</v>
      </c>
    </row>
    <row r="4" s="410" customFormat="1" ht="12" customHeight="1" spans="1:10">
      <c r="A4" s="756"/>
      <c r="B4" s="766" t="s">
        <v>163</v>
      </c>
      <c r="C4" s="758"/>
      <c r="D4" s="758"/>
      <c r="E4" s="767" t="s">
        <v>164</v>
      </c>
      <c r="F4" s="768" t="s">
        <v>165</v>
      </c>
      <c r="G4" s="769" t="s">
        <v>166</v>
      </c>
    </row>
    <row r="5" s="410" customFormat="1" ht="3.75" customHeight="1" spans="1:10">
      <c r="A5" s="756"/>
      <c r="B5" s="766"/>
      <c r="C5" s="758"/>
      <c r="D5" s="758"/>
      <c r="E5" s="767"/>
      <c r="F5" s="768"/>
      <c r="G5" s="770"/>
    </row>
    <row r="6" s="440" customFormat="1" customHeight="1" spans="1:10">
      <c r="A6" s="756"/>
      <c r="B6" s="771" t="s">
        <v>167</v>
      </c>
      <c r="C6" s="772" t="str">
        <f>'Gen Inb'!I6</f>
        <v>环球01 </v>
      </c>
      <c r="D6" s="773"/>
      <c r="E6" s="774"/>
      <c r="F6" s="775" t="s">
        <v>168</v>
      </c>
      <c r="G6" s="776" t="str">
        <f>'Gen Outb'!S6</f>
        <v>南沙新港</v>
      </c>
    </row>
    <row r="7" s="440" customFormat="1" customHeight="1" spans="1:10">
      <c r="A7" s="756"/>
      <c r="B7" s="777" t="s">
        <v>169</v>
      </c>
      <c r="C7" s="778" t="str">
        <f>'Gen Inb'!I7</f>
        <v>GLOBAO 01</v>
      </c>
      <c r="D7" s="779"/>
      <c r="E7" s="780"/>
      <c r="F7" s="781" t="s">
        <v>170</v>
      </c>
      <c r="G7" s="782" t="str">
        <f>'Gen Outb'!S7</f>
        <v>NANSHA NEW PORT</v>
      </c>
    </row>
    <row r="8" s="440" customFormat="1" customHeight="1" spans="1:10">
      <c r="A8" s="756"/>
      <c r="B8" s="771" t="s">
        <v>171</v>
      </c>
      <c r="C8" s="783" t="str">
        <f>'Gen Outb'!F8</f>
        <v>利比里亚</v>
      </c>
      <c r="D8" s="784" t="s">
        <v>172</v>
      </c>
      <c r="E8" s="785" t="str">
        <f>'Gen Inb'!M8</f>
        <v>张宏</v>
      </c>
      <c r="F8" s="775" t="s">
        <v>173</v>
      </c>
      <c r="G8" s="786" t="str">
        <f>'Gen Outb'!S6</f>
        <v>南沙新港</v>
      </c>
    </row>
    <row r="9" s="440" customFormat="1" customHeight="1" spans="1:10">
      <c r="A9" s="756"/>
      <c r="B9" s="787" t="s">
        <v>174</v>
      </c>
      <c r="C9" s="788" t="str">
        <f>'Gen Outb'!F9</f>
        <v>LIBERIA</v>
      </c>
      <c r="D9" s="781" t="s">
        <v>175</v>
      </c>
      <c r="E9" s="789"/>
      <c r="F9" s="790" t="s">
        <v>176</v>
      </c>
      <c r="G9" s="791" t="str">
        <f>'Gen Outb'!S7</f>
        <v>NANSHA NEW PORT</v>
      </c>
    </row>
    <row r="10" s="440" customFormat="1" customHeight="1" spans="1:10">
      <c r="A10" s="756"/>
      <c r="B10" s="792" t="s">
        <v>177</v>
      </c>
      <c r="C10" s="774" t="s">
        <v>178</v>
      </c>
      <c r="D10" s="793"/>
      <c r="E10" s="774"/>
      <c r="F10" s="771" t="s">
        <v>179</v>
      </c>
      <c r="G10" s="792" t="s">
        <v>180</v>
      </c>
    </row>
    <row r="11" s="424" customFormat="1" customHeight="1" spans="1:10">
      <c r="A11" s="756"/>
      <c r="B11" s="794" t="s">
        <v>181</v>
      </c>
      <c r="C11" s="795" t="s">
        <v>182</v>
      </c>
      <c r="D11" s="795"/>
      <c r="E11" s="795"/>
      <c r="F11" s="796" t="s">
        <v>183</v>
      </c>
      <c r="G11" s="797" t="s">
        <v>184</v>
      </c>
    </row>
    <row r="12" s="410" customFormat="1" ht="23.4" customHeight="1" spans="1:10">
      <c r="A12" s="756"/>
      <c r="B12" s="798"/>
      <c r="C12" s="799"/>
      <c r="D12" s="799"/>
      <c r="E12" s="799"/>
      <c r="F12" s="798"/>
      <c r="G12" s="798"/>
    </row>
    <row r="13" s="410" customFormat="1" ht="23.4" customHeight="1" spans="1:10">
      <c r="A13" s="756"/>
      <c r="B13" s="798"/>
      <c r="C13" s="799"/>
      <c r="D13" s="799"/>
      <c r="E13" s="799"/>
      <c r="F13" s="798" t="s">
        <v>113</v>
      </c>
      <c r="G13" s="800" t="s">
        <v>113</v>
      </c>
    </row>
    <row r="14" s="410" customFormat="1" ht="23.4" customHeight="1" spans="1:10">
      <c r="A14" s="756"/>
      <c r="B14" s="798"/>
      <c r="C14" s="799"/>
      <c r="D14" s="799"/>
      <c r="E14" s="799"/>
      <c r="F14" s="798"/>
      <c r="G14" s="801" t="s">
        <v>113</v>
      </c>
    </row>
    <row r="15" s="410" customFormat="1" ht="23.4" customHeight="1" spans="1:10">
      <c r="A15" s="756"/>
      <c r="B15" s="798"/>
      <c r="C15" s="799"/>
      <c r="D15" s="802" t="str">
        <f>'Gen Outb'!J21&amp;'Gen Outb'!M21&amp;" "&amp;'Gen Outb'!O21</f>
        <v>总重量：12363.5 吨</v>
      </c>
      <c r="E15" s="799"/>
      <c r="F15" s="798"/>
      <c r="G15" s="798"/>
    </row>
    <row r="16" s="410" customFormat="1" ht="23.4" customHeight="1" spans="1:10">
      <c r="A16" s="756"/>
      <c r="B16" s="798"/>
      <c r="C16" s="799"/>
      <c r="D16" s="799"/>
      <c r="E16" s="799"/>
      <c r="F16" s="798"/>
      <c r="G16" s="798"/>
      <c r="J16" s="803" t="s">
        <v>212</v>
      </c>
    </row>
    <row r="17" s="410" customFormat="1" ht="23.4" customHeight="1" spans="1:7">
      <c r="A17" s="756"/>
      <c r="B17" s="798"/>
      <c r="C17" s="804" t="str">
        <f>'Gen Outb'!E22&amp;'Gen Outb'!F22</f>
        <v>出口柜：NIL</v>
      </c>
      <c r="D17" s="799"/>
      <c r="E17" s="799"/>
      <c r="F17" s="798"/>
      <c r="G17" s="798"/>
    </row>
    <row r="18" s="410" customFormat="1" ht="23.4" customHeight="1" spans="1:7">
      <c r="A18" s="756"/>
      <c r="B18" s="798"/>
      <c r="C18" s="799"/>
      <c r="D18" s="804" t="str">
        <f>'Gen Outb'!P22&amp;'Gen Outb'!R22&amp;" "&amp;'Gen Outb'!T22&amp;'Gen Outb'!V22&amp;'Gen Outb'!W22&amp;" "&amp;'Gen Outb'!X22</f>
        <v>总共：0 TEU，8256.5 吨；</v>
      </c>
      <c r="E18" s="799"/>
      <c r="F18" s="798"/>
      <c r="G18" s="798"/>
    </row>
    <row r="19" s="410" customFormat="1" ht="23.4" customHeight="1" spans="1:7">
      <c r="A19" s="756"/>
      <c r="B19" s="798"/>
      <c r="C19" s="804" t="str">
        <f>'Gen Inb'!E23&amp;'Gen Inb'!F23</f>
        <v>过境柜：20F×133, 40F×124</v>
      </c>
      <c r="D19" s="799"/>
      <c r="E19" s="799"/>
      <c r="F19" s="798"/>
      <c r="G19" s="798"/>
    </row>
    <row r="20" s="410" customFormat="1" ht="23.4" customHeight="1" spans="1:7">
      <c r="A20" s="756"/>
      <c r="B20" s="798"/>
      <c r="C20" s="799"/>
      <c r="D20" s="804" t="str">
        <f>'Gen Inb'!P23&amp;'Gen Inb'!R23&amp;" "&amp;'Gen Inb'!T23&amp;'Gen Inb'!V23&amp;'Gen Inb'!W23&amp;" "&amp;'Gen Inb'!X23</f>
        <v>总共：381 TEU，4107 吨；</v>
      </c>
      <c r="E20" s="799"/>
      <c r="F20" s="798"/>
      <c r="G20" s="798"/>
    </row>
    <row r="21" s="410" customFormat="1" ht="23.4" customHeight="1" spans="1:7">
      <c r="A21" s="756"/>
      <c r="B21" s="798"/>
      <c r="C21" s="799"/>
      <c r="D21" s="799"/>
      <c r="E21" s="799"/>
      <c r="F21" s="798"/>
      <c r="G21" s="798"/>
    </row>
    <row r="22" s="410" customFormat="1" ht="23.4" customHeight="1" spans="1:7">
      <c r="A22" s="756"/>
      <c r="B22" s="798"/>
      <c r="C22" s="799"/>
      <c r="D22" s="799"/>
      <c r="E22" s="799"/>
      <c r="F22" s="798"/>
      <c r="G22" s="798"/>
    </row>
    <row r="23" s="410" customFormat="1" ht="23.4" customHeight="1" spans="1:7">
      <c r="A23" s="756"/>
      <c r="B23" s="798"/>
      <c r="C23" s="799"/>
      <c r="D23" s="799"/>
      <c r="E23" s="799"/>
      <c r="F23" s="798"/>
      <c r="G23" s="798"/>
    </row>
    <row r="24" s="410" customFormat="1" ht="23.4" customHeight="1" spans="1:7">
      <c r="A24" s="756"/>
      <c r="B24" s="798"/>
      <c r="C24" s="799"/>
      <c r="D24" s="799"/>
      <c r="E24" s="799"/>
      <c r="F24" s="798"/>
      <c r="G24" s="798"/>
    </row>
    <row r="25" s="410" customFormat="1" ht="23.4" customHeight="1" spans="1:7">
      <c r="A25" s="756"/>
      <c r="B25" s="798"/>
      <c r="C25" s="799"/>
      <c r="D25" s="799"/>
      <c r="E25" s="799"/>
      <c r="F25" s="798"/>
      <c r="G25" s="798"/>
    </row>
    <row r="26" s="410" customFormat="1" ht="23.4" customHeight="1" spans="1:7">
      <c r="A26" s="756"/>
      <c r="B26" s="805"/>
      <c r="C26" s="806" t="str">
        <f>'Gen Inb'!P12&amp;"："&amp;'Gen Inb'!V12</f>
        <v>：联系人</v>
      </c>
      <c r="D26" s="807"/>
      <c r="E26" s="799"/>
      <c r="F26" s="798"/>
      <c r="G26" s="798"/>
    </row>
    <row r="27" s="410" customFormat="1" ht="23.4" customHeight="1" spans="1:7">
      <c r="A27" s="756"/>
      <c r="B27" s="808"/>
      <c r="C27" s="799"/>
      <c r="D27" s="809">
        <f>'Gen Inb'!V14</f>
        <v>1234567</v>
      </c>
      <c r="E27" s="799"/>
      <c r="F27" s="798"/>
      <c r="G27" s="798"/>
    </row>
    <row r="28" s="410" customFormat="1" ht="23.4" customHeight="1" spans="1:7">
      <c r="A28" s="756"/>
      <c r="B28" s="798"/>
      <c r="C28" s="799"/>
      <c r="D28" s="799"/>
      <c r="E28" s="799"/>
      <c r="F28" s="798"/>
      <c r="G28" s="798"/>
    </row>
    <row r="29" s="410" customFormat="1" ht="23.4" customHeight="1" spans="1:7">
      <c r="A29" s="756"/>
      <c r="B29" s="798"/>
      <c r="C29" s="799"/>
      <c r="D29" s="799"/>
      <c r="E29" s="799"/>
      <c r="F29" s="798"/>
      <c r="G29" s="798"/>
    </row>
    <row r="30" s="410" customFormat="1" ht="23.4" customHeight="1" spans="1:7">
      <c r="A30" s="756"/>
      <c r="B30" s="810"/>
      <c r="C30" s="811"/>
      <c r="D30" s="811"/>
      <c r="E30" s="811"/>
      <c r="F30" s="810"/>
      <c r="G30" s="810"/>
    </row>
    <row r="31" s="410" customFormat="1" ht="23.4" customHeight="1" spans="1:7">
      <c r="A31" s="756"/>
      <c r="B31" s="810"/>
      <c r="C31" s="811"/>
      <c r="D31" s="811"/>
      <c r="E31" s="811"/>
      <c r="F31" s="810"/>
      <c r="G31" s="810"/>
    </row>
    <row r="32" s="410" customFormat="1" ht="24" customHeight="1" spans="1:7">
      <c r="A32" s="756"/>
      <c r="B32" s="810"/>
      <c r="C32" s="811"/>
      <c r="D32" s="811"/>
      <c r="E32" s="811"/>
      <c r="F32" s="810"/>
      <c r="G32" s="810"/>
    </row>
    <row r="33" s="410" customFormat="1" ht="24.75" customHeight="1" spans="1:7">
      <c r="A33" s="756"/>
      <c r="B33" s="812"/>
      <c r="C33" s="813"/>
      <c r="D33" s="813"/>
      <c r="E33" s="813"/>
      <c r="F33" s="812"/>
      <c r="G33" s="812"/>
    </row>
    <row r="34" s="410" customFormat="1" ht="12" customHeight="1" spans="1:7">
      <c r="A34" s="756"/>
      <c r="B34" s="814" t="s">
        <v>185</v>
      </c>
      <c r="C34" s="815"/>
      <c r="D34" s="815"/>
      <c r="E34" s="815"/>
      <c r="F34" s="815"/>
      <c r="G34" s="815"/>
    </row>
    <row r="35" s="410" customFormat="1" ht="10.5" customHeight="1" spans="1:7">
      <c r="A35" s="756"/>
      <c r="B35" s="816" t="s">
        <v>186</v>
      </c>
      <c r="C35" s="817"/>
      <c r="D35" s="817"/>
      <c r="E35" s="817"/>
    </row>
    <row r="36" s="410" customFormat="1" ht="10.5" customHeight="1" spans="1:7">
      <c r="A36" s="818"/>
      <c r="B36" s="819"/>
      <c r="C36" s="819"/>
      <c r="D36" s="819"/>
      <c r="E36" s="819"/>
    </row>
    <row r="37" customHeight="1" spans="1:7">
      <c r="A37" s="820"/>
      <c r="B37" s="821"/>
      <c r="C37" s="405"/>
      <c r="D37" s="405"/>
      <c r="E37" s="405"/>
      <c r="F37" s="822" t="s">
        <v>187</v>
      </c>
      <c r="G37" s="822"/>
    </row>
    <row r="38" ht="14.25" customHeight="1" spans="1:7">
      <c r="B38" s="405"/>
      <c r="C38" s="405"/>
      <c r="D38" s="405"/>
      <c r="E38" s="405"/>
      <c r="F38" s="823" t="s">
        <v>188</v>
      </c>
      <c r="G38" s="823"/>
    </row>
    <row r="39" spans="1:7">
      <c r="B39" s="405"/>
      <c r="C39" s="405"/>
      <c r="D39" s="405"/>
      <c r="E39" s="405"/>
      <c r="F39" s="405"/>
      <c r="G39" s="405"/>
    </row>
    <row r="40" spans="1:7">
      <c r="B40" s="405"/>
      <c r="C40" s="405"/>
      <c r="D40" s="405"/>
      <c r="E40" s="405"/>
      <c r="F40" s="405"/>
      <c r="G40" s="405"/>
    </row>
    <row r="41" spans="1:7">
      <c r="B41" s="405"/>
      <c r="C41" s="405"/>
      <c r="D41" s="405"/>
      <c r="E41" s="405"/>
      <c r="F41" s="405"/>
      <c r="G41" s="405"/>
    </row>
    <row r="42" spans="1:7">
      <c r="B42" s="405"/>
      <c r="C42" s="405"/>
      <c r="D42" s="405"/>
      <c r="E42" s="405"/>
      <c r="F42" s="405"/>
      <c r="G42" s="405"/>
    </row>
    <row r="43" spans="1:7">
      <c r="B43" s="405"/>
      <c r="C43" s="405"/>
      <c r="D43" s="405"/>
      <c r="E43" s="405"/>
      <c r="F43" s="405"/>
      <c r="G43" s="405"/>
    </row>
    <row r="44" spans="1:7">
      <c r="B44" s="405"/>
      <c r="C44" s="405"/>
      <c r="D44" s="405"/>
      <c r="E44" s="405"/>
      <c r="F44" s="405"/>
      <c r="G44" s="405"/>
    </row>
    <row r="45" spans="1:7">
      <c r="B45" s="405"/>
      <c r="C45" s="405"/>
      <c r="D45" s="405"/>
      <c r="E45" s="405"/>
      <c r="F45" s="405"/>
      <c r="G45" s="405"/>
    </row>
    <row r="46" spans="1:7">
      <c r="B46" s="405"/>
      <c r="C46" s="405"/>
      <c r="D46" s="405"/>
      <c r="E46" s="405"/>
      <c r="F46" s="405"/>
      <c r="G46" s="405"/>
    </row>
    <row r="47" spans="1:7">
      <c r="B47" s="405"/>
      <c r="C47" s="405"/>
      <c r="D47" s="405"/>
      <c r="E47" s="405"/>
      <c r="F47" s="405"/>
      <c r="G47" s="405"/>
    </row>
    <row r="48" spans="1:7">
      <c r="B48" s="405"/>
      <c r="C48" s="405"/>
      <c r="D48" s="405"/>
      <c r="E48" s="405"/>
      <c r="F48" s="405"/>
      <c r="G48" s="405"/>
    </row>
    <row r="49" spans="2:7">
      <c r="B49" s="405"/>
      <c r="C49" s="405"/>
      <c r="D49" s="405"/>
      <c r="E49" s="405"/>
      <c r="F49" s="405"/>
      <c r="G49" s="405"/>
    </row>
    <row r="50" spans="2:7">
      <c r="B50" s="405"/>
      <c r="C50" s="405"/>
      <c r="D50" s="405"/>
      <c r="E50" s="405"/>
      <c r="F50" s="405"/>
      <c r="G50" s="405"/>
    </row>
    <row r="51" spans="2:7">
      <c r="B51" s="405"/>
      <c r="C51" s="405"/>
      <c r="D51" s="405"/>
      <c r="E51" s="405"/>
      <c r="F51" s="405"/>
      <c r="G51" s="405"/>
    </row>
    <row r="52" spans="2:7">
      <c r="B52" s="405"/>
      <c r="C52" s="405"/>
      <c r="D52" s="405"/>
      <c r="E52" s="405"/>
      <c r="F52" s="405"/>
      <c r="G52" s="405"/>
    </row>
    <row r="53" spans="2:7">
      <c r="B53" s="405"/>
      <c r="C53" s="405"/>
      <c r="D53" s="405"/>
      <c r="E53" s="405"/>
      <c r="F53" s="405"/>
      <c r="G53" s="405"/>
    </row>
    <row r="54" spans="2:7">
      <c r="B54" s="405"/>
      <c r="C54" s="405"/>
      <c r="D54" s="405"/>
      <c r="E54" s="405"/>
      <c r="F54" s="405"/>
      <c r="G54" s="405"/>
    </row>
    <row r="55" spans="2:7">
      <c r="B55" s="405"/>
      <c r="C55" s="405"/>
      <c r="D55" s="405"/>
      <c r="E55" s="405"/>
      <c r="F55" s="405"/>
      <c r="G55" s="405"/>
    </row>
    <row r="56" spans="2:7">
      <c r="B56" s="405"/>
      <c r="C56" s="405"/>
      <c r="D56" s="405"/>
      <c r="E56" s="405"/>
      <c r="F56" s="405"/>
      <c r="G56" s="405"/>
    </row>
    <row r="57" spans="2:7">
      <c r="B57" s="405"/>
      <c r="C57" s="405"/>
      <c r="D57" s="405"/>
      <c r="E57" s="405"/>
      <c r="F57" s="405"/>
      <c r="G57" s="405"/>
    </row>
    <row r="58" spans="2:7">
      <c r="B58" s="405"/>
      <c r="C58" s="405"/>
      <c r="D58" s="405"/>
      <c r="E58" s="405"/>
      <c r="F58" s="405"/>
      <c r="G58" s="405"/>
    </row>
    <row r="59" spans="2:7">
      <c r="B59" s="405"/>
      <c r="C59" s="405"/>
      <c r="D59" s="405"/>
      <c r="E59" s="405"/>
      <c r="F59" s="405"/>
      <c r="G59" s="405"/>
    </row>
    <row r="60" spans="2:7">
      <c r="B60" s="405"/>
      <c r="C60" s="405"/>
      <c r="D60" s="405"/>
      <c r="E60" s="405"/>
      <c r="F60" s="405"/>
      <c r="G60" s="405"/>
    </row>
    <row r="61" spans="2:7">
      <c r="B61" s="405"/>
      <c r="C61" s="405"/>
      <c r="D61" s="405"/>
      <c r="E61" s="405"/>
      <c r="F61" s="405"/>
      <c r="G61" s="405"/>
    </row>
    <row r="62" spans="2:7">
      <c r="B62" s="405"/>
      <c r="C62" s="405"/>
      <c r="D62" s="405"/>
      <c r="E62" s="405"/>
      <c r="F62" s="405"/>
      <c r="G62" s="405"/>
    </row>
    <row r="63" spans="2:7">
      <c r="B63" s="405"/>
      <c r="C63" s="405"/>
      <c r="D63" s="405"/>
      <c r="E63" s="405"/>
      <c r="F63" s="405"/>
      <c r="G63" s="405"/>
    </row>
    <row r="64" spans="2:7">
      <c r="B64" s="405"/>
      <c r="C64" s="405"/>
      <c r="D64" s="405"/>
      <c r="E64" s="405"/>
      <c r="F64" s="405"/>
      <c r="G64" s="405"/>
    </row>
    <row r="65" spans="2:7">
      <c r="B65" s="405"/>
      <c r="C65" s="405"/>
      <c r="D65" s="405"/>
      <c r="E65" s="405"/>
      <c r="F65" s="405"/>
      <c r="G65" s="405"/>
    </row>
    <row r="66" spans="2:7">
      <c r="B66" s="405"/>
      <c r="C66" s="405"/>
      <c r="D66" s="405"/>
      <c r="E66" s="405"/>
      <c r="F66" s="405"/>
      <c r="G66" s="405"/>
    </row>
    <row r="67" spans="2:7">
      <c r="B67" s="405"/>
      <c r="C67" s="405"/>
      <c r="D67" s="405"/>
      <c r="E67" s="405"/>
      <c r="F67" s="405"/>
      <c r="G67" s="405"/>
    </row>
    <row r="68" spans="2:7">
      <c r="B68" s="405"/>
      <c r="C68" s="405"/>
      <c r="D68" s="405"/>
      <c r="E68" s="405"/>
      <c r="F68" s="405"/>
      <c r="G68" s="405"/>
    </row>
    <row r="69" spans="2:7">
      <c r="B69" s="405"/>
      <c r="C69" s="405"/>
      <c r="D69" s="405"/>
      <c r="E69" s="405"/>
      <c r="F69" s="405"/>
      <c r="G69" s="405"/>
    </row>
    <row r="70" spans="2:7">
      <c r="B70" s="405"/>
      <c r="C70" s="405"/>
      <c r="D70" s="405"/>
      <c r="E70" s="405"/>
      <c r="F70" s="405"/>
      <c r="G70" s="405"/>
    </row>
    <row r="71" spans="2:7">
      <c r="B71" s="405"/>
      <c r="C71" s="405"/>
      <c r="D71" s="405"/>
      <c r="E71" s="405"/>
      <c r="F71" s="405"/>
      <c r="G71" s="405"/>
    </row>
    <row r="72" spans="2:7">
      <c r="B72" s="405"/>
      <c r="C72" s="405"/>
      <c r="D72" s="405"/>
      <c r="E72" s="405"/>
      <c r="F72" s="405"/>
      <c r="G72" s="405"/>
    </row>
    <row r="73" spans="2:7">
      <c r="B73" s="405"/>
      <c r="C73" s="405"/>
      <c r="D73" s="405"/>
      <c r="E73" s="405"/>
      <c r="F73" s="405"/>
      <c r="G73" s="405"/>
    </row>
    <row r="74" spans="2:7">
      <c r="B74" s="405"/>
      <c r="C74" s="405"/>
      <c r="D74" s="405"/>
      <c r="E74" s="405"/>
      <c r="F74" s="405"/>
      <c r="G74" s="405"/>
    </row>
    <row r="75" spans="2:7">
      <c r="B75" s="405"/>
      <c r="C75" s="405"/>
      <c r="D75" s="405"/>
      <c r="E75" s="405"/>
      <c r="F75" s="405"/>
      <c r="G75" s="405"/>
    </row>
    <row r="76" spans="2:7">
      <c r="B76" s="405"/>
      <c r="C76" s="405"/>
      <c r="D76" s="405"/>
      <c r="E76" s="405"/>
      <c r="F76" s="405"/>
      <c r="G76" s="405"/>
    </row>
    <row r="77" spans="2:7">
      <c r="B77" s="405"/>
      <c r="C77" s="405"/>
      <c r="D77" s="405"/>
      <c r="E77" s="405"/>
      <c r="F77" s="405"/>
      <c r="G77" s="405"/>
    </row>
    <row r="78" spans="2:7">
      <c r="B78" s="405"/>
      <c r="C78" s="405"/>
      <c r="D78" s="405"/>
      <c r="E78" s="405"/>
      <c r="F78" s="405"/>
      <c r="G78" s="405"/>
    </row>
    <row r="79" spans="2:7">
      <c r="B79" s="405"/>
      <c r="C79" s="405"/>
      <c r="D79" s="405"/>
      <c r="E79" s="405"/>
      <c r="F79" s="405"/>
      <c r="G79" s="405"/>
    </row>
    <row r="80" spans="2:7">
      <c r="B80" s="405"/>
      <c r="C80" s="405"/>
      <c r="D80" s="405"/>
      <c r="E80" s="405"/>
      <c r="F80" s="405"/>
      <c r="G80" s="405"/>
    </row>
    <row r="81" spans="2:7">
      <c r="B81" s="405"/>
      <c r="C81" s="405"/>
      <c r="D81" s="405"/>
      <c r="E81" s="405"/>
      <c r="F81" s="405"/>
      <c r="G81" s="405"/>
    </row>
    <row r="82" spans="2:7">
      <c r="B82" s="405"/>
      <c r="C82" s="405"/>
      <c r="D82" s="405"/>
      <c r="E82" s="405"/>
      <c r="F82" s="405"/>
      <c r="G82" s="405"/>
    </row>
    <row r="83" spans="2:7">
      <c r="B83" s="405"/>
      <c r="C83" s="405"/>
      <c r="D83" s="405"/>
      <c r="E83" s="405"/>
      <c r="F83" s="405"/>
      <c r="G83" s="405"/>
    </row>
    <row r="84" spans="2:7">
      <c r="B84" s="405"/>
      <c r="C84" s="405"/>
      <c r="D84" s="405"/>
      <c r="E84" s="405"/>
      <c r="F84" s="405"/>
      <c r="G84" s="405"/>
    </row>
    <row r="85" spans="2:7">
      <c r="B85" s="405"/>
      <c r="C85" s="405"/>
      <c r="D85" s="405"/>
      <c r="E85" s="405"/>
      <c r="F85" s="405"/>
      <c r="G85" s="405"/>
    </row>
    <row r="86" spans="2:7">
      <c r="B86" s="405"/>
      <c r="C86" s="405"/>
      <c r="D86" s="405"/>
      <c r="E86" s="405"/>
      <c r="F86" s="405"/>
      <c r="G86" s="405"/>
    </row>
    <row r="87" spans="2:7">
      <c r="B87" s="405"/>
      <c r="C87" s="405"/>
      <c r="D87" s="405"/>
      <c r="E87" s="405"/>
      <c r="F87" s="405"/>
      <c r="G87" s="405"/>
    </row>
    <row r="88" spans="2:7">
      <c r="B88" s="405"/>
      <c r="C88" s="405"/>
      <c r="D88" s="405"/>
      <c r="E88" s="405"/>
      <c r="F88" s="405"/>
      <c r="G88" s="405"/>
    </row>
    <row r="89" spans="2:7">
      <c r="B89" s="405"/>
      <c r="C89" s="405"/>
      <c r="D89" s="405"/>
      <c r="E89" s="405"/>
      <c r="F89" s="405"/>
      <c r="G89" s="405"/>
    </row>
    <row r="90" spans="2:7">
      <c r="B90" s="405"/>
      <c r="C90" s="405"/>
      <c r="D90" s="405"/>
      <c r="E90" s="405"/>
      <c r="F90" s="405"/>
      <c r="G90" s="405"/>
    </row>
    <row r="91" spans="2:7">
      <c r="B91" s="405"/>
      <c r="C91" s="405"/>
      <c r="D91" s="405"/>
      <c r="E91" s="405"/>
      <c r="F91" s="405"/>
      <c r="G91" s="405"/>
    </row>
    <row r="92" spans="2:7">
      <c r="B92" s="405"/>
      <c r="C92" s="405"/>
      <c r="D92" s="405"/>
      <c r="E92" s="405"/>
      <c r="F92" s="405"/>
      <c r="G92" s="405"/>
    </row>
    <row r="93" spans="2:7">
      <c r="B93" s="405"/>
      <c r="C93" s="405"/>
      <c r="D93" s="405"/>
      <c r="E93" s="405"/>
      <c r="F93" s="405"/>
      <c r="G93" s="405"/>
    </row>
    <row r="94" spans="2:7">
      <c r="B94" s="405"/>
      <c r="C94" s="405"/>
      <c r="D94" s="405"/>
      <c r="E94" s="405"/>
      <c r="F94" s="405"/>
      <c r="G94" s="405"/>
    </row>
    <row r="95" spans="2:7">
      <c r="B95" s="405"/>
      <c r="C95" s="405"/>
      <c r="D95" s="405"/>
      <c r="E95" s="405"/>
      <c r="F95" s="405"/>
      <c r="G95" s="405"/>
    </row>
    <row r="96" spans="2:7">
      <c r="B96" s="405"/>
      <c r="C96" s="405"/>
      <c r="D96" s="405"/>
      <c r="E96" s="405"/>
      <c r="F96" s="405"/>
      <c r="G96" s="405"/>
    </row>
    <row r="97" spans="2:7">
      <c r="B97" s="405"/>
      <c r="C97" s="405"/>
      <c r="D97" s="405"/>
      <c r="E97" s="405"/>
      <c r="F97" s="405"/>
      <c r="G97" s="405"/>
    </row>
    <row r="98" spans="2:7">
      <c r="B98" s="405"/>
      <c r="C98" s="405"/>
      <c r="D98" s="405"/>
      <c r="E98" s="405"/>
      <c r="F98" s="405"/>
      <c r="G98" s="405"/>
    </row>
    <row r="99" spans="2:7">
      <c r="B99" s="405"/>
      <c r="C99" s="405"/>
      <c r="D99" s="405"/>
      <c r="E99" s="405"/>
      <c r="F99" s="405"/>
      <c r="G99" s="405"/>
    </row>
    <row r="100" spans="2:7">
      <c r="B100" s="405"/>
      <c r="C100" s="405"/>
      <c r="D100" s="405"/>
      <c r="E100" s="405"/>
      <c r="F100" s="405"/>
      <c r="G100" s="405"/>
    </row>
    <row r="101" spans="2:7">
      <c r="B101" s="405"/>
      <c r="C101" s="405"/>
      <c r="D101" s="405"/>
      <c r="E101" s="405"/>
      <c r="F101" s="405"/>
      <c r="G101" s="405"/>
    </row>
    <row r="102" spans="2:7">
      <c r="B102" s="405"/>
      <c r="C102" s="405"/>
      <c r="D102" s="405"/>
      <c r="E102" s="405"/>
      <c r="F102" s="405"/>
      <c r="G102" s="405"/>
    </row>
    <row r="103" spans="2:7">
      <c r="B103" s="405"/>
      <c r="C103" s="405"/>
      <c r="D103" s="405"/>
      <c r="E103" s="405"/>
      <c r="F103" s="405"/>
      <c r="G103" s="405"/>
    </row>
    <row r="104" spans="2:7">
      <c r="B104" s="405"/>
      <c r="C104" s="405"/>
      <c r="D104" s="405"/>
      <c r="E104" s="405"/>
      <c r="F104" s="405"/>
      <c r="G104" s="405"/>
    </row>
    <row r="105" spans="2:7">
      <c r="B105" s="405"/>
      <c r="C105" s="405"/>
      <c r="D105" s="405"/>
      <c r="E105" s="405"/>
      <c r="F105" s="405"/>
      <c r="G105" s="405"/>
    </row>
    <row r="106" spans="2:7">
      <c r="B106" s="405"/>
      <c r="C106" s="405"/>
      <c r="D106" s="405"/>
      <c r="E106" s="405"/>
      <c r="F106" s="405"/>
      <c r="G106" s="405"/>
    </row>
    <row r="107" spans="2:7">
      <c r="B107" s="405"/>
      <c r="C107" s="405"/>
      <c r="D107" s="405"/>
      <c r="E107" s="405"/>
      <c r="F107" s="405"/>
      <c r="G107" s="405"/>
    </row>
    <row r="108" spans="2:7">
      <c r="B108" s="405"/>
      <c r="C108" s="405"/>
      <c r="D108" s="405"/>
      <c r="E108" s="405"/>
      <c r="F108" s="405"/>
      <c r="G108" s="405"/>
    </row>
    <row r="109" spans="2:7">
      <c r="B109" s="405"/>
      <c r="C109" s="405"/>
      <c r="D109" s="405"/>
      <c r="E109" s="405"/>
      <c r="F109" s="405"/>
      <c r="G109" s="405"/>
    </row>
    <row r="110" spans="2:7">
      <c r="B110" s="405"/>
      <c r="C110" s="405"/>
      <c r="D110" s="405"/>
      <c r="E110" s="405"/>
      <c r="F110" s="405"/>
      <c r="G110" s="405"/>
    </row>
    <row r="111" spans="2:7">
      <c r="B111" s="405"/>
      <c r="C111" s="405"/>
      <c r="D111" s="405"/>
      <c r="E111" s="405"/>
      <c r="F111" s="405"/>
      <c r="G111" s="405"/>
    </row>
    <row r="112" spans="2:7">
      <c r="B112" s="405"/>
      <c r="C112" s="405"/>
      <c r="D112" s="405"/>
      <c r="E112" s="405"/>
      <c r="F112" s="405"/>
      <c r="G112" s="405"/>
    </row>
    <row r="113" spans="2:7">
      <c r="B113" s="405"/>
      <c r="C113" s="405"/>
      <c r="D113" s="405"/>
      <c r="E113" s="405"/>
      <c r="F113" s="405"/>
      <c r="G113" s="405"/>
    </row>
    <row r="114" spans="2:7">
      <c r="B114" s="405"/>
      <c r="C114" s="405"/>
      <c r="D114" s="405"/>
      <c r="E114" s="405"/>
      <c r="F114" s="405"/>
      <c r="G114" s="405"/>
    </row>
    <row r="115" spans="2:7">
      <c r="B115" s="405"/>
      <c r="C115" s="405"/>
      <c r="D115" s="405"/>
      <c r="E115" s="405"/>
      <c r="F115" s="405"/>
      <c r="G115" s="405"/>
    </row>
    <row r="116" spans="2:7">
      <c r="B116" s="405"/>
      <c r="C116" s="405"/>
      <c r="D116" s="405"/>
      <c r="E116" s="405"/>
      <c r="F116" s="405"/>
      <c r="G116" s="405"/>
    </row>
    <row r="117" spans="2:7">
      <c r="B117" s="405"/>
      <c r="C117" s="405"/>
      <c r="D117" s="405"/>
      <c r="E117" s="405"/>
      <c r="F117" s="405"/>
      <c r="G117" s="405"/>
    </row>
    <row r="118" spans="2:7">
      <c r="B118" s="405"/>
      <c r="C118" s="405"/>
      <c r="D118" s="405"/>
      <c r="E118" s="405"/>
      <c r="F118" s="405"/>
      <c r="G118" s="405"/>
    </row>
    <row r="119" spans="2:7">
      <c r="B119" s="405"/>
      <c r="C119" s="405"/>
      <c r="D119" s="405"/>
      <c r="E119" s="405"/>
      <c r="F119" s="405"/>
      <c r="G119" s="405"/>
    </row>
    <row r="120" spans="2:7">
      <c r="B120" s="405"/>
      <c r="C120" s="405"/>
      <c r="D120" s="405"/>
      <c r="E120" s="405"/>
      <c r="F120" s="405"/>
      <c r="G120" s="405"/>
    </row>
    <row r="121" spans="2:7">
      <c r="B121" s="405"/>
      <c r="C121" s="405"/>
      <c r="D121" s="405"/>
      <c r="E121" s="405"/>
      <c r="F121" s="405"/>
      <c r="G121" s="405"/>
    </row>
    <row r="122" spans="2:7">
      <c r="B122" s="405"/>
      <c r="C122" s="405"/>
      <c r="D122" s="405"/>
      <c r="E122" s="405"/>
      <c r="F122" s="405"/>
      <c r="G122" s="405"/>
    </row>
    <row r="123" spans="2:7">
      <c r="B123" s="405"/>
      <c r="C123" s="405"/>
      <c r="D123" s="405"/>
      <c r="E123" s="405"/>
      <c r="F123" s="405"/>
      <c r="G123" s="405"/>
    </row>
    <row r="124" spans="2:7">
      <c r="B124" s="405"/>
      <c r="C124" s="405"/>
      <c r="D124" s="405"/>
      <c r="E124" s="405"/>
      <c r="F124" s="405"/>
      <c r="G124" s="405"/>
    </row>
    <row r="125" spans="2:7">
      <c r="B125" s="405"/>
      <c r="C125" s="405"/>
      <c r="D125" s="405"/>
      <c r="E125" s="405"/>
      <c r="F125" s="405"/>
      <c r="G125" s="405"/>
    </row>
    <row r="126" spans="2:7">
      <c r="B126" s="405"/>
      <c r="C126" s="405"/>
      <c r="D126" s="405"/>
      <c r="E126" s="405"/>
      <c r="F126" s="405"/>
      <c r="G126" s="405"/>
    </row>
    <row r="127" spans="2:7">
      <c r="B127" s="405"/>
      <c r="C127" s="405"/>
      <c r="D127" s="405"/>
      <c r="E127" s="405"/>
      <c r="F127" s="405"/>
      <c r="G127" s="405"/>
    </row>
    <row r="128" spans="2:7">
      <c r="B128" s="405"/>
      <c r="C128" s="405"/>
      <c r="D128" s="405"/>
      <c r="E128" s="405"/>
      <c r="F128" s="405"/>
      <c r="G128" s="405"/>
    </row>
    <row r="129" spans="2:7">
      <c r="B129" s="405"/>
      <c r="C129" s="405"/>
      <c r="D129" s="405"/>
      <c r="E129" s="405"/>
      <c r="F129" s="405"/>
      <c r="G129" s="405"/>
    </row>
    <row r="130" spans="2:7">
      <c r="B130" s="405"/>
      <c r="C130" s="405"/>
      <c r="D130" s="405"/>
      <c r="E130" s="405"/>
      <c r="F130" s="405"/>
      <c r="G130" s="405"/>
    </row>
    <row r="131" spans="2:7">
      <c r="B131" s="405"/>
      <c r="C131" s="405"/>
      <c r="D131" s="405"/>
      <c r="E131" s="405"/>
      <c r="F131" s="405"/>
      <c r="G131" s="405"/>
    </row>
    <row r="132" spans="2:7">
      <c r="B132" s="405"/>
      <c r="C132" s="405"/>
      <c r="D132" s="405"/>
      <c r="E132" s="405"/>
      <c r="F132" s="405"/>
      <c r="G132" s="405"/>
    </row>
    <row r="133" spans="2:7">
      <c r="B133" s="405"/>
      <c r="C133" s="405"/>
      <c r="D133" s="405"/>
      <c r="E133" s="405"/>
      <c r="F133" s="405"/>
      <c r="G133" s="405"/>
    </row>
    <row r="134" spans="2:7">
      <c r="B134" s="405"/>
      <c r="C134" s="405"/>
      <c r="D134" s="405"/>
      <c r="E134" s="405"/>
      <c r="F134" s="405"/>
      <c r="G134" s="405"/>
    </row>
    <row r="135" spans="2:7">
      <c r="B135" s="405"/>
      <c r="C135" s="405"/>
      <c r="D135" s="405"/>
      <c r="E135" s="405"/>
      <c r="F135" s="405"/>
      <c r="G135" s="405"/>
    </row>
    <row r="136" spans="2:7">
      <c r="B136" s="405"/>
      <c r="C136" s="405"/>
      <c r="D136" s="405"/>
      <c r="E136" s="405"/>
      <c r="F136" s="405"/>
      <c r="G136" s="405"/>
    </row>
    <row r="137" spans="2:7">
      <c r="B137" s="405"/>
      <c r="C137" s="405"/>
      <c r="D137" s="405"/>
      <c r="E137" s="405"/>
      <c r="F137" s="405"/>
      <c r="G137" s="405"/>
    </row>
    <row r="138" spans="2:7">
      <c r="B138" s="405"/>
      <c r="C138" s="405"/>
      <c r="D138" s="405"/>
      <c r="E138" s="405"/>
      <c r="F138" s="405"/>
      <c r="G138" s="405"/>
    </row>
    <row r="139" spans="2:7">
      <c r="B139" s="405"/>
      <c r="C139" s="405"/>
      <c r="D139" s="405"/>
      <c r="E139" s="405"/>
      <c r="F139" s="405"/>
      <c r="G139" s="405"/>
    </row>
    <row r="140" spans="2:7">
      <c r="B140" s="405"/>
      <c r="C140" s="405"/>
      <c r="D140" s="405"/>
      <c r="E140" s="405"/>
      <c r="F140" s="405"/>
      <c r="G140" s="405"/>
    </row>
    <row r="141" spans="2:7">
      <c r="B141" s="405"/>
      <c r="C141" s="405"/>
      <c r="D141" s="405"/>
      <c r="E141" s="405"/>
      <c r="F141" s="405"/>
      <c r="G141" s="405"/>
    </row>
    <row r="142" spans="2:7">
      <c r="B142" s="405"/>
      <c r="C142" s="405"/>
      <c r="D142" s="405"/>
      <c r="E142" s="405"/>
      <c r="F142" s="405"/>
      <c r="G142" s="405"/>
    </row>
    <row r="143" spans="2:7">
      <c r="B143" s="405"/>
      <c r="C143" s="405"/>
      <c r="D143" s="405"/>
      <c r="E143" s="405"/>
      <c r="F143" s="405"/>
      <c r="G143" s="405"/>
    </row>
    <row r="144" spans="2:7">
      <c r="B144" s="405"/>
      <c r="C144" s="405"/>
      <c r="D144" s="405"/>
      <c r="E144" s="405"/>
      <c r="F144" s="405"/>
      <c r="G144" s="405"/>
    </row>
    <row r="145" spans="2:7">
      <c r="B145" s="405"/>
      <c r="C145" s="405"/>
      <c r="D145" s="405"/>
      <c r="E145" s="405"/>
      <c r="F145" s="405"/>
      <c r="G145" s="405"/>
    </row>
    <row r="146" spans="2:7">
      <c r="B146" s="405"/>
      <c r="C146" s="405"/>
      <c r="D146" s="405"/>
      <c r="E146" s="405"/>
      <c r="F146" s="405"/>
      <c r="G146" s="405"/>
    </row>
    <row r="147" spans="2:7">
      <c r="B147" s="405"/>
      <c r="C147" s="405"/>
      <c r="D147" s="405"/>
      <c r="E147" s="405"/>
      <c r="F147" s="405"/>
      <c r="G147" s="405"/>
    </row>
    <row r="148" spans="2:7">
      <c r="B148" s="405"/>
      <c r="C148" s="405"/>
      <c r="D148" s="405"/>
      <c r="E148" s="405"/>
      <c r="F148" s="405"/>
      <c r="G148" s="405"/>
    </row>
    <row r="149" spans="2:7">
      <c r="B149" s="405"/>
      <c r="C149" s="405"/>
      <c r="D149" s="405"/>
      <c r="E149" s="405"/>
      <c r="F149" s="405"/>
      <c r="G149" s="405"/>
    </row>
    <row r="150" spans="2:7">
      <c r="B150" s="405"/>
      <c r="C150" s="405"/>
      <c r="D150" s="405"/>
      <c r="E150" s="405"/>
      <c r="F150" s="405"/>
      <c r="G150" s="405"/>
    </row>
    <row r="151" spans="2:7">
      <c r="B151" s="405"/>
      <c r="C151" s="405"/>
      <c r="D151" s="405"/>
      <c r="E151" s="405"/>
      <c r="F151" s="405"/>
      <c r="G151" s="405"/>
    </row>
    <row r="152" spans="2:7">
      <c r="B152" s="405"/>
      <c r="C152" s="405"/>
      <c r="D152" s="405"/>
      <c r="E152" s="405"/>
      <c r="F152" s="405"/>
      <c r="G152" s="405"/>
    </row>
    <row r="153" spans="2:7">
      <c r="B153" s="405"/>
      <c r="C153" s="405"/>
      <c r="D153" s="405"/>
      <c r="E153" s="405"/>
      <c r="F153" s="405"/>
      <c r="G153" s="405"/>
    </row>
    <row r="154" spans="2:7">
      <c r="B154" s="405"/>
      <c r="C154" s="405"/>
      <c r="D154" s="405"/>
      <c r="E154" s="405"/>
      <c r="F154" s="405"/>
      <c r="G154" s="405"/>
    </row>
    <row r="155" spans="2:7">
      <c r="B155" s="405"/>
      <c r="C155" s="405"/>
      <c r="D155" s="405"/>
      <c r="E155" s="405"/>
      <c r="F155" s="405"/>
      <c r="G155" s="405"/>
    </row>
    <row r="156" spans="2:7">
      <c r="B156" s="405"/>
      <c r="C156" s="405"/>
      <c r="D156" s="405"/>
      <c r="E156" s="405"/>
      <c r="F156" s="405"/>
      <c r="G156" s="405"/>
    </row>
    <row r="157" spans="2:7">
      <c r="B157" s="405"/>
      <c r="C157" s="405"/>
      <c r="D157" s="405"/>
      <c r="E157" s="405"/>
      <c r="F157" s="405"/>
      <c r="G157" s="405"/>
    </row>
    <row r="158" spans="2:7">
      <c r="B158" s="405"/>
      <c r="C158" s="405"/>
      <c r="D158" s="405"/>
      <c r="E158" s="405"/>
      <c r="F158" s="405"/>
      <c r="G158" s="405"/>
    </row>
    <row r="159" spans="2:7">
      <c r="B159" s="405"/>
      <c r="C159" s="405"/>
      <c r="D159" s="405"/>
      <c r="E159" s="405"/>
      <c r="F159" s="405"/>
      <c r="G159" s="405"/>
    </row>
    <row r="160" spans="2:7">
      <c r="B160" s="405"/>
      <c r="C160" s="405"/>
      <c r="D160" s="405"/>
      <c r="E160" s="405"/>
      <c r="F160" s="405"/>
      <c r="G160" s="405"/>
    </row>
    <row r="161" spans="2:7">
      <c r="B161" s="405"/>
      <c r="C161" s="405"/>
      <c r="D161" s="405"/>
      <c r="E161" s="405"/>
      <c r="F161" s="405"/>
      <c r="G161" s="405"/>
    </row>
    <row r="162" spans="2:7">
      <c r="B162" s="405"/>
      <c r="C162" s="405"/>
      <c r="D162" s="405"/>
      <c r="E162" s="405"/>
      <c r="F162" s="405"/>
      <c r="G162" s="405"/>
    </row>
    <row r="163" spans="2:7">
      <c r="B163" s="405"/>
      <c r="C163" s="405"/>
      <c r="D163" s="405"/>
      <c r="E163" s="405"/>
      <c r="F163" s="405"/>
      <c r="G163" s="405"/>
    </row>
    <row r="164" spans="2:7">
      <c r="B164" s="405"/>
      <c r="C164" s="405"/>
      <c r="D164" s="405"/>
      <c r="E164" s="405"/>
      <c r="F164" s="405"/>
      <c r="G164" s="405"/>
    </row>
    <row r="165" spans="2:7">
      <c r="B165" s="405"/>
      <c r="C165" s="405"/>
      <c r="D165" s="405"/>
      <c r="E165" s="405"/>
      <c r="F165" s="405"/>
      <c r="G165" s="405"/>
    </row>
    <row r="166" spans="2:7">
      <c r="B166" s="405"/>
      <c r="C166" s="405"/>
      <c r="D166" s="405"/>
      <c r="E166" s="405"/>
      <c r="F166" s="405"/>
      <c r="G166" s="405"/>
    </row>
    <row r="167" spans="2:7">
      <c r="B167" s="405"/>
      <c r="C167" s="405"/>
      <c r="D167" s="405"/>
      <c r="E167" s="405"/>
      <c r="F167" s="405"/>
      <c r="G167" s="405"/>
    </row>
    <row r="168" spans="2:7">
      <c r="B168" s="405"/>
      <c r="C168" s="405"/>
      <c r="D168" s="405"/>
      <c r="E168" s="405"/>
      <c r="F168" s="405"/>
      <c r="G168" s="405"/>
    </row>
    <row r="169" spans="2:7">
      <c r="B169" s="405"/>
      <c r="C169" s="405"/>
      <c r="D169" s="405"/>
      <c r="E169" s="405"/>
      <c r="F169" s="405"/>
      <c r="G169" s="405"/>
    </row>
    <row r="170" spans="2:7">
      <c r="B170" s="405"/>
      <c r="C170" s="405"/>
      <c r="D170" s="405"/>
      <c r="E170" s="405"/>
      <c r="F170" s="405"/>
      <c r="G170" s="405"/>
    </row>
    <row r="171" spans="2:7">
      <c r="B171" s="405"/>
      <c r="C171" s="405"/>
      <c r="D171" s="405"/>
      <c r="E171" s="405"/>
      <c r="F171" s="405"/>
      <c r="G171" s="405"/>
    </row>
    <row r="172" spans="2:7">
      <c r="B172" s="405"/>
      <c r="C172" s="405"/>
      <c r="D172" s="405"/>
      <c r="E172" s="405"/>
      <c r="F172" s="405"/>
      <c r="G172" s="405"/>
    </row>
    <row r="173" spans="2:7">
      <c r="B173" s="405"/>
      <c r="C173" s="405"/>
      <c r="D173" s="405"/>
      <c r="E173" s="405"/>
      <c r="F173" s="405"/>
      <c r="G173" s="405"/>
    </row>
    <row r="174" spans="2:7">
      <c r="B174" s="405"/>
      <c r="C174" s="405"/>
      <c r="D174" s="405"/>
      <c r="E174" s="405"/>
      <c r="F174" s="405"/>
      <c r="G174" s="405"/>
    </row>
    <row r="175" spans="2:7">
      <c r="B175" s="405"/>
      <c r="C175" s="405"/>
      <c r="D175" s="405"/>
      <c r="E175" s="405"/>
      <c r="F175" s="405"/>
      <c r="G175" s="405"/>
    </row>
    <row r="176" spans="2:7">
      <c r="B176" s="405"/>
      <c r="C176" s="405"/>
      <c r="D176" s="405"/>
      <c r="E176" s="405"/>
      <c r="F176" s="405"/>
      <c r="G176" s="405"/>
    </row>
    <row r="177" spans="2:7">
      <c r="B177" s="405"/>
      <c r="C177" s="405"/>
      <c r="D177" s="405"/>
      <c r="E177" s="405"/>
      <c r="F177" s="405"/>
      <c r="G177" s="405"/>
    </row>
    <row r="178" spans="2:7">
      <c r="B178" s="405"/>
      <c r="C178" s="405"/>
      <c r="D178" s="405"/>
      <c r="E178" s="405"/>
      <c r="F178" s="405"/>
      <c r="G178" s="405"/>
    </row>
    <row r="179" spans="2:7">
      <c r="B179" s="405"/>
      <c r="C179" s="405"/>
      <c r="D179" s="405"/>
      <c r="E179" s="405"/>
      <c r="F179" s="405"/>
      <c r="G179" s="405"/>
    </row>
    <row r="180" spans="2:7">
      <c r="B180" s="405"/>
      <c r="C180" s="405"/>
      <c r="D180" s="405"/>
      <c r="E180" s="405"/>
      <c r="F180" s="405"/>
      <c r="G180" s="405"/>
    </row>
    <row r="181" spans="2:7">
      <c r="B181" s="405"/>
      <c r="C181" s="405"/>
      <c r="D181" s="405"/>
      <c r="E181" s="405"/>
      <c r="F181" s="405"/>
      <c r="G181" s="405"/>
    </row>
    <row r="182" spans="2:7">
      <c r="B182" s="405"/>
      <c r="C182" s="405"/>
      <c r="D182" s="405"/>
      <c r="E182" s="405"/>
      <c r="F182" s="405"/>
      <c r="G182" s="405"/>
    </row>
    <row r="183" spans="2:7">
      <c r="B183" s="405"/>
      <c r="C183" s="405"/>
      <c r="D183" s="405"/>
      <c r="E183" s="405"/>
      <c r="F183" s="405"/>
      <c r="G183" s="405"/>
    </row>
    <row r="184" spans="2:7">
      <c r="B184" s="405"/>
      <c r="C184" s="405"/>
      <c r="D184" s="405"/>
      <c r="E184" s="405"/>
      <c r="F184" s="405"/>
      <c r="G184" s="405"/>
    </row>
    <row r="185" spans="2:7">
      <c r="B185" s="405"/>
      <c r="C185" s="405"/>
      <c r="D185" s="405"/>
      <c r="E185" s="405"/>
      <c r="F185" s="405"/>
      <c r="G185" s="405"/>
    </row>
    <row r="186" spans="2:7">
      <c r="B186" s="405"/>
      <c r="C186" s="405"/>
      <c r="D186" s="405"/>
      <c r="E186" s="405"/>
      <c r="F186" s="405"/>
      <c r="G186" s="405"/>
    </row>
    <row r="187" spans="2:7">
      <c r="B187" s="405"/>
      <c r="C187" s="405"/>
      <c r="D187" s="405"/>
      <c r="E187" s="405"/>
      <c r="F187" s="405"/>
      <c r="G187" s="405"/>
    </row>
    <row r="188" spans="2:7">
      <c r="B188" s="405"/>
      <c r="C188" s="405"/>
      <c r="D188" s="405"/>
      <c r="E188" s="405"/>
      <c r="F188" s="405"/>
      <c r="G188" s="405"/>
    </row>
    <row r="189" spans="2:7">
      <c r="B189" s="405"/>
      <c r="C189" s="405"/>
      <c r="D189" s="405"/>
      <c r="E189" s="405"/>
      <c r="F189" s="405"/>
      <c r="G189" s="405"/>
    </row>
    <row r="190" spans="2:7">
      <c r="B190" s="405"/>
      <c r="C190" s="405"/>
      <c r="D190" s="405"/>
      <c r="E190" s="405"/>
      <c r="F190" s="405"/>
      <c r="G190" s="405"/>
    </row>
    <row r="191" spans="2:7">
      <c r="B191" s="405"/>
      <c r="C191" s="405"/>
      <c r="D191" s="405"/>
      <c r="E191" s="405"/>
      <c r="F191" s="405"/>
      <c r="G191" s="405"/>
    </row>
    <row r="192" spans="2:7">
      <c r="B192" s="405"/>
      <c r="C192" s="405"/>
      <c r="D192" s="405"/>
      <c r="E192" s="405"/>
      <c r="F192" s="405"/>
      <c r="G192" s="405"/>
    </row>
    <row r="193" spans="2:7">
      <c r="B193" s="405"/>
      <c r="C193" s="405"/>
      <c r="D193" s="405"/>
      <c r="E193" s="405"/>
      <c r="F193" s="405"/>
      <c r="G193" s="405"/>
    </row>
    <row r="194" spans="2:7">
      <c r="B194" s="405"/>
      <c r="C194" s="405"/>
      <c r="D194" s="405"/>
      <c r="E194" s="405"/>
      <c r="F194" s="405"/>
      <c r="G194" s="405"/>
    </row>
    <row r="195" spans="2:7">
      <c r="B195" s="405"/>
      <c r="C195" s="405"/>
      <c r="D195" s="405"/>
      <c r="E195" s="405"/>
      <c r="F195" s="405"/>
      <c r="G195" s="405"/>
    </row>
    <row r="196" spans="2:7">
      <c r="B196" s="405"/>
      <c r="C196" s="405"/>
      <c r="D196" s="405"/>
      <c r="E196" s="405"/>
      <c r="F196" s="405"/>
      <c r="G196" s="405"/>
    </row>
    <row r="197" spans="2:7">
      <c r="B197" s="405"/>
      <c r="C197" s="405"/>
      <c r="D197" s="405"/>
      <c r="E197" s="405"/>
      <c r="F197" s="405"/>
      <c r="G197" s="405"/>
    </row>
    <row r="198" spans="2:7">
      <c r="B198" s="405"/>
      <c r="C198" s="405"/>
      <c r="D198" s="405"/>
      <c r="E198" s="405"/>
      <c r="F198" s="405"/>
      <c r="G198" s="405"/>
    </row>
    <row r="199" spans="2:7">
      <c r="B199" s="405"/>
      <c r="C199" s="405"/>
      <c r="D199" s="405"/>
      <c r="E199" s="405"/>
      <c r="F199" s="405"/>
      <c r="G199" s="405"/>
    </row>
    <row r="200" spans="2:7">
      <c r="B200" s="405"/>
      <c r="C200" s="405"/>
      <c r="D200" s="405"/>
      <c r="E200" s="405"/>
      <c r="F200" s="405"/>
      <c r="G200" s="405"/>
    </row>
    <row r="201" spans="2:7">
      <c r="B201" s="405"/>
      <c r="C201" s="405"/>
      <c r="D201" s="405"/>
      <c r="E201" s="405"/>
      <c r="F201" s="405"/>
      <c r="G201" s="405"/>
    </row>
    <row r="202" spans="2:7">
      <c r="B202" s="405"/>
      <c r="C202" s="405"/>
      <c r="D202" s="405"/>
      <c r="E202" s="405"/>
      <c r="F202" s="405"/>
      <c r="G202" s="405"/>
    </row>
    <row r="203" spans="2:7">
      <c r="B203" s="405"/>
      <c r="C203" s="405"/>
      <c r="D203" s="405"/>
      <c r="E203" s="405"/>
      <c r="F203" s="405"/>
      <c r="G203" s="405"/>
    </row>
    <row r="204" spans="2:7">
      <c r="B204" s="405"/>
      <c r="C204" s="405"/>
      <c r="D204" s="405"/>
      <c r="E204" s="405"/>
      <c r="F204" s="405"/>
      <c r="G204" s="405"/>
    </row>
    <row r="205" spans="2:7">
      <c r="B205" s="405"/>
      <c r="C205" s="405"/>
      <c r="D205" s="405"/>
      <c r="E205" s="405"/>
      <c r="F205" s="405"/>
      <c r="G205" s="405"/>
    </row>
    <row r="206" spans="2:7">
      <c r="B206" s="405"/>
      <c r="C206" s="405"/>
      <c r="D206" s="405"/>
      <c r="E206" s="405"/>
      <c r="F206" s="405"/>
      <c r="G206" s="405"/>
    </row>
    <row r="207" spans="2:7">
      <c r="B207" s="405"/>
      <c r="C207" s="405"/>
      <c r="D207" s="405"/>
      <c r="E207" s="405"/>
      <c r="F207" s="405"/>
      <c r="G207" s="405"/>
    </row>
    <row r="208" spans="2:7">
      <c r="B208" s="405"/>
      <c r="C208" s="405"/>
      <c r="D208" s="405"/>
      <c r="E208" s="405"/>
      <c r="F208" s="405"/>
      <c r="G208" s="405"/>
    </row>
    <row r="209" spans="2:7">
      <c r="B209" s="405"/>
      <c r="C209" s="405"/>
      <c r="D209" s="405"/>
      <c r="E209" s="405"/>
      <c r="F209" s="405"/>
      <c r="G209" s="405"/>
    </row>
    <row r="210" spans="2:7">
      <c r="B210" s="405"/>
      <c r="C210" s="405"/>
      <c r="D210" s="405"/>
      <c r="E210" s="405"/>
      <c r="F210" s="405"/>
      <c r="G210" s="405"/>
    </row>
    <row r="211" spans="2:7">
      <c r="B211" s="405"/>
      <c r="C211" s="405"/>
      <c r="D211" s="405"/>
      <c r="E211" s="405"/>
      <c r="F211" s="405"/>
      <c r="G211" s="405"/>
    </row>
    <row r="212" spans="2:7">
      <c r="B212" s="405"/>
      <c r="C212" s="405"/>
      <c r="D212" s="405"/>
      <c r="E212" s="405"/>
      <c r="F212" s="405"/>
      <c r="G212" s="405"/>
    </row>
    <row r="213" spans="2:7">
      <c r="B213" s="405"/>
      <c r="C213" s="405"/>
      <c r="D213" s="405"/>
      <c r="E213" s="405"/>
      <c r="F213" s="405"/>
      <c r="G213" s="405"/>
    </row>
    <row r="214" spans="2:7">
      <c r="B214" s="405"/>
      <c r="C214" s="405"/>
      <c r="D214" s="405"/>
      <c r="E214" s="405"/>
      <c r="F214" s="405"/>
      <c r="G214" s="405"/>
    </row>
    <row r="215" spans="2:7">
      <c r="B215" s="405"/>
      <c r="C215" s="405"/>
      <c r="D215" s="405"/>
      <c r="E215" s="405"/>
      <c r="F215" s="405"/>
      <c r="G215" s="405"/>
    </row>
    <row r="216" spans="2:7">
      <c r="B216" s="405"/>
      <c r="C216" s="405"/>
      <c r="D216" s="405"/>
      <c r="E216" s="405"/>
      <c r="F216" s="405"/>
      <c r="G216" s="405"/>
    </row>
    <row r="217" spans="2:7">
      <c r="B217" s="405"/>
      <c r="C217" s="405"/>
      <c r="D217" s="405"/>
      <c r="E217" s="405"/>
      <c r="F217" s="405"/>
      <c r="G217" s="405"/>
    </row>
    <row r="218" spans="2:7">
      <c r="B218" s="405"/>
      <c r="C218" s="405"/>
      <c r="D218" s="405"/>
      <c r="E218" s="405"/>
      <c r="F218" s="405"/>
      <c r="G218" s="405"/>
    </row>
    <row r="219" spans="2:7">
      <c r="B219" s="405"/>
      <c r="C219" s="405"/>
      <c r="D219" s="405"/>
      <c r="E219" s="405"/>
      <c r="F219" s="405"/>
      <c r="G219" s="405"/>
    </row>
    <row r="220" spans="2:7">
      <c r="B220" s="405"/>
      <c r="C220" s="405"/>
      <c r="D220" s="405"/>
      <c r="E220" s="405"/>
      <c r="F220" s="405"/>
      <c r="G220" s="405"/>
    </row>
    <row r="221" spans="2:7">
      <c r="B221" s="405"/>
      <c r="C221" s="405"/>
      <c r="D221" s="405"/>
      <c r="E221" s="405"/>
      <c r="F221" s="405"/>
      <c r="G221" s="405"/>
    </row>
    <row r="222" spans="2:7">
      <c r="B222" s="405"/>
      <c r="C222" s="405"/>
      <c r="D222" s="405"/>
      <c r="E222" s="405"/>
      <c r="F222" s="405"/>
      <c r="G222" s="405"/>
    </row>
    <row r="223" spans="2:7">
      <c r="B223" s="405"/>
      <c r="C223" s="405"/>
      <c r="D223" s="405"/>
      <c r="E223" s="405"/>
      <c r="F223" s="405"/>
      <c r="G223" s="405"/>
    </row>
    <row r="224" spans="2:7">
      <c r="B224" s="405"/>
      <c r="C224" s="405"/>
      <c r="D224" s="405"/>
      <c r="E224" s="405"/>
      <c r="F224" s="405"/>
      <c r="G224" s="405"/>
    </row>
    <row r="225" spans="2:7">
      <c r="B225" s="405"/>
      <c r="C225" s="405"/>
      <c r="D225" s="405"/>
      <c r="E225" s="405"/>
      <c r="F225" s="405"/>
      <c r="G225" s="405"/>
    </row>
    <row r="226" spans="2:7">
      <c r="B226" s="405"/>
      <c r="C226" s="405"/>
      <c r="D226" s="405"/>
      <c r="E226" s="405"/>
      <c r="F226" s="405"/>
      <c r="G226" s="405"/>
    </row>
    <row r="227" spans="2:7">
      <c r="B227" s="405"/>
      <c r="C227" s="405"/>
      <c r="D227" s="405"/>
      <c r="E227" s="405"/>
      <c r="F227" s="405"/>
      <c r="G227" s="405"/>
    </row>
    <row r="228" spans="2:7">
      <c r="B228" s="405"/>
      <c r="C228" s="405"/>
      <c r="D228" s="405"/>
      <c r="E228" s="405"/>
      <c r="F228" s="405"/>
      <c r="G228" s="405"/>
    </row>
    <row r="229" spans="2:7">
      <c r="B229" s="405"/>
      <c r="C229" s="405"/>
      <c r="D229" s="405"/>
      <c r="E229" s="405"/>
      <c r="F229" s="405"/>
      <c r="G229" s="405"/>
    </row>
    <row r="230" spans="2:7">
      <c r="B230" s="405"/>
      <c r="C230" s="405"/>
      <c r="D230" s="405"/>
      <c r="E230" s="405"/>
      <c r="F230" s="405"/>
      <c r="G230" s="405"/>
    </row>
    <row r="231" spans="2:7">
      <c r="B231" s="405"/>
      <c r="C231" s="405"/>
      <c r="D231" s="405"/>
      <c r="E231" s="405"/>
      <c r="F231" s="405"/>
      <c r="G231" s="405"/>
    </row>
    <row r="232" spans="2:7">
      <c r="B232" s="405"/>
      <c r="C232" s="405"/>
      <c r="D232" s="405"/>
      <c r="E232" s="405"/>
      <c r="F232" s="405"/>
      <c r="G232" s="405"/>
    </row>
    <row r="233" spans="2:7">
      <c r="B233" s="405"/>
      <c r="C233" s="405"/>
      <c r="D233" s="405"/>
      <c r="E233" s="405"/>
      <c r="F233" s="405"/>
      <c r="G233" s="405"/>
    </row>
    <row r="234" spans="2:7">
      <c r="B234" s="405"/>
      <c r="C234" s="405"/>
      <c r="D234" s="405"/>
      <c r="E234" s="405"/>
      <c r="F234" s="405"/>
      <c r="G234" s="405"/>
    </row>
    <row r="235" spans="2:7">
      <c r="B235" s="405"/>
      <c r="C235" s="405"/>
      <c r="D235" s="405"/>
      <c r="E235" s="405"/>
      <c r="F235" s="405"/>
      <c r="G235" s="405"/>
    </row>
    <row r="236" spans="2:7">
      <c r="B236" s="405"/>
      <c r="C236" s="405"/>
      <c r="D236" s="405"/>
      <c r="E236" s="405"/>
      <c r="F236" s="405"/>
      <c r="G236" s="405"/>
    </row>
    <row r="237" spans="2:7">
      <c r="B237" s="405"/>
      <c r="C237" s="405"/>
      <c r="D237" s="405"/>
      <c r="E237" s="405"/>
      <c r="F237" s="405"/>
      <c r="G237" s="405"/>
    </row>
    <row r="238" spans="2:7">
      <c r="B238" s="405"/>
      <c r="C238" s="405"/>
      <c r="D238" s="405"/>
      <c r="E238" s="405"/>
      <c r="F238" s="405"/>
      <c r="G238" s="405"/>
    </row>
    <row r="239" spans="2:7">
      <c r="B239" s="405"/>
      <c r="C239" s="405"/>
      <c r="D239" s="405"/>
      <c r="E239" s="405"/>
      <c r="F239" s="405"/>
      <c r="G239" s="405"/>
    </row>
    <row r="240" spans="2:7">
      <c r="B240" s="405"/>
      <c r="C240" s="405"/>
      <c r="D240" s="405"/>
      <c r="E240" s="405"/>
      <c r="F240" s="405"/>
      <c r="G240" s="405"/>
    </row>
    <row r="241" spans="2:7">
      <c r="B241" s="405"/>
      <c r="C241" s="405"/>
      <c r="D241" s="405"/>
      <c r="E241" s="405"/>
      <c r="F241" s="405"/>
      <c r="G241" s="405"/>
    </row>
    <row r="242" spans="2:7">
      <c r="B242" s="405"/>
      <c r="C242" s="405"/>
      <c r="D242" s="405"/>
      <c r="E242" s="405"/>
      <c r="F242" s="405"/>
      <c r="G242" s="405"/>
    </row>
    <row r="243" spans="2:7">
      <c r="B243" s="405"/>
      <c r="C243" s="405"/>
      <c r="D243" s="405"/>
      <c r="E243" s="405"/>
      <c r="F243" s="405"/>
      <c r="G243" s="405"/>
    </row>
    <row r="244" spans="2:7">
      <c r="B244" s="405"/>
      <c r="C244" s="405"/>
      <c r="D244" s="405"/>
      <c r="E244" s="405"/>
      <c r="F244" s="405"/>
      <c r="G244" s="405"/>
    </row>
    <row r="245" spans="2:7">
      <c r="B245" s="405"/>
      <c r="C245" s="405"/>
      <c r="D245" s="405"/>
      <c r="E245" s="405"/>
      <c r="F245" s="405"/>
      <c r="G245" s="405"/>
    </row>
    <row r="246" spans="2:7">
      <c r="B246" s="405"/>
      <c r="C246" s="405"/>
      <c r="D246" s="405"/>
      <c r="E246" s="405"/>
      <c r="F246" s="405"/>
      <c r="G246" s="405"/>
    </row>
    <row r="247" spans="2:7">
      <c r="B247" s="405"/>
      <c r="C247" s="405"/>
      <c r="D247" s="405"/>
      <c r="E247" s="405"/>
      <c r="F247" s="405"/>
      <c r="G247" s="405"/>
    </row>
    <row r="248" spans="2:7">
      <c r="B248" s="405"/>
      <c r="C248" s="405"/>
      <c r="D248" s="405"/>
      <c r="E248" s="405"/>
      <c r="F248" s="405"/>
      <c r="G248" s="405"/>
    </row>
    <row r="249" spans="2:7">
      <c r="B249" s="405"/>
      <c r="C249" s="405"/>
      <c r="D249" s="405"/>
      <c r="E249" s="405"/>
      <c r="F249" s="405"/>
      <c r="G249" s="405"/>
    </row>
    <row r="250" spans="2:7">
      <c r="B250" s="405"/>
      <c r="C250" s="405"/>
      <c r="D250" s="405"/>
      <c r="E250" s="405"/>
      <c r="F250" s="405"/>
      <c r="G250" s="405"/>
    </row>
    <row r="251" spans="2:7">
      <c r="B251" s="405"/>
      <c r="C251" s="405"/>
      <c r="D251" s="405"/>
      <c r="E251" s="405"/>
      <c r="F251" s="405"/>
      <c r="G251" s="405"/>
    </row>
    <row r="252" spans="2:7">
      <c r="B252" s="405"/>
      <c r="C252" s="405"/>
      <c r="D252" s="405"/>
      <c r="E252" s="405"/>
      <c r="F252" s="405"/>
      <c r="G252" s="405"/>
    </row>
    <row r="253" spans="2:7">
      <c r="B253" s="405"/>
      <c r="C253" s="405"/>
      <c r="D253" s="405"/>
      <c r="E253" s="405"/>
      <c r="F253" s="405"/>
      <c r="G253" s="405"/>
    </row>
    <row r="254" spans="2:7">
      <c r="B254" s="405"/>
      <c r="C254" s="405"/>
      <c r="D254" s="405"/>
      <c r="E254" s="405"/>
      <c r="F254" s="405"/>
      <c r="G254" s="405"/>
    </row>
    <row r="255" spans="2:7">
      <c r="B255" s="405"/>
      <c r="C255" s="405"/>
      <c r="D255" s="405"/>
      <c r="E255" s="405"/>
      <c r="F255" s="405"/>
      <c r="G255" s="405"/>
    </row>
    <row r="256" spans="2:7">
      <c r="B256" s="405"/>
      <c r="C256" s="405"/>
      <c r="D256" s="405"/>
      <c r="E256" s="405"/>
      <c r="F256" s="405"/>
      <c r="G256" s="405"/>
    </row>
    <row r="257" spans="2:7">
      <c r="B257" s="405"/>
      <c r="C257" s="405"/>
      <c r="D257" s="405"/>
      <c r="E257" s="405"/>
      <c r="F257" s="405"/>
      <c r="G257" s="405"/>
    </row>
    <row r="258" spans="2:7">
      <c r="B258" s="405"/>
      <c r="C258" s="405"/>
      <c r="D258" s="405"/>
      <c r="E258" s="405"/>
      <c r="F258" s="405"/>
      <c r="G258" s="405"/>
    </row>
    <row r="259" spans="2:7">
      <c r="B259" s="405"/>
      <c r="C259" s="405"/>
      <c r="D259" s="405"/>
      <c r="E259" s="405"/>
      <c r="F259" s="405"/>
      <c r="G259" s="405"/>
    </row>
    <row r="260" spans="2:7">
      <c r="B260" s="405"/>
      <c r="C260" s="405"/>
      <c r="D260" s="405"/>
      <c r="E260" s="405"/>
      <c r="F260" s="405"/>
      <c r="G260" s="405"/>
    </row>
    <row r="261" spans="2:7">
      <c r="B261" s="405"/>
      <c r="C261" s="405"/>
      <c r="D261" s="405"/>
      <c r="E261" s="405"/>
      <c r="F261" s="405"/>
      <c r="G261" s="405"/>
    </row>
    <row r="262" spans="2:7">
      <c r="B262" s="405"/>
      <c r="C262" s="405"/>
      <c r="D262" s="405"/>
      <c r="E262" s="405"/>
      <c r="F262" s="405"/>
      <c r="G262" s="405"/>
    </row>
    <row r="263" spans="2:7">
      <c r="B263" s="405"/>
      <c r="C263" s="405"/>
      <c r="D263" s="405"/>
      <c r="E263" s="405"/>
      <c r="F263" s="405"/>
      <c r="G263" s="405"/>
    </row>
    <row r="264" spans="2:7">
      <c r="B264" s="405"/>
      <c r="C264" s="405"/>
      <c r="D264" s="405"/>
      <c r="E264" s="405"/>
      <c r="F264" s="405"/>
      <c r="G264" s="405"/>
    </row>
    <row r="265" spans="2:7">
      <c r="B265" s="405"/>
      <c r="C265" s="405"/>
      <c r="D265" s="405"/>
      <c r="E265" s="405"/>
      <c r="F265" s="405"/>
      <c r="G265" s="405"/>
    </row>
    <row r="266" spans="2:7">
      <c r="B266" s="405"/>
      <c r="C266" s="405"/>
      <c r="D266" s="405"/>
      <c r="E266" s="405"/>
      <c r="F266" s="405"/>
      <c r="G266" s="405"/>
    </row>
    <row r="267" spans="2:7">
      <c r="B267" s="405"/>
      <c r="C267" s="405"/>
      <c r="D267" s="405"/>
      <c r="E267" s="405"/>
      <c r="F267" s="405"/>
      <c r="G267" s="405"/>
    </row>
    <row r="268" spans="2:7">
      <c r="B268" s="405"/>
      <c r="C268" s="405"/>
      <c r="D268" s="405"/>
      <c r="E268" s="405"/>
      <c r="F268" s="405"/>
      <c r="G268" s="405"/>
    </row>
    <row r="269" spans="2:7">
      <c r="B269" s="405"/>
      <c r="C269" s="405"/>
      <c r="D269" s="405"/>
      <c r="E269" s="405"/>
      <c r="F269" s="405"/>
      <c r="G269" s="405"/>
    </row>
    <row r="270" spans="2:7">
      <c r="B270" s="405"/>
      <c r="C270" s="405"/>
      <c r="D270" s="405"/>
      <c r="E270" s="405"/>
      <c r="F270" s="405"/>
      <c r="G270" s="405"/>
    </row>
    <row r="271" spans="2:7">
      <c r="B271" s="405"/>
      <c r="C271" s="405"/>
      <c r="D271" s="405"/>
      <c r="E271" s="405"/>
      <c r="F271" s="405"/>
      <c r="G271" s="405"/>
    </row>
    <row r="272" spans="2:7">
      <c r="B272" s="405"/>
      <c r="C272" s="405"/>
      <c r="D272" s="405"/>
      <c r="E272" s="405"/>
      <c r="F272" s="405"/>
      <c r="G272" s="405"/>
    </row>
    <row r="273" spans="2:7">
      <c r="B273" s="405"/>
      <c r="C273" s="405"/>
      <c r="D273" s="405"/>
      <c r="E273" s="405"/>
      <c r="F273" s="405"/>
      <c r="G273" s="405"/>
    </row>
    <row r="274" spans="2:7">
      <c r="B274" s="405"/>
      <c r="C274" s="405"/>
      <c r="D274" s="405"/>
      <c r="E274" s="405"/>
      <c r="F274" s="405"/>
      <c r="G274" s="405"/>
    </row>
    <row r="275" spans="2:7">
      <c r="B275" s="405"/>
      <c r="C275" s="405"/>
      <c r="D275" s="405"/>
      <c r="E275" s="405"/>
      <c r="F275" s="405"/>
      <c r="G275" s="405"/>
    </row>
    <row r="276" spans="2:7">
      <c r="B276" s="405"/>
      <c r="C276" s="405"/>
      <c r="D276" s="405"/>
      <c r="E276" s="405"/>
      <c r="F276" s="405"/>
      <c r="G276" s="405"/>
    </row>
    <row r="277" spans="2:7">
      <c r="B277" s="405"/>
      <c r="C277" s="405"/>
      <c r="D277" s="405"/>
      <c r="E277" s="405"/>
      <c r="F277" s="405"/>
      <c r="G277" s="405"/>
    </row>
    <row r="278" spans="2:7">
      <c r="B278" s="405"/>
      <c r="C278" s="405"/>
      <c r="D278" s="405"/>
      <c r="E278" s="405"/>
      <c r="F278" s="405"/>
      <c r="G278" s="405"/>
    </row>
    <row r="279" spans="2:7">
      <c r="B279" s="405"/>
      <c r="C279" s="405"/>
      <c r="D279" s="405"/>
      <c r="E279" s="405"/>
      <c r="F279" s="405"/>
      <c r="G279" s="405"/>
    </row>
    <row r="280" spans="2:7">
      <c r="B280" s="405"/>
      <c r="C280" s="405"/>
      <c r="D280" s="405"/>
      <c r="E280" s="405"/>
      <c r="F280" s="405"/>
      <c r="G280" s="405"/>
    </row>
    <row r="281" spans="2:7">
      <c r="B281" s="405"/>
      <c r="C281" s="405"/>
      <c r="D281" s="405"/>
      <c r="E281" s="405"/>
      <c r="F281" s="405"/>
      <c r="G281" s="405"/>
    </row>
    <row r="282" spans="2:7">
      <c r="B282" s="405"/>
      <c r="C282" s="405"/>
      <c r="D282" s="405"/>
      <c r="E282" s="405"/>
      <c r="F282" s="405"/>
      <c r="G282" s="405"/>
    </row>
    <row r="283" spans="2:7">
      <c r="B283" s="405"/>
      <c r="C283" s="405"/>
      <c r="D283" s="405"/>
      <c r="E283" s="405"/>
      <c r="F283" s="405"/>
      <c r="G283" s="405"/>
    </row>
    <row r="284" spans="2:7">
      <c r="B284" s="405"/>
      <c r="C284" s="405"/>
      <c r="D284" s="405"/>
      <c r="E284" s="405"/>
      <c r="F284" s="405"/>
      <c r="G284" s="405"/>
    </row>
    <row r="285" spans="2:7">
      <c r="B285" s="405"/>
      <c r="C285" s="405"/>
      <c r="D285" s="405"/>
      <c r="E285" s="405"/>
      <c r="F285" s="405"/>
      <c r="G285" s="405"/>
    </row>
    <row r="286" spans="2:7">
      <c r="B286" s="405"/>
      <c r="C286" s="405"/>
      <c r="D286" s="405"/>
      <c r="E286" s="405"/>
      <c r="F286" s="405"/>
      <c r="G286" s="405"/>
    </row>
    <row r="287" spans="2:7">
      <c r="B287" s="405"/>
      <c r="C287" s="405"/>
      <c r="D287" s="405"/>
      <c r="E287" s="405"/>
      <c r="F287" s="405"/>
      <c r="G287" s="405"/>
    </row>
    <row r="288" spans="2:7">
      <c r="B288" s="405"/>
      <c r="C288" s="405"/>
      <c r="D288" s="405"/>
      <c r="E288" s="405"/>
      <c r="F288" s="405"/>
      <c r="G288" s="405"/>
    </row>
    <row r="289" spans="2:7">
      <c r="B289" s="405"/>
      <c r="C289" s="405"/>
      <c r="D289" s="405"/>
      <c r="E289" s="405"/>
      <c r="F289" s="405"/>
      <c r="G289" s="405"/>
    </row>
    <row r="290" spans="2:7">
      <c r="B290" s="405"/>
      <c r="C290" s="405"/>
      <c r="D290" s="405"/>
      <c r="E290" s="405"/>
      <c r="F290" s="405"/>
      <c r="G290" s="405"/>
    </row>
    <row r="291" spans="2:7">
      <c r="B291" s="405"/>
      <c r="C291" s="405"/>
      <c r="D291" s="405"/>
      <c r="E291" s="405"/>
      <c r="F291" s="405"/>
      <c r="G291" s="405"/>
    </row>
    <row r="292" spans="2:7">
      <c r="B292" s="405"/>
      <c r="C292" s="405"/>
      <c r="D292" s="405"/>
      <c r="E292" s="405"/>
      <c r="F292" s="405"/>
      <c r="G292" s="405"/>
    </row>
    <row r="293" spans="2:7">
      <c r="B293" s="405"/>
      <c r="C293" s="405"/>
      <c r="D293" s="405"/>
      <c r="E293" s="405"/>
      <c r="F293" s="405"/>
      <c r="G293" s="405"/>
    </row>
    <row r="294" spans="2:7">
      <c r="B294" s="405"/>
      <c r="C294" s="405"/>
      <c r="D294" s="405"/>
      <c r="E294" s="405"/>
      <c r="F294" s="405"/>
      <c r="G294" s="405"/>
    </row>
    <row r="295" spans="2:7">
      <c r="B295" s="405"/>
      <c r="C295" s="405"/>
      <c r="D295" s="405"/>
      <c r="E295" s="405"/>
      <c r="F295" s="405"/>
      <c r="G295" s="405"/>
    </row>
    <row r="296" spans="2:7">
      <c r="B296" s="405"/>
      <c r="C296" s="405"/>
      <c r="D296" s="405"/>
      <c r="E296" s="405"/>
      <c r="F296" s="405"/>
      <c r="G296" s="405"/>
    </row>
    <row r="297" spans="2:7">
      <c r="B297" s="405"/>
      <c r="C297" s="405"/>
      <c r="D297" s="405"/>
      <c r="E297" s="405"/>
      <c r="F297" s="405"/>
      <c r="G297" s="405"/>
    </row>
    <row r="298" spans="2:7">
      <c r="B298" s="405"/>
      <c r="C298" s="405"/>
      <c r="D298" s="405"/>
      <c r="E298" s="405"/>
      <c r="F298" s="405"/>
      <c r="G298" s="405"/>
    </row>
    <row r="299" spans="2:7">
      <c r="B299" s="405"/>
      <c r="C299" s="405"/>
      <c r="D299" s="405"/>
      <c r="E299" s="405"/>
      <c r="F299" s="405"/>
      <c r="G299" s="405"/>
    </row>
    <row r="300" spans="2:7">
      <c r="B300" s="405"/>
      <c r="C300" s="405"/>
      <c r="D300" s="405"/>
      <c r="E300" s="405"/>
      <c r="F300" s="405"/>
      <c r="G300" s="405"/>
    </row>
    <row r="301" spans="2:7">
      <c r="B301" s="405"/>
      <c r="C301" s="405"/>
      <c r="D301" s="405"/>
      <c r="E301" s="405"/>
      <c r="F301" s="405"/>
      <c r="G301" s="405"/>
    </row>
    <row r="302" spans="2:7">
      <c r="B302" s="405"/>
      <c r="C302" s="405"/>
      <c r="D302" s="405"/>
      <c r="E302" s="405"/>
      <c r="F302" s="405"/>
      <c r="G302" s="405"/>
    </row>
    <row r="303" spans="2:7">
      <c r="B303" s="405"/>
      <c r="C303" s="405"/>
      <c r="D303" s="405"/>
      <c r="E303" s="405"/>
      <c r="F303" s="405"/>
      <c r="G303" s="405"/>
    </row>
    <row r="304" spans="2:7">
      <c r="B304" s="405"/>
      <c r="C304" s="405"/>
      <c r="D304" s="405"/>
      <c r="E304" s="405"/>
      <c r="F304" s="405"/>
      <c r="G304" s="405"/>
    </row>
    <row r="305" spans="2:7">
      <c r="B305" s="405"/>
      <c r="C305" s="405"/>
      <c r="D305" s="405"/>
      <c r="E305" s="405"/>
      <c r="F305" s="405"/>
      <c r="G305" s="405"/>
    </row>
    <row r="306" spans="2:7">
      <c r="B306" s="405"/>
      <c r="C306" s="405"/>
      <c r="D306" s="405"/>
      <c r="E306" s="405"/>
      <c r="F306" s="405"/>
      <c r="G306" s="405"/>
    </row>
    <row r="307" spans="2:7">
      <c r="B307" s="405"/>
      <c r="C307" s="405"/>
      <c r="D307" s="405"/>
      <c r="E307" s="405"/>
      <c r="F307" s="405"/>
      <c r="G307" s="405"/>
    </row>
    <row r="308" spans="2:7">
      <c r="B308" s="405"/>
      <c r="C308" s="405"/>
      <c r="D308" s="405"/>
      <c r="E308" s="405"/>
      <c r="F308" s="405"/>
      <c r="G308" s="405"/>
    </row>
    <row r="309" spans="2:7">
      <c r="B309" s="405"/>
      <c r="C309" s="405"/>
      <c r="D309" s="405"/>
      <c r="E309" s="405"/>
      <c r="F309" s="405"/>
      <c r="G309" s="405"/>
    </row>
    <row r="310" spans="2:7">
      <c r="B310" s="405"/>
      <c r="C310" s="405"/>
      <c r="D310" s="405"/>
      <c r="E310" s="405"/>
      <c r="F310" s="405"/>
      <c r="G310" s="405"/>
    </row>
    <row r="311" spans="2:7">
      <c r="B311" s="405"/>
      <c r="C311" s="405"/>
      <c r="D311" s="405"/>
      <c r="E311" s="405"/>
      <c r="F311" s="405"/>
      <c r="G311" s="405"/>
    </row>
    <row r="312" spans="2:7">
      <c r="B312" s="405"/>
      <c r="C312" s="405"/>
      <c r="D312" s="405"/>
      <c r="E312" s="405"/>
      <c r="F312" s="405"/>
      <c r="G312" s="405"/>
    </row>
    <row r="313" spans="2:7">
      <c r="B313" s="405"/>
      <c r="C313" s="405"/>
      <c r="D313" s="405"/>
      <c r="E313" s="405"/>
      <c r="F313" s="405"/>
      <c r="G313" s="405"/>
    </row>
    <row r="314" spans="2:7">
      <c r="B314" s="405"/>
      <c r="C314" s="405"/>
      <c r="D314" s="405"/>
      <c r="E314" s="405"/>
      <c r="F314" s="405"/>
      <c r="G314" s="405"/>
    </row>
    <row r="315" spans="2:7">
      <c r="B315" s="405"/>
      <c r="C315" s="405"/>
      <c r="D315" s="405"/>
      <c r="E315" s="405"/>
      <c r="F315" s="405"/>
      <c r="G315" s="405"/>
    </row>
    <row r="316" spans="2:7">
      <c r="B316" s="405"/>
      <c r="C316" s="405"/>
      <c r="D316" s="405"/>
      <c r="E316" s="405"/>
      <c r="F316" s="405"/>
      <c r="G316" s="405"/>
    </row>
    <row r="317" spans="2:7">
      <c r="B317" s="405"/>
      <c r="C317" s="405"/>
      <c r="D317" s="405"/>
      <c r="E317" s="405"/>
      <c r="F317" s="405"/>
      <c r="G317" s="405"/>
    </row>
    <row r="318" spans="2:7">
      <c r="B318" s="405"/>
      <c r="C318" s="405"/>
      <c r="D318" s="405"/>
      <c r="E318" s="405"/>
      <c r="F318" s="405"/>
      <c r="G318" s="405"/>
    </row>
    <row r="319" spans="2:7">
      <c r="B319" s="405"/>
      <c r="C319" s="405"/>
      <c r="D319" s="405"/>
      <c r="E319" s="405"/>
      <c r="F319" s="405"/>
      <c r="G319" s="405"/>
    </row>
    <row r="320" spans="2:7">
      <c r="B320" s="405"/>
      <c r="C320" s="405"/>
      <c r="D320" s="405"/>
      <c r="E320" s="405"/>
      <c r="F320" s="405"/>
      <c r="G320" s="405"/>
    </row>
    <row r="321" spans="2:7">
      <c r="B321" s="405"/>
      <c r="C321" s="405"/>
      <c r="D321" s="405"/>
      <c r="E321" s="405"/>
      <c r="F321" s="405"/>
      <c r="G321" s="405"/>
    </row>
    <row r="322" spans="2:7">
      <c r="B322" s="405"/>
      <c r="C322" s="405"/>
      <c r="D322" s="405"/>
      <c r="E322" s="405"/>
      <c r="F322" s="405"/>
      <c r="G322" s="405"/>
    </row>
    <row r="323" spans="2:7">
      <c r="B323" s="405"/>
      <c r="C323" s="405"/>
      <c r="D323" s="405"/>
      <c r="E323" s="405"/>
      <c r="F323" s="405"/>
      <c r="G323" s="405"/>
    </row>
    <row r="324" spans="2:7">
      <c r="B324" s="405"/>
      <c r="C324" s="405"/>
      <c r="D324" s="405"/>
      <c r="E324" s="405"/>
      <c r="F324" s="405"/>
      <c r="G324" s="405"/>
    </row>
    <row r="325" spans="2:7">
      <c r="B325" s="405"/>
      <c r="C325" s="405"/>
      <c r="D325" s="405"/>
      <c r="E325" s="405"/>
      <c r="F325" s="405"/>
      <c r="G325" s="405"/>
    </row>
    <row r="326" spans="2:7">
      <c r="B326" s="405"/>
      <c r="C326" s="405"/>
      <c r="D326" s="405"/>
      <c r="E326" s="405"/>
      <c r="F326" s="405"/>
      <c r="G326" s="405"/>
    </row>
    <row r="327" spans="2:7">
      <c r="B327" s="405"/>
      <c r="C327" s="405"/>
      <c r="D327" s="405"/>
      <c r="E327" s="405"/>
      <c r="F327" s="405"/>
      <c r="G327" s="405"/>
    </row>
    <row r="328" spans="2:7">
      <c r="B328" s="405"/>
      <c r="C328" s="405"/>
      <c r="D328" s="405"/>
      <c r="E328" s="405"/>
      <c r="F328" s="405"/>
      <c r="G328" s="405"/>
    </row>
    <row r="329" spans="2:7">
      <c r="B329" s="405"/>
      <c r="C329" s="405"/>
      <c r="D329" s="405"/>
      <c r="E329" s="405"/>
      <c r="F329" s="405"/>
      <c r="G329" s="405"/>
    </row>
    <row r="330" spans="2:7">
      <c r="B330" s="405"/>
      <c r="C330" s="405"/>
      <c r="D330" s="405"/>
      <c r="E330" s="405"/>
      <c r="F330" s="405"/>
      <c r="G330" s="405"/>
    </row>
    <row r="331" spans="2:7">
      <c r="B331" s="405"/>
      <c r="C331" s="405"/>
      <c r="D331" s="405"/>
      <c r="E331" s="405"/>
      <c r="F331" s="405"/>
      <c r="G331" s="405"/>
    </row>
    <row r="332" spans="2:7">
      <c r="B332" s="405"/>
      <c r="C332" s="405"/>
      <c r="D332" s="405"/>
      <c r="E332" s="405"/>
      <c r="F332" s="405"/>
      <c r="G332" s="405"/>
    </row>
    <row r="333" spans="2:7">
      <c r="B333" s="405"/>
      <c r="C333" s="405"/>
      <c r="D333" s="405"/>
      <c r="E333" s="405"/>
      <c r="F333" s="405"/>
      <c r="G333" s="405"/>
    </row>
    <row r="334" spans="2:7">
      <c r="B334" s="405"/>
      <c r="C334" s="405"/>
      <c r="D334" s="405"/>
      <c r="E334" s="405"/>
      <c r="F334" s="405"/>
      <c r="G334" s="405"/>
    </row>
    <row r="335" spans="2:7">
      <c r="B335" s="405"/>
      <c r="C335" s="405"/>
      <c r="D335" s="405"/>
      <c r="E335" s="405"/>
      <c r="F335" s="405"/>
      <c r="G335" s="405"/>
    </row>
    <row r="336" spans="2:7">
      <c r="B336" s="405"/>
      <c r="C336" s="405"/>
      <c r="D336" s="405"/>
      <c r="E336" s="405"/>
      <c r="F336" s="405"/>
      <c r="G336" s="405"/>
    </row>
    <row r="337" spans="2:7">
      <c r="B337" s="405"/>
      <c r="C337" s="405"/>
      <c r="D337" s="405"/>
      <c r="E337" s="405"/>
      <c r="F337" s="405"/>
      <c r="G337" s="405"/>
    </row>
    <row r="338" spans="2:7">
      <c r="B338" s="405"/>
      <c r="C338" s="405"/>
      <c r="D338" s="405"/>
      <c r="E338" s="405"/>
      <c r="F338" s="405"/>
      <c r="G338" s="405"/>
    </row>
    <row r="339" spans="2:7">
      <c r="B339" s="405"/>
      <c r="C339" s="405"/>
      <c r="D339" s="405"/>
      <c r="E339" s="405"/>
      <c r="F339" s="405"/>
      <c r="G339" s="405"/>
    </row>
    <row r="340" spans="2:7">
      <c r="B340" s="405"/>
      <c r="C340" s="405"/>
      <c r="D340" s="405"/>
      <c r="E340" s="405"/>
      <c r="F340" s="405"/>
      <c r="G340" s="405"/>
    </row>
    <row r="341" spans="2:7">
      <c r="B341" s="405"/>
      <c r="C341" s="405"/>
      <c r="D341" s="405"/>
      <c r="E341" s="405"/>
      <c r="F341" s="405"/>
      <c r="G341" s="405"/>
    </row>
    <row r="342" spans="2:7">
      <c r="B342" s="405"/>
      <c r="C342" s="405"/>
      <c r="D342" s="405"/>
      <c r="E342" s="405"/>
      <c r="F342" s="405"/>
      <c r="G342" s="405"/>
    </row>
    <row r="343" spans="2:7">
      <c r="B343" s="405"/>
      <c r="C343" s="405"/>
      <c r="D343" s="405"/>
      <c r="E343" s="405"/>
      <c r="F343" s="405"/>
      <c r="G343" s="405"/>
    </row>
    <row r="344" spans="2:7">
      <c r="B344" s="405"/>
      <c r="C344" s="405"/>
      <c r="D344" s="405"/>
      <c r="E344" s="405"/>
      <c r="F344" s="405"/>
      <c r="G344" s="405"/>
    </row>
    <row r="345" spans="2:7">
      <c r="B345" s="405"/>
      <c r="C345" s="405"/>
      <c r="D345" s="405"/>
      <c r="E345" s="405"/>
      <c r="F345" s="405"/>
      <c r="G345" s="405"/>
    </row>
    <row r="346" spans="2:7">
      <c r="B346" s="405"/>
      <c r="C346" s="405"/>
      <c r="D346" s="405"/>
      <c r="E346" s="405"/>
      <c r="F346" s="405"/>
      <c r="G346" s="405"/>
    </row>
    <row r="347" spans="2:7">
      <c r="B347" s="405"/>
      <c r="C347" s="405"/>
      <c r="D347" s="405"/>
      <c r="E347" s="405"/>
      <c r="F347" s="405"/>
      <c r="G347" s="405"/>
    </row>
    <row r="348" spans="2:7">
      <c r="B348" s="405"/>
      <c r="C348" s="405"/>
      <c r="D348" s="405"/>
      <c r="E348" s="405"/>
      <c r="F348" s="405"/>
      <c r="G348" s="405"/>
    </row>
    <row r="349" spans="2:7">
      <c r="B349" s="405"/>
      <c r="C349" s="405"/>
      <c r="D349" s="405"/>
      <c r="E349" s="405"/>
      <c r="F349" s="405"/>
      <c r="G349" s="405"/>
    </row>
    <row r="350" spans="2:7">
      <c r="B350" s="405"/>
      <c r="C350" s="405"/>
      <c r="D350" s="405"/>
      <c r="E350" s="405"/>
      <c r="F350" s="405"/>
      <c r="G350" s="405"/>
    </row>
    <row r="351" spans="2:7">
      <c r="B351" s="405"/>
      <c r="C351" s="405"/>
      <c r="D351" s="405"/>
      <c r="E351" s="405"/>
      <c r="F351" s="405"/>
      <c r="G351" s="405"/>
    </row>
    <row r="352" spans="2:7">
      <c r="B352" s="405"/>
      <c r="C352" s="405"/>
      <c r="D352" s="405"/>
      <c r="E352" s="405"/>
      <c r="F352" s="405"/>
      <c r="G352" s="405"/>
    </row>
    <row r="353" spans="2:7">
      <c r="B353" s="405"/>
      <c r="C353" s="405"/>
      <c r="D353" s="405"/>
      <c r="E353" s="405"/>
      <c r="F353" s="405"/>
      <c r="G353" s="405"/>
    </row>
    <row r="354" spans="2:7">
      <c r="B354" s="405"/>
      <c r="C354" s="405"/>
      <c r="D354" s="405"/>
      <c r="E354" s="405"/>
      <c r="F354" s="405"/>
      <c r="G354" s="405"/>
    </row>
    <row r="355" spans="2:7">
      <c r="B355" s="405"/>
      <c r="C355" s="405"/>
      <c r="D355" s="405"/>
      <c r="E355" s="405"/>
      <c r="F355" s="405"/>
      <c r="G355" s="405"/>
    </row>
    <row r="356" spans="2:7">
      <c r="B356" s="405"/>
      <c r="C356" s="405"/>
      <c r="D356" s="405"/>
      <c r="E356" s="405"/>
      <c r="F356" s="405"/>
      <c r="G356" s="405"/>
    </row>
    <row r="357" spans="2:7">
      <c r="B357" s="405"/>
      <c r="C357" s="405"/>
      <c r="D357" s="405"/>
      <c r="E357" s="405"/>
      <c r="F357" s="405"/>
      <c r="G357" s="405"/>
    </row>
    <row r="358" spans="2:7">
      <c r="B358" s="405"/>
      <c r="C358" s="405"/>
      <c r="D358" s="405"/>
      <c r="E358" s="405"/>
      <c r="F358" s="405"/>
      <c r="G358" s="405"/>
    </row>
    <row r="359" spans="2:7">
      <c r="B359" s="405"/>
      <c r="C359" s="405"/>
      <c r="D359" s="405"/>
      <c r="E359" s="405"/>
      <c r="F359" s="405"/>
      <c r="G359" s="405"/>
    </row>
    <row r="360" spans="2:7">
      <c r="B360" s="405"/>
      <c r="C360" s="405"/>
      <c r="D360" s="405"/>
      <c r="E360" s="405"/>
      <c r="F360" s="405"/>
      <c r="G360" s="405"/>
    </row>
    <row r="361" spans="2:7">
      <c r="B361" s="405"/>
      <c r="C361" s="405"/>
      <c r="D361" s="405"/>
      <c r="E361" s="405"/>
      <c r="F361" s="405"/>
      <c r="G361" s="405"/>
    </row>
    <row r="362" spans="2:7">
      <c r="B362" s="405"/>
      <c r="C362" s="405"/>
      <c r="D362" s="405"/>
      <c r="E362" s="405"/>
      <c r="F362" s="405"/>
      <c r="G362" s="405"/>
    </row>
    <row r="363" spans="2:7">
      <c r="B363" s="405"/>
      <c r="C363" s="405"/>
      <c r="D363" s="405"/>
      <c r="E363" s="405"/>
      <c r="F363" s="405"/>
      <c r="G363" s="405"/>
    </row>
    <row r="364" spans="2:7">
      <c r="B364" s="405"/>
      <c r="C364" s="405"/>
      <c r="D364" s="405"/>
      <c r="E364" s="405"/>
      <c r="F364" s="405"/>
      <c r="G364" s="405"/>
    </row>
    <row r="365" spans="2:7">
      <c r="B365" s="405"/>
      <c r="C365" s="405"/>
      <c r="D365" s="405"/>
      <c r="E365" s="405"/>
      <c r="F365" s="405"/>
      <c r="G365" s="405"/>
    </row>
    <row r="366" spans="2:7">
      <c r="B366" s="405"/>
      <c r="C366" s="405"/>
      <c r="D366" s="405"/>
      <c r="E366" s="405"/>
      <c r="F366" s="405"/>
      <c r="G366" s="405"/>
    </row>
    <row r="367" spans="2:7">
      <c r="B367" s="405"/>
      <c r="C367" s="405"/>
      <c r="D367" s="405"/>
      <c r="E367" s="405"/>
      <c r="F367" s="405"/>
      <c r="G367" s="405"/>
    </row>
    <row r="368" spans="2:7">
      <c r="B368" s="405"/>
      <c r="C368" s="405"/>
      <c r="D368" s="405"/>
      <c r="E368" s="405"/>
      <c r="F368" s="405"/>
      <c r="G368" s="405"/>
    </row>
    <row r="369" spans="2:7">
      <c r="B369" s="405"/>
      <c r="C369" s="405"/>
      <c r="D369" s="405"/>
      <c r="E369" s="405"/>
      <c r="F369" s="405"/>
      <c r="G369" s="405"/>
    </row>
    <row r="370" spans="2:7">
      <c r="B370" s="405"/>
      <c r="C370" s="405"/>
      <c r="D370" s="405"/>
      <c r="E370" s="405"/>
      <c r="F370" s="405"/>
      <c r="G370" s="405"/>
    </row>
    <row r="371" spans="2:7">
      <c r="B371" s="405"/>
      <c r="C371" s="405"/>
      <c r="D371" s="405"/>
      <c r="E371" s="405"/>
      <c r="F371" s="405"/>
      <c r="G371" s="405"/>
    </row>
    <row r="372" spans="2:7">
      <c r="B372" s="405"/>
      <c r="C372" s="405"/>
      <c r="D372" s="405"/>
      <c r="E372" s="405"/>
      <c r="F372" s="405"/>
      <c r="G372" s="405"/>
    </row>
    <row r="373" spans="2:7">
      <c r="B373" s="405"/>
      <c r="C373" s="405"/>
      <c r="D373" s="405"/>
      <c r="E373" s="405"/>
      <c r="F373" s="405"/>
      <c r="G373" s="405"/>
    </row>
    <row r="374" spans="2:7">
      <c r="B374" s="405"/>
      <c r="C374" s="405"/>
      <c r="D374" s="405"/>
      <c r="E374" s="405"/>
      <c r="F374" s="405"/>
      <c r="G374" s="405"/>
    </row>
    <row r="375" spans="2:7">
      <c r="B375" s="405"/>
      <c r="C375" s="405"/>
      <c r="D375" s="405"/>
      <c r="E375" s="405"/>
      <c r="F375" s="405"/>
      <c r="G375" s="405"/>
    </row>
    <row r="376" spans="2:7">
      <c r="B376" s="405"/>
      <c r="C376" s="405"/>
      <c r="D376" s="405"/>
      <c r="E376" s="405"/>
      <c r="F376" s="405"/>
      <c r="G376" s="405"/>
    </row>
    <row r="377" spans="2:7">
      <c r="B377" s="405"/>
      <c r="C377" s="405"/>
      <c r="D377" s="405"/>
      <c r="E377" s="405"/>
      <c r="F377" s="405"/>
      <c r="G377" s="405"/>
    </row>
    <row r="378" spans="2:7">
      <c r="B378" s="405"/>
      <c r="C378" s="405"/>
      <c r="D378" s="405"/>
      <c r="E378" s="405"/>
      <c r="F378" s="405"/>
      <c r="G378" s="405"/>
    </row>
    <row r="379" spans="2:7">
      <c r="B379" s="405"/>
      <c r="C379" s="405"/>
      <c r="D379" s="405"/>
      <c r="E379" s="405"/>
      <c r="F379" s="405"/>
      <c r="G379" s="405"/>
    </row>
    <row r="380" spans="2:7">
      <c r="B380" s="405"/>
      <c r="C380" s="405"/>
      <c r="D380" s="405"/>
      <c r="E380" s="405"/>
      <c r="F380" s="405"/>
      <c r="G380" s="405"/>
    </row>
    <row r="381" spans="2:7">
      <c r="B381" s="405"/>
      <c r="C381" s="405"/>
      <c r="D381" s="405"/>
      <c r="E381" s="405"/>
      <c r="F381" s="405"/>
      <c r="G381" s="405"/>
    </row>
    <row r="382" spans="2:7">
      <c r="B382" s="405"/>
      <c r="C382" s="405"/>
      <c r="D382" s="405"/>
      <c r="E382" s="405"/>
      <c r="F382" s="405"/>
      <c r="G382" s="405"/>
    </row>
    <row r="383" spans="2:7">
      <c r="B383" s="405"/>
      <c r="C383" s="405"/>
      <c r="D383" s="405"/>
      <c r="E383" s="405"/>
      <c r="F383" s="405"/>
      <c r="G383" s="405"/>
    </row>
    <row r="384" spans="2:7">
      <c r="B384" s="405"/>
      <c r="C384" s="405"/>
      <c r="D384" s="405"/>
      <c r="E384" s="405"/>
      <c r="F384" s="405"/>
      <c r="G384" s="405"/>
    </row>
    <row r="385" spans="2:7">
      <c r="B385" s="405"/>
      <c r="C385" s="405"/>
      <c r="D385" s="405"/>
      <c r="E385" s="405"/>
      <c r="F385" s="405"/>
      <c r="G385" s="405"/>
    </row>
    <row r="386" spans="2:7">
      <c r="B386" s="405"/>
      <c r="C386" s="405"/>
      <c r="D386" s="405"/>
      <c r="E386" s="405"/>
      <c r="F386" s="405"/>
      <c r="G386" s="405"/>
    </row>
    <row r="387" spans="2:7">
      <c r="B387" s="405"/>
      <c r="C387" s="405"/>
      <c r="D387" s="405"/>
      <c r="E387" s="405"/>
      <c r="F387" s="405"/>
      <c r="G387" s="405"/>
    </row>
    <row r="388" spans="2:7">
      <c r="B388" s="405"/>
      <c r="C388" s="405"/>
      <c r="D388" s="405"/>
      <c r="E388" s="405"/>
      <c r="F388" s="405"/>
      <c r="G388" s="405"/>
    </row>
    <row r="389" spans="2:7">
      <c r="B389" s="405"/>
      <c r="C389" s="405"/>
      <c r="D389" s="405"/>
      <c r="E389" s="405"/>
      <c r="F389" s="405"/>
      <c r="G389" s="405"/>
    </row>
    <row r="390" spans="2:7">
      <c r="B390" s="405"/>
      <c r="C390" s="405"/>
      <c r="D390" s="405"/>
      <c r="E390" s="405"/>
      <c r="F390" s="405"/>
      <c r="G390" s="405"/>
    </row>
    <row r="391" spans="2:7">
      <c r="B391" s="405"/>
      <c r="C391" s="405"/>
      <c r="D391" s="405"/>
      <c r="E391" s="405"/>
      <c r="F391" s="405"/>
      <c r="G391" s="405"/>
    </row>
    <row r="392" spans="2:7">
      <c r="B392" s="405"/>
      <c r="C392" s="405"/>
      <c r="D392" s="405"/>
      <c r="E392" s="405"/>
      <c r="F392" s="405"/>
      <c r="G392" s="405"/>
    </row>
    <row r="393" spans="2:7">
      <c r="B393" s="405"/>
      <c r="C393" s="405"/>
      <c r="D393" s="405"/>
      <c r="E393" s="405"/>
      <c r="F393" s="405"/>
      <c r="G393" s="405"/>
    </row>
    <row r="394" spans="2:7">
      <c r="B394" s="405"/>
      <c r="C394" s="405"/>
      <c r="D394" s="405"/>
      <c r="E394" s="405"/>
      <c r="F394" s="405"/>
      <c r="G394" s="405"/>
    </row>
    <row r="395" spans="2:7">
      <c r="B395" s="405"/>
      <c r="C395" s="405"/>
      <c r="D395" s="405"/>
      <c r="E395" s="405"/>
      <c r="F395" s="405"/>
      <c r="G395" s="405"/>
    </row>
    <row r="396" spans="2:7">
      <c r="B396" s="405"/>
      <c r="C396" s="405"/>
      <c r="D396" s="405"/>
      <c r="E396" s="405"/>
      <c r="F396" s="405"/>
      <c r="G396" s="405"/>
    </row>
    <row r="397" spans="2:7">
      <c r="B397" s="405"/>
      <c r="C397" s="405"/>
      <c r="D397" s="405"/>
      <c r="E397" s="405"/>
      <c r="F397" s="405"/>
      <c r="G397" s="405"/>
    </row>
    <row r="398" spans="2:7">
      <c r="B398" s="405"/>
      <c r="C398" s="405"/>
      <c r="D398" s="405"/>
      <c r="E398" s="405"/>
      <c r="F398" s="405"/>
      <c r="G398" s="405"/>
    </row>
    <row r="399" spans="2:7">
      <c r="B399" s="405"/>
      <c r="C399" s="405"/>
      <c r="D399" s="405"/>
      <c r="E399" s="405"/>
      <c r="F399" s="405"/>
      <c r="G399" s="405"/>
    </row>
    <row r="400" spans="2:7">
      <c r="B400" s="405"/>
      <c r="C400" s="405"/>
      <c r="D400" s="405"/>
      <c r="E400" s="405"/>
      <c r="F400" s="405"/>
      <c r="G400" s="405"/>
    </row>
    <row r="401" spans="2:7">
      <c r="B401" s="405"/>
      <c r="C401" s="405"/>
      <c r="D401" s="405"/>
      <c r="E401" s="405"/>
      <c r="F401" s="405"/>
      <c r="G401" s="405"/>
    </row>
    <row r="402" spans="2:7">
      <c r="B402" s="405"/>
      <c r="C402" s="405"/>
      <c r="D402" s="405"/>
      <c r="E402" s="405"/>
      <c r="F402" s="405"/>
      <c r="G402" s="405"/>
    </row>
    <row r="403" spans="2:7">
      <c r="B403" s="405"/>
      <c r="C403" s="405"/>
      <c r="D403" s="405"/>
      <c r="E403" s="405"/>
      <c r="F403" s="405"/>
      <c r="G403" s="405"/>
    </row>
    <row r="404" spans="2:7">
      <c r="B404" s="405"/>
      <c r="C404" s="405"/>
      <c r="D404" s="405"/>
      <c r="E404" s="405"/>
      <c r="F404" s="405"/>
      <c r="G404" s="405"/>
    </row>
    <row r="405" spans="2:7">
      <c r="B405" s="405"/>
      <c r="C405" s="405"/>
      <c r="D405" s="405"/>
      <c r="E405" s="405"/>
      <c r="F405" s="405"/>
      <c r="G405" s="405"/>
    </row>
    <row r="406" spans="2:7">
      <c r="B406" s="405"/>
      <c r="C406" s="405"/>
      <c r="D406" s="405"/>
      <c r="E406" s="405"/>
      <c r="F406" s="405"/>
      <c r="G406" s="405"/>
    </row>
    <row r="407" spans="2:7">
      <c r="B407" s="405"/>
      <c r="C407" s="405"/>
      <c r="D407" s="405"/>
      <c r="E407" s="405"/>
      <c r="F407" s="405"/>
      <c r="G407" s="405"/>
    </row>
    <row r="408" spans="2:7">
      <c r="B408" s="405"/>
      <c r="C408" s="405"/>
      <c r="D408" s="405"/>
      <c r="E408" s="405"/>
      <c r="F408" s="405"/>
      <c r="G408" s="405"/>
    </row>
    <row r="409" spans="2:7">
      <c r="B409" s="405"/>
      <c r="C409" s="405"/>
      <c r="D409" s="405"/>
      <c r="E409" s="405"/>
      <c r="F409" s="405"/>
      <c r="G409" s="405"/>
    </row>
    <row r="410" spans="2:7">
      <c r="B410" s="405"/>
      <c r="C410" s="405"/>
      <c r="D410" s="405"/>
      <c r="E410" s="405"/>
      <c r="F410" s="405"/>
      <c r="G410" s="405"/>
    </row>
    <row r="411" spans="2:7">
      <c r="B411" s="405"/>
      <c r="C411" s="405"/>
      <c r="D411" s="405"/>
      <c r="E411" s="405"/>
      <c r="F411" s="405"/>
      <c r="G411" s="405"/>
    </row>
    <row r="412" spans="2:7">
      <c r="B412" s="405"/>
      <c r="C412" s="405"/>
      <c r="D412" s="405"/>
      <c r="E412" s="405"/>
      <c r="F412" s="405"/>
      <c r="G412" s="405"/>
    </row>
    <row r="413" spans="2:7">
      <c r="B413" s="405"/>
      <c r="C413" s="405"/>
      <c r="D413" s="405"/>
      <c r="E413" s="405"/>
      <c r="F413" s="405"/>
      <c r="G413" s="405"/>
    </row>
    <row r="414" spans="2:7">
      <c r="B414" s="405"/>
      <c r="C414" s="405"/>
      <c r="D414" s="405"/>
      <c r="E414" s="405"/>
      <c r="F414" s="405"/>
      <c r="G414" s="405"/>
    </row>
    <row r="415" spans="2:7">
      <c r="B415" s="405"/>
      <c r="C415" s="405"/>
      <c r="D415" s="405"/>
      <c r="E415" s="405"/>
      <c r="F415" s="405"/>
      <c r="G415" s="405"/>
    </row>
    <row r="416" spans="2:7">
      <c r="B416" s="405"/>
      <c r="C416" s="405"/>
      <c r="D416" s="405"/>
      <c r="E416" s="405"/>
      <c r="F416" s="405"/>
      <c r="G416" s="405"/>
    </row>
    <row r="417" spans="2:7">
      <c r="B417" s="405"/>
      <c r="C417" s="405"/>
      <c r="D417" s="405"/>
      <c r="E417" s="405"/>
      <c r="F417" s="405"/>
      <c r="G417" s="405"/>
    </row>
    <row r="418" spans="2:7">
      <c r="B418" s="405"/>
      <c r="C418" s="405"/>
      <c r="D418" s="405"/>
      <c r="E418" s="405"/>
      <c r="F418" s="405"/>
      <c r="G418" s="405"/>
    </row>
    <row r="419" spans="2:7">
      <c r="B419" s="405"/>
      <c r="C419" s="405"/>
      <c r="D419" s="405"/>
      <c r="E419" s="405"/>
      <c r="F419" s="405"/>
      <c r="G419" s="405"/>
    </row>
    <row r="420" spans="2:7">
      <c r="B420" s="405"/>
      <c r="C420" s="405"/>
      <c r="D420" s="405"/>
      <c r="E420" s="405"/>
      <c r="F420" s="405"/>
      <c r="G420" s="405"/>
    </row>
    <row r="421" spans="2:7">
      <c r="B421" s="405"/>
      <c r="C421" s="405"/>
      <c r="D421" s="405"/>
      <c r="E421" s="405"/>
      <c r="F421" s="405"/>
      <c r="G421" s="405"/>
    </row>
    <row r="422" spans="2:7">
      <c r="B422" s="405"/>
      <c r="C422" s="405"/>
      <c r="D422" s="405"/>
      <c r="E422" s="405"/>
      <c r="F422" s="405"/>
      <c r="G422" s="405"/>
    </row>
    <row r="423" spans="2:7">
      <c r="B423" s="405"/>
      <c r="C423" s="405"/>
      <c r="D423" s="405"/>
      <c r="E423" s="405"/>
      <c r="F423" s="405"/>
      <c r="G423" s="405"/>
    </row>
    <row r="424" spans="2:7">
      <c r="B424" s="405"/>
      <c r="C424" s="405"/>
      <c r="D424" s="405"/>
      <c r="E424" s="405"/>
      <c r="F424" s="405"/>
      <c r="G424" s="405"/>
    </row>
    <row r="425" spans="2:7">
      <c r="B425" s="405"/>
      <c r="C425" s="405"/>
      <c r="D425" s="405"/>
      <c r="E425" s="405"/>
      <c r="F425" s="405"/>
      <c r="G425" s="405"/>
    </row>
    <row r="426" spans="2:7">
      <c r="B426" s="405"/>
      <c r="C426" s="405"/>
      <c r="D426" s="405"/>
      <c r="E426" s="405"/>
      <c r="F426" s="405"/>
      <c r="G426" s="405"/>
    </row>
    <row r="427" spans="2:7">
      <c r="B427" s="405"/>
      <c r="C427" s="405"/>
      <c r="D427" s="405"/>
      <c r="E427" s="405"/>
      <c r="F427" s="405"/>
      <c r="G427" s="405"/>
    </row>
    <row r="428" spans="2:7">
      <c r="B428" s="405"/>
      <c r="C428" s="405"/>
      <c r="D428" s="405"/>
      <c r="E428" s="405"/>
      <c r="F428" s="405"/>
      <c r="G428" s="405"/>
    </row>
    <row r="429" spans="2:7">
      <c r="B429" s="405"/>
      <c r="C429" s="405"/>
      <c r="D429" s="405"/>
      <c r="E429" s="405"/>
      <c r="F429" s="405"/>
      <c r="G429" s="405"/>
    </row>
    <row r="430" spans="2:7">
      <c r="B430" s="405"/>
      <c r="C430" s="405"/>
      <c r="D430" s="405"/>
      <c r="E430" s="405"/>
      <c r="F430" s="405"/>
      <c r="G430" s="405"/>
    </row>
    <row r="431" spans="2:7">
      <c r="B431" s="405"/>
      <c r="C431" s="405"/>
      <c r="D431" s="405"/>
      <c r="E431" s="405"/>
      <c r="F431" s="405"/>
      <c r="G431" s="405"/>
    </row>
    <row r="432" spans="2:7">
      <c r="B432" s="405"/>
      <c r="C432" s="405"/>
      <c r="D432" s="405"/>
      <c r="E432" s="405"/>
      <c r="F432" s="405"/>
      <c r="G432" s="405"/>
    </row>
    <row r="433" spans="2:7">
      <c r="B433" s="405"/>
      <c r="C433" s="405"/>
      <c r="D433" s="405"/>
      <c r="E433" s="405"/>
      <c r="F433" s="405"/>
      <c r="G433" s="405"/>
    </row>
    <row r="434" spans="2:7">
      <c r="B434" s="405"/>
      <c r="C434" s="405"/>
      <c r="D434" s="405"/>
      <c r="E434" s="405"/>
      <c r="F434" s="405"/>
      <c r="G434" s="405"/>
    </row>
    <row r="435" spans="2:7">
      <c r="B435" s="405"/>
      <c r="C435" s="405"/>
      <c r="D435" s="405"/>
      <c r="E435" s="405"/>
      <c r="F435" s="405"/>
      <c r="G435" s="405"/>
    </row>
    <row r="436" spans="2:7">
      <c r="B436" s="405"/>
      <c r="C436" s="405"/>
      <c r="D436" s="405"/>
      <c r="E436" s="405"/>
      <c r="F436" s="405"/>
      <c r="G436" s="405"/>
    </row>
    <row r="437" spans="2:7">
      <c r="B437" s="405"/>
      <c r="C437" s="405"/>
      <c r="D437" s="405"/>
      <c r="E437" s="405"/>
      <c r="F437" s="405"/>
      <c r="G437" s="405"/>
    </row>
    <row r="438" spans="2:7">
      <c r="B438" s="405"/>
      <c r="C438" s="405"/>
      <c r="D438" s="405"/>
      <c r="E438" s="405"/>
      <c r="F438" s="405"/>
      <c r="G438" s="405"/>
    </row>
    <row r="439" spans="2:7">
      <c r="B439" s="405"/>
      <c r="C439" s="405"/>
      <c r="D439" s="405"/>
      <c r="E439" s="405"/>
      <c r="F439" s="405"/>
      <c r="G439" s="405"/>
    </row>
    <row r="440" spans="2:7">
      <c r="B440" s="405"/>
      <c r="C440" s="405"/>
      <c r="D440" s="405"/>
      <c r="E440" s="405"/>
      <c r="F440" s="405"/>
      <c r="G440" s="405"/>
    </row>
    <row r="441" spans="2:7">
      <c r="B441" s="405"/>
      <c r="C441" s="405"/>
      <c r="D441" s="405"/>
      <c r="E441" s="405"/>
      <c r="F441" s="405"/>
      <c r="G441" s="405"/>
    </row>
    <row r="442" spans="2:7">
      <c r="B442" s="405"/>
      <c r="C442" s="405"/>
      <c r="D442" s="405"/>
      <c r="E442" s="405"/>
      <c r="F442" s="405"/>
      <c r="G442" s="405"/>
    </row>
    <row r="443" spans="2:7">
      <c r="B443" s="405"/>
      <c r="C443" s="405"/>
      <c r="D443" s="405"/>
      <c r="E443" s="405"/>
      <c r="F443" s="405"/>
      <c r="G443" s="405"/>
    </row>
    <row r="444" spans="2:7">
      <c r="B444" s="405"/>
      <c r="C444" s="405"/>
      <c r="D444" s="405"/>
      <c r="E444" s="405"/>
      <c r="F444" s="405"/>
      <c r="G444" s="405"/>
    </row>
  </sheetData>
  <mergeCells count="7">
    <mergeCell ref="B1:F1"/>
    <mergeCell ref="B2:F2"/>
    <mergeCell ref="C11:E11"/>
    <mergeCell ref="F37:G37"/>
    <mergeCell ref="F38:G38"/>
    <mergeCell ref="A1:A35"/>
    <mergeCell ref="E8:E9"/>
  </mergeCells>
  <printOptions horizontalCentered="1"/>
  <pageMargins left="0.313888888888889" right="0.313888888888889" top="0.629166666666667" bottom="0.629166666666667" header="0.15625" footer="0.15625"/>
  <pageSetup paperSize="9" firstPageNumber="9"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5608" name="Check Box 8" r:id="rId3">
              <controlPr defaultSize="0">
                <anchor moveWithCells="1">
                  <from>
                    <xdr:col>4</xdr:col>
                    <xdr:colOff>228600</xdr:colOff>
                    <xdr:row>2</xdr:row>
                    <xdr:rowOff>7620</xdr:rowOff>
                  </from>
                  <to>
                    <xdr:col>4</xdr:col>
                    <xdr:colOff>533400</xdr:colOff>
                    <xdr:row>4</xdr:row>
                    <xdr:rowOff>7620</xdr:rowOff>
                  </to>
                </anchor>
              </controlPr>
            </control>
          </mc:Choice>
        </mc:AlternateContent>
        <mc:AlternateContent xmlns:mc="http://schemas.openxmlformats.org/markup-compatibility/2006">
          <mc:Choice Requires="x14">
            <control shapeId="25609" name="Check Box 9" r:id="rId4">
              <controlPr defaultSize="0">
                <anchor moveWithCells="1">
                  <from>
                    <xdr:col>5</xdr:col>
                    <xdr:colOff>0</xdr:colOff>
                    <xdr:row>2</xdr:row>
                    <xdr:rowOff>7620</xdr:rowOff>
                  </from>
                  <to>
                    <xdr:col>5</xdr:col>
                    <xdr:colOff>304800</xdr:colOff>
                    <xdr:row>4</xdr:row>
                    <xdr:rowOff>7620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tabColor rgb="FFFF0000"/>
    <pageSetUpPr fitToPage="1"/>
  </sheetPr>
  <dimension ref="A1:L41"/>
  <sheetViews>
    <sheetView zoomScale="70" zoomScaleNormal="70" workbookViewId="0">
      <selection activeCell="P14" sqref="P14"/>
    </sheetView>
  </sheetViews>
  <sheetFormatPr defaultColWidth="9" defaultRowHeight="18.75"/>
  <cols>
    <col min="1" max="1" width="4" style="551" customWidth="1"/>
    <col min="2" max="2" width="4.33333333333333" style="551" customWidth="1"/>
    <col min="3" max="3" width="65.3333333333333" style="552" customWidth="1"/>
    <col min="4" max="4" width="2.775" style="552" customWidth="1"/>
    <col min="5" max="5" width="5" style="551" customWidth="1"/>
    <col min="6" max="6" width="12" style="551" customWidth="1"/>
    <col min="7" max="7" width="12.4416666666667" style="551" customWidth="1"/>
    <col min="8" max="8" width="15.4416666666667" style="551" customWidth="1"/>
    <col min="9" max="9" width="14.3333333333333" style="551" customWidth="1"/>
    <col min="10" max="10" width="3.775" style="551" customWidth="1"/>
    <col min="11" max="11" width="18.1083333333333" style="552" customWidth="1"/>
    <col min="12" max="16384" width="9" style="554"/>
  </cols>
  <sheetData>
    <row r="1" customHeight="1" spans="1:12">
      <c r="A1" s="682" t="s">
        <v>213</v>
      </c>
      <c r="B1" s="682"/>
      <c r="C1" s="682"/>
      <c r="D1" s="682"/>
      <c r="E1" s="682"/>
      <c r="F1" s="682"/>
      <c r="G1" s="682"/>
      <c r="H1" s="682"/>
      <c r="I1" s="682"/>
      <c r="J1" s="682"/>
      <c r="K1" s="682"/>
    </row>
    <row r="2" ht="13.5" spans="1:12">
      <c r="A2" s="683"/>
      <c r="B2" s="683"/>
      <c r="C2" s="683"/>
      <c r="D2" s="683"/>
      <c r="E2" s="683"/>
      <c r="F2" s="683"/>
      <c r="G2" s="683"/>
      <c r="H2" s="683"/>
      <c r="I2" s="683"/>
      <c r="J2" s="683"/>
      <c r="K2" s="684" t="s">
        <v>214</v>
      </c>
    </row>
    <row r="3" ht="12.75" customHeight="1" spans="1:12">
      <c r="A3" s="683"/>
      <c r="B3" s="683"/>
      <c r="C3" s="683"/>
      <c r="D3" s="683"/>
      <c r="E3" s="683"/>
      <c r="F3" s="683"/>
      <c r="G3" s="685"/>
      <c r="H3" s="685"/>
      <c r="I3" s="683"/>
      <c r="J3" s="683"/>
      <c r="K3" s="686" t="s">
        <v>215</v>
      </c>
    </row>
    <row r="4" ht="5.25" customHeight="1" spans="1:12">
      <c r="A4" s="683"/>
      <c r="B4" s="683"/>
      <c r="C4" s="687"/>
      <c r="D4" s="687"/>
      <c r="E4" s="683"/>
      <c r="F4" s="683"/>
      <c r="G4" s="685"/>
      <c r="H4" s="685"/>
      <c r="I4" s="683"/>
      <c r="J4" s="683"/>
    </row>
    <row r="5" ht="20.25" customHeight="1" spans="1:12">
      <c r="A5" s="683"/>
      <c r="B5" s="688" t="s">
        <v>216</v>
      </c>
      <c r="C5" s="689"/>
      <c r="D5" s="690" t="str">
        <f>'Gen Inb'!I7</f>
        <v>GLOBAO 01</v>
      </c>
      <c r="E5" s="690"/>
      <c r="F5" s="691" t="str">
        <f>'Gen Inb'!M7</f>
        <v>Container</v>
      </c>
      <c r="G5" s="692" t="s">
        <v>217</v>
      </c>
      <c r="H5" s="692"/>
      <c r="I5" s="692"/>
      <c r="J5" s="688" t="s">
        <v>218</v>
      </c>
      <c r="K5" s="693"/>
    </row>
    <row r="6" ht="20.25" customHeight="1" spans="1:12">
      <c r="A6" s="683"/>
      <c r="B6" s="694" t="s">
        <v>219</v>
      </c>
      <c r="C6" s="695"/>
      <c r="D6" s="696" t="str">
        <f>'Gen Inb'!I10</f>
        <v>IMO:1234567</v>
      </c>
      <c r="E6" s="696"/>
      <c r="F6" s="697"/>
      <c r="G6" s="698" t="str">
        <f>'Gen Inb'!S7</f>
        <v>NANSHA NEW PORT</v>
      </c>
      <c r="H6" s="698"/>
      <c r="I6" s="698"/>
      <c r="J6" s="699">
        <f>'Gen Inb'!X6</f>
        <v>46219</v>
      </c>
      <c r="K6" s="700"/>
    </row>
    <row r="7" ht="20.25" customHeight="1" spans="1:12">
      <c r="A7" s="683"/>
      <c r="B7" s="701" t="s">
        <v>220</v>
      </c>
      <c r="C7" s="702"/>
      <c r="D7" s="703" t="str">
        <f>'Gen Inb'!R26</f>
        <v>3E9028</v>
      </c>
      <c r="E7" s="703"/>
      <c r="F7" s="704"/>
      <c r="G7" s="705"/>
      <c r="H7" s="705"/>
      <c r="I7" s="705"/>
      <c r="J7" s="706"/>
      <c r="K7" s="707"/>
    </row>
    <row r="8" ht="12.75" customHeight="1" spans="1:12">
      <c r="A8" s="683"/>
      <c r="B8" s="708" t="s">
        <v>221</v>
      </c>
      <c r="C8" s="709"/>
      <c r="D8" s="709"/>
      <c r="E8" s="709"/>
      <c r="F8" s="710"/>
      <c r="G8" s="708" t="s">
        <v>222</v>
      </c>
      <c r="H8" s="709"/>
      <c r="I8" s="710"/>
      <c r="J8" s="688" t="s">
        <v>223</v>
      </c>
      <c r="K8" s="693"/>
    </row>
    <row r="9" customHeight="1" spans="1:12">
      <c r="A9" s="683"/>
      <c r="B9" s="711" t="str">
        <f>'Gen Inb'!F9</f>
        <v>LIBERIA</v>
      </c>
      <c r="C9" s="712"/>
      <c r="D9" s="712"/>
      <c r="E9" s="712"/>
      <c r="F9" s="713"/>
      <c r="G9" s="711" t="str">
        <f>'Gen Inb'!W9</f>
        <v>VOSTOCHNIY</v>
      </c>
      <c r="H9" s="712"/>
      <c r="I9" s="713"/>
      <c r="J9" s="694"/>
      <c r="K9" s="714"/>
    </row>
    <row r="10" ht="12.75" customHeight="1" spans="1:12">
      <c r="A10" s="683"/>
      <c r="B10" s="715" t="s">
        <v>224</v>
      </c>
      <c r="C10" s="688" t="s">
        <v>225</v>
      </c>
      <c r="D10" s="693"/>
      <c r="E10" s="693" t="s">
        <v>226</v>
      </c>
      <c r="F10" s="716" t="s">
        <v>227</v>
      </c>
      <c r="G10" s="717" t="s">
        <v>228</v>
      </c>
      <c r="H10" s="715" t="s">
        <v>229</v>
      </c>
      <c r="I10" s="718"/>
      <c r="J10" s="701"/>
      <c r="K10" s="719"/>
    </row>
    <row r="11" ht="45" customHeight="1" spans="1:12">
      <c r="A11" s="720" t="s">
        <v>230</v>
      </c>
      <c r="B11" s="599">
        <f>IF(C11&lt;&gt;"",COUNTA(C$11:C11),"")</f>
        <v>1</v>
      </c>
      <c r="C11" s="600" t="s">
        <v>231</v>
      </c>
      <c r="D11" s="601"/>
      <c r="E11" s="602" t="s">
        <v>232</v>
      </c>
      <c r="F11" s="603" t="s">
        <v>233</v>
      </c>
      <c r="G11" s="604" t="s">
        <v>234</v>
      </c>
      <c r="H11" s="605">
        <v>29228</v>
      </c>
      <c r="I11" s="606" t="s">
        <v>234</v>
      </c>
      <c r="J11" s="607" t="s">
        <v>212</v>
      </c>
      <c r="K11" s="1216" t="s">
        <v>235</v>
      </c>
      <c r="L11" s="721" t="s">
        <v>236</v>
      </c>
    </row>
    <row r="12" ht="45" customHeight="1" spans="1:12">
      <c r="A12" s="720"/>
      <c r="B12" s="722">
        <f>IF(C12&lt;&gt;"",COUNTA(C$11:C12),"")</f>
        <v>2</v>
      </c>
      <c r="C12" s="600" t="s">
        <v>237</v>
      </c>
      <c r="D12" s="723"/>
      <c r="E12" s="724" t="s">
        <v>232</v>
      </c>
      <c r="F12" s="725" t="s">
        <v>238</v>
      </c>
      <c r="G12" s="726" t="s">
        <v>239</v>
      </c>
      <c r="H12" s="727">
        <v>24515</v>
      </c>
      <c r="I12" s="728" t="s">
        <v>239</v>
      </c>
      <c r="J12" s="729" t="s">
        <v>240</v>
      </c>
      <c r="K12" s="730" t="s">
        <v>241</v>
      </c>
    </row>
    <row r="13" ht="45" customHeight="1" spans="1:12">
      <c r="A13" s="720"/>
      <c r="B13" s="599">
        <f>IF(C13&lt;&gt;"",COUNTA(C$11:C13),"")</f>
        <v>3</v>
      </c>
      <c r="C13" s="600" t="s">
        <v>237</v>
      </c>
      <c r="D13" s="601"/>
      <c r="E13" s="602" t="s">
        <v>232</v>
      </c>
      <c r="F13" s="611" t="s">
        <v>242</v>
      </c>
      <c r="G13" s="604" t="s">
        <v>243</v>
      </c>
      <c r="H13" s="612">
        <v>29167</v>
      </c>
      <c r="I13" s="606" t="s">
        <v>243</v>
      </c>
      <c r="J13" s="607" t="s">
        <v>212</v>
      </c>
      <c r="K13" s="613" t="s">
        <v>244</v>
      </c>
    </row>
    <row r="14" ht="45" customHeight="1" spans="1:12">
      <c r="A14" s="720"/>
      <c r="B14" s="599">
        <f>IF(C14&lt;&gt;"",COUNTA(C$11:C14),"")</f>
        <v>4</v>
      </c>
      <c r="C14" s="610" t="s">
        <v>245</v>
      </c>
      <c r="D14" s="601"/>
      <c r="E14" s="602" t="s">
        <v>232</v>
      </c>
      <c r="F14" s="611" t="s">
        <v>246</v>
      </c>
      <c r="G14" s="604" t="s">
        <v>243</v>
      </c>
      <c r="H14" s="612">
        <v>34095</v>
      </c>
      <c r="I14" s="606" t="s">
        <v>243</v>
      </c>
      <c r="J14" s="607" t="s">
        <v>212</v>
      </c>
      <c r="K14" s="614" t="s">
        <v>247</v>
      </c>
    </row>
    <row r="15" ht="45" customHeight="1" spans="1:12">
      <c r="A15" s="720"/>
      <c r="B15" s="722">
        <f>IF(C15&lt;&gt;"",COUNTA(C$11:C15),"")</f>
        <v>5</v>
      </c>
      <c r="C15" s="731" t="s">
        <v>248</v>
      </c>
      <c r="D15" s="723"/>
      <c r="E15" s="724" t="s">
        <v>232</v>
      </c>
      <c r="F15" s="725" t="s">
        <v>249</v>
      </c>
      <c r="G15" s="726" t="s">
        <v>239</v>
      </c>
      <c r="H15" s="727">
        <v>27961</v>
      </c>
      <c r="I15" s="732" t="s">
        <v>239</v>
      </c>
      <c r="J15" s="729" t="s">
        <v>240</v>
      </c>
      <c r="K15" s="730" t="s">
        <v>250</v>
      </c>
    </row>
    <row r="16" s="681" customFormat="1" ht="45" customHeight="1" spans="1:12">
      <c r="A16" s="733"/>
      <c r="B16" s="734">
        <f>IF(C16&lt;&gt;"",COUNTA(C$11:C16),"")</f>
        <v>6</v>
      </c>
      <c r="C16" s="735" t="s">
        <v>251</v>
      </c>
      <c r="D16" s="736"/>
      <c r="E16" s="737" t="s">
        <v>232</v>
      </c>
      <c r="F16" s="738" t="s">
        <v>252</v>
      </c>
      <c r="G16" s="739" t="s">
        <v>239</v>
      </c>
      <c r="H16" s="740">
        <v>24595</v>
      </c>
      <c r="I16" s="741" t="s">
        <v>239</v>
      </c>
      <c r="J16" s="729" t="s">
        <v>240</v>
      </c>
      <c r="K16" s="742" t="s">
        <v>253</v>
      </c>
    </row>
    <row r="17" ht="45" customHeight="1" spans="1:11">
      <c r="A17" s="720"/>
      <c r="B17" s="599">
        <f>IF(C17&lt;&gt;"",COUNTA(C$11:C17),"")</f>
        <v>7</v>
      </c>
      <c r="C17" s="610" t="s">
        <v>254</v>
      </c>
      <c r="D17" s="601"/>
      <c r="E17" s="602" t="s">
        <v>232</v>
      </c>
      <c r="F17" s="611" t="s">
        <v>255</v>
      </c>
      <c r="G17" s="604" t="s">
        <v>243</v>
      </c>
      <c r="H17" s="612">
        <v>34157</v>
      </c>
      <c r="I17" s="606" t="s">
        <v>243</v>
      </c>
      <c r="J17" s="607" t="s">
        <v>212</v>
      </c>
      <c r="K17" s="613" t="s">
        <v>256</v>
      </c>
    </row>
    <row r="18" ht="45" customHeight="1" spans="1:11">
      <c r="A18" s="720"/>
      <c r="B18" s="599">
        <f>IF(C18&lt;&gt;"",COUNTA(C$11:C18),"")</f>
        <v>8</v>
      </c>
      <c r="C18" s="610" t="s">
        <v>257</v>
      </c>
      <c r="D18" s="601"/>
      <c r="E18" s="602" t="s">
        <v>232</v>
      </c>
      <c r="F18" s="611" t="s">
        <v>258</v>
      </c>
      <c r="G18" s="604" t="s">
        <v>243</v>
      </c>
      <c r="H18" s="612">
        <v>32956</v>
      </c>
      <c r="I18" s="606" t="s">
        <v>243</v>
      </c>
      <c r="J18" s="607" t="s">
        <v>212</v>
      </c>
      <c r="K18" s="613" t="s">
        <v>259</v>
      </c>
    </row>
    <row r="19" ht="45" customHeight="1" spans="1:11">
      <c r="A19" s="720"/>
      <c r="B19" s="599">
        <f>IF(C19&lt;&gt;"",COUNTA(C$11:C19),"")</f>
        <v>9</v>
      </c>
      <c r="C19" s="610" t="s">
        <v>260</v>
      </c>
      <c r="D19" s="601"/>
      <c r="E19" s="602" t="s">
        <v>232</v>
      </c>
      <c r="F19" s="616" t="s">
        <v>261</v>
      </c>
      <c r="G19" s="604" t="s">
        <v>243</v>
      </c>
      <c r="H19" s="612">
        <v>25430</v>
      </c>
      <c r="I19" s="606" t="s">
        <v>243</v>
      </c>
      <c r="J19" s="607" t="s">
        <v>212</v>
      </c>
      <c r="K19" s="613" t="s">
        <v>262</v>
      </c>
    </row>
    <row r="20" ht="45" customHeight="1" spans="1:11">
      <c r="A20" s="720"/>
      <c r="B20" s="599">
        <f>IF(C20&lt;&gt;"",COUNTA(C$11:C20),"")</f>
        <v>10</v>
      </c>
      <c r="C20" s="610" t="s">
        <v>263</v>
      </c>
      <c r="D20" s="601"/>
      <c r="E20" s="602" t="s">
        <v>232</v>
      </c>
      <c r="F20" s="616" t="s">
        <v>264</v>
      </c>
      <c r="G20" s="604" t="s">
        <v>243</v>
      </c>
      <c r="H20" s="612">
        <v>29746</v>
      </c>
      <c r="I20" s="606" t="s">
        <v>243</v>
      </c>
      <c r="J20" s="607" t="s">
        <v>212</v>
      </c>
      <c r="K20" s="613" t="s">
        <v>265</v>
      </c>
    </row>
    <row r="21" ht="45" customHeight="1" spans="1:11">
      <c r="A21" s="720"/>
      <c r="B21" s="599">
        <f>IF(C21&lt;&gt;"",COUNTA(C$11:C21),"")</f>
        <v>11</v>
      </c>
      <c r="C21" s="610" t="s">
        <v>266</v>
      </c>
      <c r="D21" s="601"/>
      <c r="E21" s="602" t="s">
        <v>232</v>
      </c>
      <c r="F21" s="616" t="s">
        <v>264</v>
      </c>
      <c r="G21" s="604" t="s">
        <v>243</v>
      </c>
      <c r="H21" s="612">
        <v>28234</v>
      </c>
      <c r="I21" s="606" t="s">
        <v>243</v>
      </c>
      <c r="J21" s="607" t="s">
        <v>212</v>
      </c>
      <c r="K21" s="613" t="s">
        <v>267</v>
      </c>
    </row>
    <row r="22" ht="45" customHeight="1" spans="1:11">
      <c r="A22" s="720"/>
      <c r="B22" s="599">
        <f>IF(C22&lt;&gt;"",COUNTA(C$11:C22),"")</f>
        <v>12</v>
      </c>
      <c r="C22" s="610" t="s">
        <v>268</v>
      </c>
      <c r="D22" s="601"/>
      <c r="E22" s="602" t="s">
        <v>232</v>
      </c>
      <c r="F22" s="616" t="s">
        <v>264</v>
      </c>
      <c r="G22" s="604" t="s">
        <v>243</v>
      </c>
      <c r="H22" s="612">
        <v>30471</v>
      </c>
      <c r="I22" s="606" t="s">
        <v>243</v>
      </c>
      <c r="J22" s="607" t="s">
        <v>212</v>
      </c>
      <c r="K22" s="613" t="s">
        <v>269</v>
      </c>
    </row>
    <row r="23" ht="45" customHeight="1" spans="1:11">
      <c r="A23" s="720"/>
      <c r="B23" s="599">
        <f>IF(C23&lt;&gt;"",COUNTA(C$11:C23),"")</f>
        <v>13</v>
      </c>
      <c r="C23" s="610" t="s">
        <v>270</v>
      </c>
      <c r="D23" s="601"/>
      <c r="E23" s="602" t="s">
        <v>232</v>
      </c>
      <c r="F23" s="616" t="s">
        <v>271</v>
      </c>
      <c r="G23" s="604" t="s">
        <v>243</v>
      </c>
      <c r="H23" s="612">
        <v>30822</v>
      </c>
      <c r="I23" s="606" t="s">
        <v>243</v>
      </c>
      <c r="J23" s="607" t="s">
        <v>212</v>
      </c>
      <c r="K23" s="613" t="s">
        <v>272</v>
      </c>
    </row>
    <row r="24" ht="45" customHeight="1" spans="1:11">
      <c r="A24" s="720"/>
      <c r="B24" s="599">
        <f>IF(C24&lt;&gt;"",COUNTA(C$11:C24),"")</f>
        <v>14</v>
      </c>
      <c r="C24" s="610" t="s">
        <v>273</v>
      </c>
      <c r="D24" s="601"/>
      <c r="E24" s="602" t="s">
        <v>232</v>
      </c>
      <c r="F24" s="611" t="s">
        <v>271</v>
      </c>
      <c r="G24" s="604" t="s">
        <v>243</v>
      </c>
      <c r="H24" s="612">
        <v>33702</v>
      </c>
      <c r="I24" s="606" t="s">
        <v>243</v>
      </c>
      <c r="J24" s="607" t="s">
        <v>212</v>
      </c>
      <c r="K24" s="613" t="s">
        <v>274</v>
      </c>
    </row>
    <row r="25" ht="45" customHeight="1" spans="1:11">
      <c r="A25" s="720"/>
      <c r="B25" s="599">
        <f>IF(C25&lt;&gt;"",COUNTA(C$11:C25),"")</f>
        <v>15</v>
      </c>
      <c r="C25" s="610" t="s">
        <v>275</v>
      </c>
      <c r="D25" s="601"/>
      <c r="E25" s="602" t="s">
        <v>232</v>
      </c>
      <c r="F25" s="611" t="s">
        <v>276</v>
      </c>
      <c r="G25" s="604" t="s">
        <v>243</v>
      </c>
      <c r="H25" s="612">
        <v>24553</v>
      </c>
      <c r="I25" s="606" t="s">
        <v>243</v>
      </c>
      <c r="J25" s="607" t="s">
        <v>212</v>
      </c>
      <c r="K25" s="613" t="s">
        <v>277</v>
      </c>
    </row>
    <row r="26" ht="45" customHeight="1" spans="1:11">
      <c r="A26" s="720"/>
      <c r="B26" s="599">
        <f>IF(C26&lt;&gt;"",COUNTA(C$11:C26),"")</f>
        <v>16</v>
      </c>
      <c r="C26" s="610" t="s">
        <v>278</v>
      </c>
      <c r="D26" s="601"/>
      <c r="E26" s="602" t="s">
        <v>232</v>
      </c>
      <c r="F26" s="611" t="s">
        <v>279</v>
      </c>
      <c r="G26" s="604" t="s">
        <v>243</v>
      </c>
      <c r="H26" s="612">
        <v>28098</v>
      </c>
      <c r="I26" s="606" t="s">
        <v>243</v>
      </c>
      <c r="J26" s="607" t="s">
        <v>212</v>
      </c>
      <c r="K26" s="613" t="s">
        <v>280</v>
      </c>
    </row>
    <row r="27" ht="45" customHeight="1" spans="1:11">
      <c r="A27" s="720"/>
      <c r="B27" s="599">
        <f>IF(C27&lt;&gt;"",COUNTA(C$11:C27),"")</f>
        <v>17</v>
      </c>
      <c r="C27" s="610" t="s">
        <v>281</v>
      </c>
      <c r="D27" s="601"/>
      <c r="E27" s="602" t="s">
        <v>232</v>
      </c>
      <c r="F27" s="611" t="s">
        <v>282</v>
      </c>
      <c r="G27" s="604" t="s">
        <v>243</v>
      </c>
      <c r="H27" s="612">
        <v>34260</v>
      </c>
      <c r="I27" s="606" t="s">
        <v>243</v>
      </c>
      <c r="J27" s="607" t="s">
        <v>212</v>
      </c>
      <c r="K27" s="613" t="s">
        <v>283</v>
      </c>
    </row>
    <row r="28" ht="45" customHeight="1" spans="1:11">
      <c r="A28" s="720"/>
      <c r="B28" s="599">
        <f>IF(C28&lt;&gt;"",COUNTA(C$11:C28),"")</f>
        <v>18</v>
      </c>
      <c r="C28" s="610" t="s">
        <v>284</v>
      </c>
      <c r="D28" s="601"/>
      <c r="E28" s="602" t="s">
        <v>232</v>
      </c>
      <c r="F28" s="611" t="s">
        <v>282</v>
      </c>
      <c r="G28" s="604" t="s">
        <v>243</v>
      </c>
      <c r="H28" s="612">
        <v>34455</v>
      </c>
      <c r="I28" s="606" t="s">
        <v>243</v>
      </c>
      <c r="J28" s="607" t="s">
        <v>212</v>
      </c>
      <c r="K28" s="613" t="s">
        <v>285</v>
      </c>
    </row>
    <row r="29" ht="45" customHeight="1" spans="1:11">
      <c r="A29" s="720"/>
      <c r="B29" s="599">
        <f>IF(C29&lt;&gt;"",COUNTA(C$11:C29),"")</f>
        <v>19</v>
      </c>
      <c r="C29" s="610" t="s">
        <v>286</v>
      </c>
      <c r="D29" s="601"/>
      <c r="E29" s="602" t="s">
        <v>232</v>
      </c>
      <c r="F29" s="611" t="s">
        <v>287</v>
      </c>
      <c r="G29" s="604" t="s">
        <v>243</v>
      </c>
      <c r="H29" s="612">
        <v>24484</v>
      </c>
      <c r="I29" s="606" t="s">
        <v>243</v>
      </c>
      <c r="J29" s="607" t="s">
        <v>212</v>
      </c>
      <c r="K29" s="613" t="s">
        <v>288</v>
      </c>
    </row>
    <row r="30" ht="45" customHeight="1" spans="1:11">
      <c r="A30" s="720"/>
      <c r="B30" s="599">
        <f>IF(C30&lt;&gt;"",COUNTA(C$11:C30),"")</f>
        <v>20</v>
      </c>
      <c r="C30" s="610" t="s">
        <v>289</v>
      </c>
      <c r="D30" s="601"/>
      <c r="E30" s="602" t="s">
        <v>232</v>
      </c>
      <c r="F30" s="611" t="s">
        <v>290</v>
      </c>
      <c r="G30" s="604" t="s">
        <v>243</v>
      </c>
      <c r="H30" s="612">
        <v>31563</v>
      </c>
      <c r="I30" s="606" t="s">
        <v>243</v>
      </c>
      <c r="J30" s="607" t="s">
        <v>212</v>
      </c>
      <c r="K30" s="613" t="s">
        <v>291</v>
      </c>
    </row>
    <row r="31" spans="1:11">
      <c r="A31" s="743"/>
      <c r="B31" s="744" t="s">
        <v>292</v>
      </c>
      <c r="C31" s="745"/>
      <c r="D31" s="745"/>
      <c r="E31" s="745"/>
      <c r="F31" s="745"/>
      <c r="G31" s="745"/>
      <c r="H31" s="745"/>
      <c r="I31" s="745"/>
      <c r="J31" s="745"/>
    </row>
    <row r="32" ht="22.5" customHeight="1" spans="1:11">
      <c r="A32" s="746"/>
      <c r="B32" s="747" t="s">
        <v>293</v>
      </c>
      <c r="C32" s="748"/>
      <c r="D32" s="749"/>
      <c r="E32" s="750"/>
      <c r="F32" s="751"/>
      <c r="G32" s="752"/>
      <c r="H32" s="650"/>
      <c r="I32" s="753" t="s">
        <v>294</v>
      </c>
      <c r="J32" s="753"/>
      <c r="K32" s="754"/>
    </row>
    <row r="33" ht="11.25" customHeight="1" spans="1:11">
      <c r="A33" s="746"/>
      <c r="B33" s="554"/>
      <c r="C33" s="653"/>
      <c r="D33" s="653"/>
      <c r="E33" s="554"/>
      <c r="F33" s="554"/>
      <c r="G33" s="554"/>
      <c r="H33" s="554"/>
      <c r="I33" s="554"/>
      <c r="J33" s="554"/>
      <c r="K33" s="653"/>
    </row>
    <row r="34" ht="11.25" customHeight="1" spans="1:11">
      <c r="B34" s="654" t="s">
        <v>295</v>
      </c>
      <c r="C34" s="655"/>
      <c r="D34" s="655"/>
      <c r="E34" s="656"/>
      <c r="F34" s="656"/>
      <c r="G34" s="656"/>
      <c r="H34" s="656"/>
      <c r="I34" s="656"/>
      <c r="J34" s="656"/>
      <c r="K34" s="655"/>
    </row>
    <row r="35" ht="11.25" customHeight="1" spans="1:11">
      <c r="B35" s="657" t="s">
        <v>296</v>
      </c>
      <c r="D35" s="658"/>
      <c r="E35" s="659"/>
      <c r="F35" s="659"/>
      <c r="G35" s="659"/>
      <c r="H35" s="659"/>
      <c r="I35" s="659"/>
      <c r="J35" s="659"/>
      <c r="K35" s="655"/>
    </row>
    <row r="36" ht="11.25" customHeight="1" spans="1:11">
      <c r="B36" s="654" t="s">
        <v>297</v>
      </c>
      <c r="C36" s="658"/>
      <c r="D36" s="658"/>
      <c r="E36" s="659"/>
      <c r="F36" s="755"/>
      <c r="G36" s="659"/>
      <c r="H36" s="659"/>
      <c r="I36" s="659"/>
      <c r="J36" s="659"/>
      <c r="K36" s="655"/>
    </row>
    <row r="37" spans="1:11">
      <c r="A37" s="554"/>
      <c r="B37" s="554"/>
      <c r="C37" s="653"/>
      <c r="D37" s="653"/>
      <c r="E37" s="554"/>
      <c r="F37" s="554"/>
      <c r="G37" s="554"/>
      <c r="H37" s="554"/>
      <c r="I37" s="554"/>
      <c r="J37" s="554"/>
      <c r="K37" s="653"/>
    </row>
    <row r="38" spans="1:11">
      <c r="A38" s="554"/>
      <c r="B38" s="554"/>
      <c r="C38" s="653"/>
      <c r="D38" s="653"/>
      <c r="E38" s="554"/>
      <c r="F38" s="554"/>
      <c r="G38" s="554"/>
      <c r="H38" s="554"/>
      <c r="I38" s="554"/>
      <c r="J38" s="554"/>
      <c r="K38" s="653"/>
    </row>
    <row r="39" spans="1:11">
      <c r="A39" s="661"/>
      <c r="B39" s="661"/>
      <c r="F39" s="554"/>
      <c r="G39" s="554"/>
      <c r="H39" s="554"/>
      <c r="I39" s="554"/>
      <c r="J39" s="554"/>
      <c r="K39" s="653"/>
    </row>
    <row r="40" spans="1:11">
      <c r="A40" s="661"/>
      <c r="B40" s="661"/>
      <c r="F40" s="554"/>
      <c r="G40" s="554"/>
      <c r="H40" s="554"/>
      <c r="I40" s="554"/>
      <c r="J40" s="554"/>
      <c r="K40" s="653"/>
    </row>
    <row r="41" spans="1:11">
      <c r="A41" s="554"/>
      <c r="B41" s="554"/>
      <c r="C41" s="653"/>
      <c r="D41" s="653"/>
      <c r="E41" s="554"/>
      <c r="F41" s="554"/>
      <c r="G41" s="554"/>
      <c r="H41" s="554"/>
      <c r="I41" s="554"/>
      <c r="J41" s="554"/>
      <c r="K41" s="653"/>
    </row>
  </sheetData>
  <mergeCells count="25">
    <mergeCell ref="A1:K1"/>
    <mergeCell ref="A2:I2"/>
    <mergeCell ref="A3:F3"/>
    <mergeCell ref="B5:C5"/>
    <mergeCell ref="D5:E5"/>
    <mergeCell ref="G5:I5"/>
    <mergeCell ref="J5:K5"/>
    <mergeCell ref="B6:C6"/>
    <mergeCell ref="D6:F6"/>
    <mergeCell ref="B7:C7"/>
    <mergeCell ref="D7:F7"/>
    <mergeCell ref="B8:F8"/>
    <mergeCell ref="G8:I8"/>
    <mergeCell ref="B9:F9"/>
    <mergeCell ref="G9:I9"/>
    <mergeCell ref="C10:D10"/>
    <mergeCell ref="H10:I10"/>
    <mergeCell ref="B31:I31"/>
    <mergeCell ref="B32:C32"/>
    <mergeCell ref="A5:A7"/>
    <mergeCell ref="A8:A9"/>
    <mergeCell ref="A11:A30"/>
    <mergeCell ref="J8:K10"/>
    <mergeCell ref="G6:I7"/>
    <mergeCell ref="J6:K7"/>
  </mergeCells>
  <printOptions horizontalCentered="1"/>
  <pageMargins left="0.235416666666667" right="0.235416666666667" top="0.432638888888889" bottom="0.432638888888889" header="0.15625" footer="0.15625"/>
  <pageSetup paperSize="9" scale="64" firstPageNumber="11"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0481" name="Check Box 1" r:id="rId3">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0482" name="Check Box 2" r:id="rId4">
              <controlPr defaultSize="0">
                <anchor moveWithCells="1">
                  <from>
                    <xdr:col>7</xdr:col>
                    <xdr:colOff>60960</xdr:colOff>
                    <xdr:row>1</xdr:row>
                    <xdr:rowOff>175260</xdr:rowOff>
                  </from>
                  <to>
                    <xdr:col>7</xdr:col>
                    <xdr:colOff>922020</xdr:colOff>
                    <xdr:row>3</xdr:row>
                    <xdr:rowOff>30480</xdr:rowOff>
                  </to>
                </anchor>
              </controlPr>
            </control>
          </mc:Choice>
        </mc:AlternateContent>
        <mc:AlternateContent xmlns:mc="http://schemas.openxmlformats.org/markup-compatibility/2006">
          <mc:Choice Requires="x14">
            <control shapeId="20483" name="Check Box 3" r:id="rId5">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0484" name="Check Box 4" r:id="rId6">
              <controlPr defaultSize="0">
                <anchor moveWithCells="1">
                  <from>
                    <xdr:col>7</xdr:col>
                    <xdr:colOff>60960</xdr:colOff>
                    <xdr:row>1</xdr:row>
                    <xdr:rowOff>175260</xdr:rowOff>
                  </from>
                  <to>
                    <xdr:col>7</xdr:col>
                    <xdr:colOff>922020</xdr:colOff>
                    <xdr:row>3</xdr:row>
                    <xdr:rowOff>30480</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K50"/>
  <sheetViews>
    <sheetView workbookViewId="0">
      <selection activeCell="A2" sqref="A2:H29"/>
    </sheetView>
  </sheetViews>
  <sheetFormatPr defaultColWidth="9" defaultRowHeight="13.5"/>
  <cols>
    <col min="1" max="1" width="10.4416666666667" style="670" customWidth="1"/>
    <col min="2" max="3" width="9.775" style="670" customWidth="1"/>
    <col min="4" max="4" width="33.8833333333333" style="670" customWidth="1"/>
    <col min="5" max="5" width="5.775" style="670" customWidth="1"/>
    <col min="6" max="6" width="9.775" style="671" customWidth="1"/>
    <col min="7" max="7" width="15.1083333333333" style="670" customWidth="1"/>
    <col min="8" max="10" width="13.2166666666667" style="670" customWidth="1"/>
    <col min="11" max="256" width="9" style="670"/>
    <col min="257" max="257" width="20.4416666666667" style="670" customWidth="1"/>
    <col min="258" max="259" width="11" style="670" customWidth="1"/>
    <col min="260" max="260" width="5.775" style="670" customWidth="1"/>
    <col min="261" max="261" width="9.775" style="670" customWidth="1"/>
    <col min="262" max="262" width="11.6666666666667" style="670" customWidth="1"/>
    <col min="263" max="263" width="7.21666666666667" style="670" customWidth="1"/>
    <col min="264" max="266" width="13.2166666666667" style="670" customWidth="1"/>
    <col min="267" max="512" width="9" style="670"/>
    <col min="513" max="513" width="20.4416666666667" style="670" customWidth="1"/>
    <col min="514" max="515" width="11" style="670" customWidth="1"/>
    <col min="516" max="516" width="5.775" style="670" customWidth="1"/>
    <col min="517" max="517" width="9.775" style="670" customWidth="1"/>
    <col min="518" max="518" width="11.6666666666667" style="670" customWidth="1"/>
    <col min="519" max="519" width="7.21666666666667" style="670" customWidth="1"/>
    <col min="520" max="522" width="13.2166666666667" style="670" customWidth="1"/>
    <col min="523" max="768" width="9" style="670"/>
    <col min="769" max="769" width="20.4416666666667" style="670" customWidth="1"/>
    <col min="770" max="771" width="11" style="670" customWidth="1"/>
    <col min="772" max="772" width="5.775" style="670" customWidth="1"/>
    <col min="773" max="773" width="9.775" style="670" customWidth="1"/>
    <col min="774" max="774" width="11.6666666666667" style="670" customWidth="1"/>
    <col min="775" max="775" width="7.21666666666667" style="670" customWidth="1"/>
    <col min="776" max="778" width="13.2166666666667" style="670" customWidth="1"/>
    <col min="779" max="1024" width="9" style="670"/>
    <col min="1025" max="1025" width="20.4416666666667" style="670" customWidth="1"/>
    <col min="1026" max="1027" width="11" style="670" customWidth="1"/>
    <col min="1028" max="1028" width="5.775" style="670" customWidth="1"/>
    <col min="1029" max="1029" width="9.775" style="670" customWidth="1"/>
    <col min="1030" max="1030" width="11.6666666666667" style="670" customWidth="1"/>
    <col min="1031" max="1031" width="7.21666666666667" style="670" customWidth="1"/>
    <col min="1032" max="1034" width="13.2166666666667" style="670" customWidth="1"/>
    <col min="1035" max="1280" width="9" style="670"/>
    <col min="1281" max="1281" width="20.4416666666667" style="670" customWidth="1"/>
    <col min="1282" max="1283" width="11" style="670" customWidth="1"/>
    <col min="1284" max="1284" width="5.775" style="670" customWidth="1"/>
    <col min="1285" max="1285" width="9.775" style="670" customWidth="1"/>
    <col min="1286" max="1286" width="11.6666666666667" style="670" customWidth="1"/>
    <col min="1287" max="1287" width="7.21666666666667" style="670" customWidth="1"/>
    <col min="1288" max="1290" width="13.2166666666667" style="670" customWidth="1"/>
    <col min="1291" max="1536" width="9" style="670"/>
    <col min="1537" max="1537" width="20.4416666666667" style="670" customWidth="1"/>
    <col min="1538" max="1539" width="11" style="670" customWidth="1"/>
    <col min="1540" max="1540" width="5.775" style="670" customWidth="1"/>
    <col min="1541" max="1541" width="9.775" style="670" customWidth="1"/>
    <col min="1542" max="1542" width="11.6666666666667" style="670" customWidth="1"/>
    <col min="1543" max="1543" width="7.21666666666667" style="670" customWidth="1"/>
    <col min="1544" max="1546" width="13.2166666666667" style="670" customWidth="1"/>
    <col min="1547" max="1792" width="9" style="670"/>
    <col min="1793" max="1793" width="20.4416666666667" style="670" customWidth="1"/>
    <col min="1794" max="1795" width="11" style="670" customWidth="1"/>
    <col min="1796" max="1796" width="5.775" style="670" customWidth="1"/>
    <col min="1797" max="1797" width="9.775" style="670" customWidth="1"/>
    <col min="1798" max="1798" width="11.6666666666667" style="670" customWidth="1"/>
    <col min="1799" max="1799" width="7.21666666666667" style="670" customWidth="1"/>
    <col min="1800" max="1802" width="13.2166666666667" style="670" customWidth="1"/>
    <col min="1803" max="2048" width="9" style="670"/>
    <col min="2049" max="2049" width="20.4416666666667" style="670" customWidth="1"/>
    <col min="2050" max="2051" width="11" style="670" customWidth="1"/>
    <col min="2052" max="2052" width="5.775" style="670" customWidth="1"/>
    <col min="2053" max="2053" width="9.775" style="670" customWidth="1"/>
    <col min="2054" max="2054" width="11.6666666666667" style="670" customWidth="1"/>
    <col min="2055" max="2055" width="7.21666666666667" style="670" customWidth="1"/>
    <col min="2056" max="2058" width="13.2166666666667" style="670" customWidth="1"/>
    <col min="2059" max="2304" width="9" style="670"/>
    <col min="2305" max="2305" width="20.4416666666667" style="670" customWidth="1"/>
    <col min="2306" max="2307" width="11" style="670" customWidth="1"/>
    <col min="2308" max="2308" width="5.775" style="670" customWidth="1"/>
    <col min="2309" max="2309" width="9.775" style="670" customWidth="1"/>
    <col min="2310" max="2310" width="11.6666666666667" style="670" customWidth="1"/>
    <col min="2311" max="2311" width="7.21666666666667" style="670" customWidth="1"/>
    <col min="2312" max="2314" width="13.2166666666667" style="670" customWidth="1"/>
    <col min="2315" max="2560" width="9" style="670"/>
    <col min="2561" max="2561" width="20.4416666666667" style="670" customWidth="1"/>
    <col min="2562" max="2563" width="11" style="670" customWidth="1"/>
    <col min="2564" max="2564" width="5.775" style="670" customWidth="1"/>
    <col min="2565" max="2565" width="9.775" style="670" customWidth="1"/>
    <col min="2566" max="2566" width="11.6666666666667" style="670" customWidth="1"/>
    <col min="2567" max="2567" width="7.21666666666667" style="670" customWidth="1"/>
    <col min="2568" max="2570" width="13.2166666666667" style="670" customWidth="1"/>
    <col min="2571" max="2816" width="9" style="670"/>
    <col min="2817" max="2817" width="20.4416666666667" style="670" customWidth="1"/>
    <col min="2818" max="2819" width="11" style="670" customWidth="1"/>
    <col min="2820" max="2820" width="5.775" style="670" customWidth="1"/>
    <col min="2821" max="2821" width="9.775" style="670" customWidth="1"/>
    <col min="2822" max="2822" width="11.6666666666667" style="670" customWidth="1"/>
    <col min="2823" max="2823" width="7.21666666666667" style="670" customWidth="1"/>
    <col min="2824" max="2826" width="13.2166666666667" style="670" customWidth="1"/>
    <col min="2827" max="3072" width="9" style="670"/>
    <col min="3073" max="3073" width="20.4416666666667" style="670" customWidth="1"/>
    <col min="3074" max="3075" width="11" style="670" customWidth="1"/>
    <col min="3076" max="3076" width="5.775" style="670" customWidth="1"/>
    <col min="3077" max="3077" width="9.775" style="670" customWidth="1"/>
    <col min="3078" max="3078" width="11.6666666666667" style="670" customWidth="1"/>
    <col min="3079" max="3079" width="7.21666666666667" style="670" customWidth="1"/>
    <col min="3080" max="3082" width="13.2166666666667" style="670" customWidth="1"/>
    <col min="3083" max="3328" width="9" style="670"/>
    <col min="3329" max="3329" width="20.4416666666667" style="670" customWidth="1"/>
    <col min="3330" max="3331" width="11" style="670" customWidth="1"/>
    <col min="3332" max="3332" width="5.775" style="670" customWidth="1"/>
    <col min="3333" max="3333" width="9.775" style="670" customWidth="1"/>
    <col min="3334" max="3334" width="11.6666666666667" style="670" customWidth="1"/>
    <col min="3335" max="3335" width="7.21666666666667" style="670" customWidth="1"/>
    <col min="3336" max="3338" width="13.2166666666667" style="670" customWidth="1"/>
    <col min="3339" max="3584" width="9" style="670"/>
    <col min="3585" max="3585" width="20.4416666666667" style="670" customWidth="1"/>
    <col min="3586" max="3587" width="11" style="670" customWidth="1"/>
    <col min="3588" max="3588" width="5.775" style="670" customWidth="1"/>
    <col min="3589" max="3589" width="9.775" style="670" customWidth="1"/>
    <col min="3590" max="3590" width="11.6666666666667" style="670" customWidth="1"/>
    <col min="3591" max="3591" width="7.21666666666667" style="670" customWidth="1"/>
    <col min="3592" max="3594" width="13.2166666666667" style="670" customWidth="1"/>
    <col min="3595" max="3840" width="9" style="670"/>
    <col min="3841" max="3841" width="20.4416666666667" style="670" customWidth="1"/>
    <col min="3842" max="3843" width="11" style="670" customWidth="1"/>
    <col min="3844" max="3844" width="5.775" style="670" customWidth="1"/>
    <col min="3845" max="3845" width="9.775" style="670" customWidth="1"/>
    <col min="3846" max="3846" width="11.6666666666667" style="670" customWidth="1"/>
    <col min="3847" max="3847" width="7.21666666666667" style="670" customWidth="1"/>
    <col min="3848" max="3850" width="13.2166666666667" style="670" customWidth="1"/>
    <col min="3851" max="4096" width="9" style="670"/>
    <col min="4097" max="4097" width="20.4416666666667" style="670" customWidth="1"/>
    <col min="4098" max="4099" width="11" style="670" customWidth="1"/>
    <col min="4100" max="4100" width="5.775" style="670" customWidth="1"/>
    <col min="4101" max="4101" width="9.775" style="670" customWidth="1"/>
    <col min="4102" max="4102" width="11.6666666666667" style="670" customWidth="1"/>
    <col min="4103" max="4103" width="7.21666666666667" style="670" customWidth="1"/>
    <col min="4104" max="4106" width="13.2166666666667" style="670" customWidth="1"/>
    <col min="4107" max="4352" width="9" style="670"/>
    <col min="4353" max="4353" width="20.4416666666667" style="670" customWidth="1"/>
    <col min="4354" max="4355" width="11" style="670" customWidth="1"/>
    <col min="4356" max="4356" width="5.775" style="670" customWidth="1"/>
    <col min="4357" max="4357" width="9.775" style="670" customWidth="1"/>
    <col min="4358" max="4358" width="11.6666666666667" style="670" customWidth="1"/>
    <col min="4359" max="4359" width="7.21666666666667" style="670" customWidth="1"/>
    <col min="4360" max="4362" width="13.2166666666667" style="670" customWidth="1"/>
    <col min="4363" max="4608" width="9" style="670"/>
    <col min="4609" max="4609" width="20.4416666666667" style="670" customWidth="1"/>
    <col min="4610" max="4611" width="11" style="670" customWidth="1"/>
    <col min="4612" max="4612" width="5.775" style="670" customWidth="1"/>
    <col min="4613" max="4613" width="9.775" style="670" customWidth="1"/>
    <col min="4614" max="4614" width="11.6666666666667" style="670" customWidth="1"/>
    <col min="4615" max="4615" width="7.21666666666667" style="670" customWidth="1"/>
    <col min="4616" max="4618" width="13.2166666666667" style="670" customWidth="1"/>
    <col min="4619" max="4864" width="9" style="670"/>
    <col min="4865" max="4865" width="20.4416666666667" style="670" customWidth="1"/>
    <col min="4866" max="4867" width="11" style="670" customWidth="1"/>
    <col min="4868" max="4868" width="5.775" style="670" customWidth="1"/>
    <col min="4869" max="4869" width="9.775" style="670" customWidth="1"/>
    <col min="4870" max="4870" width="11.6666666666667" style="670" customWidth="1"/>
    <col min="4871" max="4871" width="7.21666666666667" style="670" customWidth="1"/>
    <col min="4872" max="4874" width="13.2166666666667" style="670" customWidth="1"/>
    <col min="4875" max="5120" width="9" style="670"/>
    <col min="5121" max="5121" width="20.4416666666667" style="670" customWidth="1"/>
    <col min="5122" max="5123" width="11" style="670" customWidth="1"/>
    <col min="5124" max="5124" width="5.775" style="670" customWidth="1"/>
    <col min="5125" max="5125" width="9.775" style="670" customWidth="1"/>
    <col min="5126" max="5126" width="11.6666666666667" style="670" customWidth="1"/>
    <col min="5127" max="5127" width="7.21666666666667" style="670" customWidth="1"/>
    <col min="5128" max="5130" width="13.2166666666667" style="670" customWidth="1"/>
    <col min="5131" max="5376" width="9" style="670"/>
    <col min="5377" max="5377" width="20.4416666666667" style="670" customWidth="1"/>
    <col min="5378" max="5379" width="11" style="670" customWidth="1"/>
    <col min="5380" max="5380" width="5.775" style="670" customWidth="1"/>
    <col min="5381" max="5381" width="9.775" style="670" customWidth="1"/>
    <col min="5382" max="5382" width="11.6666666666667" style="670" customWidth="1"/>
    <col min="5383" max="5383" width="7.21666666666667" style="670" customWidth="1"/>
    <col min="5384" max="5386" width="13.2166666666667" style="670" customWidth="1"/>
    <col min="5387" max="5632" width="9" style="670"/>
    <col min="5633" max="5633" width="20.4416666666667" style="670" customWidth="1"/>
    <col min="5634" max="5635" width="11" style="670" customWidth="1"/>
    <col min="5636" max="5636" width="5.775" style="670" customWidth="1"/>
    <col min="5637" max="5637" width="9.775" style="670" customWidth="1"/>
    <col min="5638" max="5638" width="11.6666666666667" style="670" customWidth="1"/>
    <col min="5639" max="5639" width="7.21666666666667" style="670" customWidth="1"/>
    <col min="5640" max="5642" width="13.2166666666667" style="670" customWidth="1"/>
    <col min="5643" max="5888" width="9" style="670"/>
    <col min="5889" max="5889" width="20.4416666666667" style="670" customWidth="1"/>
    <col min="5890" max="5891" width="11" style="670" customWidth="1"/>
    <col min="5892" max="5892" width="5.775" style="670" customWidth="1"/>
    <col min="5893" max="5893" width="9.775" style="670" customWidth="1"/>
    <col min="5894" max="5894" width="11.6666666666667" style="670" customWidth="1"/>
    <col min="5895" max="5895" width="7.21666666666667" style="670" customWidth="1"/>
    <col min="5896" max="5898" width="13.2166666666667" style="670" customWidth="1"/>
    <col min="5899" max="6144" width="9" style="670"/>
    <col min="6145" max="6145" width="20.4416666666667" style="670" customWidth="1"/>
    <col min="6146" max="6147" width="11" style="670" customWidth="1"/>
    <col min="6148" max="6148" width="5.775" style="670" customWidth="1"/>
    <col min="6149" max="6149" width="9.775" style="670" customWidth="1"/>
    <col min="6150" max="6150" width="11.6666666666667" style="670" customWidth="1"/>
    <col min="6151" max="6151" width="7.21666666666667" style="670" customWidth="1"/>
    <col min="6152" max="6154" width="13.2166666666667" style="670" customWidth="1"/>
    <col min="6155" max="6400" width="9" style="670"/>
    <col min="6401" max="6401" width="20.4416666666667" style="670" customWidth="1"/>
    <col min="6402" max="6403" width="11" style="670" customWidth="1"/>
    <col min="6404" max="6404" width="5.775" style="670" customWidth="1"/>
    <col min="6405" max="6405" width="9.775" style="670" customWidth="1"/>
    <col min="6406" max="6406" width="11.6666666666667" style="670" customWidth="1"/>
    <col min="6407" max="6407" width="7.21666666666667" style="670" customWidth="1"/>
    <col min="6408" max="6410" width="13.2166666666667" style="670" customWidth="1"/>
    <col min="6411" max="6656" width="9" style="670"/>
    <col min="6657" max="6657" width="20.4416666666667" style="670" customWidth="1"/>
    <col min="6658" max="6659" width="11" style="670" customWidth="1"/>
    <col min="6660" max="6660" width="5.775" style="670" customWidth="1"/>
    <col min="6661" max="6661" width="9.775" style="670" customWidth="1"/>
    <col min="6662" max="6662" width="11.6666666666667" style="670" customWidth="1"/>
    <col min="6663" max="6663" width="7.21666666666667" style="670" customWidth="1"/>
    <col min="6664" max="6666" width="13.2166666666667" style="670" customWidth="1"/>
    <col min="6667" max="6912" width="9" style="670"/>
    <col min="6913" max="6913" width="20.4416666666667" style="670" customWidth="1"/>
    <col min="6914" max="6915" width="11" style="670" customWidth="1"/>
    <col min="6916" max="6916" width="5.775" style="670" customWidth="1"/>
    <col min="6917" max="6917" width="9.775" style="670" customWidth="1"/>
    <col min="6918" max="6918" width="11.6666666666667" style="670" customWidth="1"/>
    <col min="6919" max="6919" width="7.21666666666667" style="670" customWidth="1"/>
    <col min="6920" max="6922" width="13.2166666666667" style="670" customWidth="1"/>
    <col min="6923" max="7168" width="9" style="670"/>
    <col min="7169" max="7169" width="20.4416666666667" style="670" customWidth="1"/>
    <col min="7170" max="7171" width="11" style="670" customWidth="1"/>
    <col min="7172" max="7172" width="5.775" style="670" customWidth="1"/>
    <col min="7173" max="7173" width="9.775" style="670" customWidth="1"/>
    <col min="7174" max="7174" width="11.6666666666667" style="670" customWidth="1"/>
    <col min="7175" max="7175" width="7.21666666666667" style="670" customWidth="1"/>
    <col min="7176" max="7178" width="13.2166666666667" style="670" customWidth="1"/>
    <col min="7179" max="7424" width="9" style="670"/>
    <col min="7425" max="7425" width="20.4416666666667" style="670" customWidth="1"/>
    <col min="7426" max="7427" width="11" style="670" customWidth="1"/>
    <col min="7428" max="7428" width="5.775" style="670" customWidth="1"/>
    <col min="7429" max="7429" width="9.775" style="670" customWidth="1"/>
    <col min="7430" max="7430" width="11.6666666666667" style="670" customWidth="1"/>
    <col min="7431" max="7431" width="7.21666666666667" style="670" customWidth="1"/>
    <col min="7432" max="7434" width="13.2166666666667" style="670" customWidth="1"/>
    <col min="7435" max="7680" width="9" style="670"/>
    <col min="7681" max="7681" width="20.4416666666667" style="670" customWidth="1"/>
    <col min="7682" max="7683" width="11" style="670" customWidth="1"/>
    <col min="7684" max="7684" width="5.775" style="670" customWidth="1"/>
    <col min="7685" max="7685" width="9.775" style="670" customWidth="1"/>
    <col min="7686" max="7686" width="11.6666666666667" style="670" customWidth="1"/>
    <col min="7687" max="7687" width="7.21666666666667" style="670" customWidth="1"/>
    <col min="7688" max="7690" width="13.2166666666667" style="670" customWidth="1"/>
    <col min="7691" max="7936" width="9" style="670"/>
    <col min="7937" max="7937" width="20.4416666666667" style="670" customWidth="1"/>
    <col min="7938" max="7939" width="11" style="670" customWidth="1"/>
    <col min="7940" max="7940" width="5.775" style="670" customWidth="1"/>
    <col min="7941" max="7941" width="9.775" style="670" customWidth="1"/>
    <col min="7942" max="7942" width="11.6666666666667" style="670" customWidth="1"/>
    <col min="7943" max="7943" width="7.21666666666667" style="670" customWidth="1"/>
    <col min="7944" max="7946" width="13.2166666666667" style="670" customWidth="1"/>
    <col min="7947" max="8192" width="9" style="670"/>
    <col min="8193" max="8193" width="20.4416666666667" style="670" customWidth="1"/>
    <col min="8194" max="8195" width="11" style="670" customWidth="1"/>
    <col min="8196" max="8196" width="5.775" style="670" customWidth="1"/>
    <col min="8197" max="8197" width="9.775" style="670" customWidth="1"/>
    <col min="8198" max="8198" width="11.6666666666667" style="670" customWidth="1"/>
    <col min="8199" max="8199" width="7.21666666666667" style="670" customWidth="1"/>
    <col min="8200" max="8202" width="13.2166666666667" style="670" customWidth="1"/>
    <col min="8203" max="8448" width="9" style="670"/>
    <col min="8449" max="8449" width="20.4416666666667" style="670" customWidth="1"/>
    <col min="8450" max="8451" width="11" style="670" customWidth="1"/>
    <col min="8452" max="8452" width="5.775" style="670" customWidth="1"/>
    <col min="8453" max="8453" width="9.775" style="670" customWidth="1"/>
    <col min="8454" max="8454" width="11.6666666666667" style="670" customWidth="1"/>
    <col min="8455" max="8455" width="7.21666666666667" style="670" customWidth="1"/>
    <col min="8456" max="8458" width="13.2166666666667" style="670" customWidth="1"/>
    <col min="8459" max="8704" width="9" style="670"/>
    <col min="8705" max="8705" width="20.4416666666667" style="670" customWidth="1"/>
    <col min="8706" max="8707" width="11" style="670" customWidth="1"/>
    <col min="8708" max="8708" width="5.775" style="670" customWidth="1"/>
    <col min="8709" max="8709" width="9.775" style="670" customWidth="1"/>
    <col min="8710" max="8710" width="11.6666666666667" style="670" customWidth="1"/>
    <col min="8711" max="8711" width="7.21666666666667" style="670" customWidth="1"/>
    <col min="8712" max="8714" width="13.2166666666667" style="670" customWidth="1"/>
    <col min="8715" max="8960" width="9" style="670"/>
    <col min="8961" max="8961" width="20.4416666666667" style="670" customWidth="1"/>
    <col min="8962" max="8963" width="11" style="670" customWidth="1"/>
    <col min="8964" max="8964" width="5.775" style="670" customWidth="1"/>
    <col min="8965" max="8965" width="9.775" style="670" customWidth="1"/>
    <col min="8966" max="8966" width="11.6666666666667" style="670" customWidth="1"/>
    <col min="8967" max="8967" width="7.21666666666667" style="670" customWidth="1"/>
    <col min="8968" max="8970" width="13.2166666666667" style="670" customWidth="1"/>
    <col min="8971" max="9216" width="9" style="670"/>
    <col min="9217" max="9217" width="20.4416666666667" style="670" customWidth="1"/>
    <col min="9218" max="9219" width="11" style="670" customWidth="1"/>
    <col min="9220" max="9220" width="5.775" style="670" customWidth="1"/>
    <col min="9221" max="9221" width="9.775" style="670" customWidth="1"/>
    <col min="9222" max="9222" width="11.6666666666667" style="670" customWidth="1"/>
    <col min="9223" max="9223" width="7.21666666666667" style="670" customWidth="1"/>
    <col min="9224" max="9226" width="13.2166666666667" style="670" customWidth="1"/>
    <col min="9227" max="9472" width="9" style="670"/>
    <col min="9473" max="9473" width="20.4416666666667" style="670" customWidth="1"/>
    <col min="9474" max="9475" width="11" style="670" customWidth="1"/>
    <col min="9476" max="9476" width="5.775" style="670" customWidth="1"/>
    <col min="9477" max="9477" width="9.775" style="670" customWidth="1"/>
    <col min="9478" max="9478" width="11.6666666666667" style="670" customWidth="1"/>
    <col min="9479" max="9479" width="7.21666666666667" style="670" customWidth="1"/>
    <col min="9480" max="9482" width="13.2166666666667" style="670" customWidth="1"/>
    <col min="9483" max="9728" width="9" style="670"/>
    <col min="9729" max="9729" width="20.4416666666667" style="670" customWidth="1"/>
    <col min="9730" max="9731" width="11" style="670" customWidth="1"/>
    <col min="9732" max="9732" width="5.775" style="670" customWidth="1"/>
    <col min="9733" max="9733" width="9.775" style="670" customWidth="1"/>
    <col min="9734" max="9734" width="11.6666666666667" style="670" customWidth="1"/>
    <col min="9735" max="9735" width="7.21666666666667" style="670" customWidth="1"/>
    <col min="9736" max="9738" width="13.2166666666667" style="670" customWidth="1"/>
    <col min="9739" max="9984" width="9" style="670"/>
    <col min="9985" max="9985" width="20.4416666666667" style="670" customWidth="1"/>
    <col min="9986" max="9987" width="11" style="670" customWidth="1"/>
    <col min="9988" max="9988" width="5.775" style="670" customWidth="1"/>
    <col min="9989" max="9989" width="9.775" style="670" customWidth="1"/>
    <col min="9990" max="9990" width="11.6666666666667" style="670" customWidth="1"/>
    <col min="9991" max="9991" width="7.21666666666667" style="670" customWidth="1"/>
    <col min="9992" max="9994" width="13.2166666666667" style="670" customWidth="1"/>
    <col min="9995" max="10240" width="9" style="670"/>
    <col min="10241" max="10241" width="20.4416666666667" style="670" customWidth="1"/>
    <col min="10242" max="10243" width="11" style="670" customWidth="1"/>
    <col min="10244" max="10244" width="5.775" style="670" customWidth="1"/>
    <col min="10245" max="10245" width="9.775" style="670" customWidth="1"/>
    <col min="10246" max="10246" width="11.6666666666667" style="670" customWidth="1"/>
    <col min="10247" max="10247" width="7.21666666666667" style="670" customWidth="1"/>
    <col min="10248" max="10250" width="13.2166666666667" style="670" customWidth="1"/>
    <col min="10251" max="10496" width="9" style="670"/>
    <col min="10497" max="10497" width="20.4416666666667" style="670" customWidth="1"/>
    <col min="10498" max="10499" width="11" style="670" customWidth="1"/>
    <col min="10500" max="10500" width="5.775" style="670" customWidth="1"/>
    <col min="10501" max="10501" width="9.775" style="670" customWidth="1"/>
    <col min="10502" max="10502" width="11.6666666666667" style="670" customWidth="1"/>
    <col min="10503" max="10503" width="7.21666666666667" style="670" customWidth="1"/>
    <col min="10504" max="10506" width="13.2166666666667" style="670" customWidth="1"/>
    <col min="10507" max="10752" width="9" style="670"/>
    <col min="10753" max="10753" width="20.4416666666667" style="670" customWidth="1"/>
    <col min="10754" max="10755" width="11" style="670" customWidth="1"/>
    <col min="10756" max="10756" width="5.775" style="670" customWidth="1"/>
    <col min="10757" max="10757" width="9.775" style="670" customWidth="1"/>
    <col min="10758" max="10758" width="11.6666666666667" style="670" customWidth="1"/>
    <col min="10759" max="10759" width="7.21666666666667" style="670" customWidth="1"/>
    <col min="10760" max="10762" width="13.2166666666667" style="670" customWidth="1"/>
    <col min="10763" max="11008" width="9" style="670"/>
    <col min="11009" max="11009" width="20.4416666666667" style="670" customWidth="1"/>
    <col min="11010" max="11011" width="11" style="670" customWidth="1"/>
    <col min="11012" max="11012" width="5.775" style="670" customWidth="1"/>
    <col min="11013" max="11013" width="9.775" style="670" customWidth="1"/>
    <col min="11014" max="11014" width="11.6666666666667" style="670" customWidth="1"/>
    <col min="11015" max="11015" width="7.21666666666667" style="670" customWidth="1"/>
    <col min="11016" max="11018" width="13.2166666666667" style="670" customWidth="1"/>
    <col min="11019" max="11264" width="9" style="670"/>
    <col min="11265" max="11265" width="20.4416666666667" style="670" customWidth="1"/>
    <col min="11266" max="11267" width="11" style="670" customWidth="1"/>
    <col min="11268" max="11268" width="5.775" style="670" customWidth="1"/>
    <col min="11269" max="11269" width="9.775" style="670" customWidth="1"/>
    <col min="11270" max="11270" width="11.6666666666667" style="670" customWidth="1"/>
    <col min="11271" max="11271" width="7.21666666666667" style="670" customWidth="1"/>
    <col min="11272" max="11274" width="13.2166666666667" style="670" customWidth="1"/>
    <col min="11275" max="11520" width="9" style="670"/>
    <col min="11521" max="11521" width="20.4416666666667" style="670" customWidth="1"/>
    <col min="11522" max="11523" width="11" style="670" customWidth="1"/>
    <col min="11524" max="11524" width="5.775" style="670" customWidth="1"/>
    <col min="11525" max="11525" width="9.775" style="670" customWidth="1"/>
    <col min="11526" max="11526" width="11.6666666666667" style="670" customWidth="1"/>
    <col min="11527" max="11527" width="7.21666666666667" style="670" customWidth="1"/>
    <col min="11528" max="11530" width="13.2166666666667" style="670" customWidth="1"/>
    <col min="11531" max="11776" width="9" style="670"/>
    <col min="11777" max="11777" width="20.4416666666667" style="670" customWidth="1"/>
    <col min="11778" max="11779" width="11" style="670" customWidth="1"/>
    <col min="11780" max="11780" width="5.775" style="670" customWidth="1"/>
    <col min="11781" max="11781" width="9.775" style="670" customWidth="1"/>
    <col min="11782" max="11782" width="11.6666666666667" style="670" customWidth="1"/>
    <col min="11783" max="11783" width="7.21666666666667" style="670" customWidth="1"/>
    <col min="11784" max="11786" width="13.2166666666667" style="670" customWidth="1"/>
    <col min="11787" max="12032" width="9" style="670"/>
    <col min="12033" max="12033" width="20.4416666666667" style="670" customWidth="1"/>
    <col min="12034" max="12035" width="11" style="670" customWidth="1"/>
    <col min="12036" max="12036" width="5.775" style="670" customWidth="1"/>
    <col min="12037" max="12037" width="9.775" style="670" customWidth="1"/>
    <col min="12038" max="12038" width="11.6666666666667" style="670" customWidth="1"/>
    <col min="12039" max="12039" width="7.21666666666667" style="670" customWidth="1"/>
    <col min="12040" max="12042" width="13.2166666666667" style="670" customWidth="1"/>
    <col min="12043" max="12288" width="9" style="670"/>
    <col min="12289" max="12289" width="20.4416666666667" style="670" customWidth="1"/>
    <col min="12290" max="12291" width="11" style="670" customWidth="1"/>
    <col min="12292" max="12292" width="5.775" style="670" customWidth="1"/>
    <col min="12293" max="12293" width="9.775" style="670" customWidth="1"/>
    <col min="12294" max="12294" width="11.6666666666667" style="670" customWidth="1"/>
    <col min="12295" max="12295" width="7.21666666666667" style="670" customWidth="1"/>
    <col min="12296" max="12298" width="13.2166666666667" style="670" customWidth="1"/>
    <col min="12299" max="12544" width="9" style="670"/>
    <col min="12545" max="12545" width="20.4416666666667" style="670" customWidth="1"/>
    <col min="12546" max="12547" width="11" style="670" customWidth="1"/>
    <col min="12548" max="12548" width="5.775" style="670" customWidth="1"/>
    <col min="12549" max="12549" width="9.775" style="670" customWidth="1"/>
    <col min="12550" max="12550" width="11.6666666666667" style="670" customWidth="1"/>
    <col min="12551" max="12551" width="7.21666666666667" style="670" customWidth="1"/>
    <col min="12552" max="12554" width="13.2166666666667" style="670" customWidth="1"/>
    <col min="12555" max="12800" width="9" style="670"/>
    <col min="12801" max="12801" width="20.4416666666667" style="670" customWidth="1"/>
    <col min="12802" max="12803" width="11" style="670" customWidth="1"/>
    <col min="12804" max="12804" width="5.775" style="670" customWidth="1"/>
    <col min="12805" max="12805" width="9.775" style="670" customWidth="1"/>
    <col min="12806" max="12806" width="11.6666666666667" style="670" customWidth="1"/>
    <col min="12807" max="12807" width="7.21666666666667" style="670" customWidth="1"/>
    <col min="12808" max="12810" width="13.2166666666667" style="670" customWidth="1"/>
    <col min="12811" max="13056" width="9" style="670"/>
    <col min="13057" max="13057" width="20.4416666666667" style="670" customWidth="1"/>
    <col min="13058" max="13059" width="11" style="670" customWidth="1"/>
    <col min="13060" max="13060" width="5.775" style="670" customWidth="1"/>
    <col min="13061" max="13061" width="9.775" style="670" customWidth="1"/>
    <col min="13062" max="13062" width="11.6666666666667" style="670" customWidth="1"/>
    <col min="13063" max="13063" width="7.21666666666667" style="670" customWidth="1"/>
    <col min="13064" max="13066" width="13.2166666666667" style="670" customWidth="1"/>
    <col min="13067" max="13312" width="9" style="670"/>
    <col min="13313" max="13313" width="20.4416666666667" style="670" customWidth="1"/>
    <col min="13314" max="13315" width="11" style="670" customWidth="1"/>
    <col min="13316" max="13316" width="5.775" style="670" customWidth="1"/>
    <col min="13317" max="13317" width="9.775" style="670" customWidth="1"/>
    <col min="13318" max="13318" width="11.6666666666667" style="670" customWidth="1"/>
    <col min="13319" max="13319" width="7.21666666666667" style="670" customWidth="1"/>
    <col min="13320" max="13322" width="13.2166666666667" style="670" customWidth="1"/>
    <col min="13323" max="13568" width="9" style="670"/>
    <col min="13569" max="13569" width="20.4416666666667" style="670" customWidth="1"/>
    <col min="13570" max="13571" width="11" style="670" customWidth="1"/>
    <col min="13572" max="13572" width="5.775" style="670" customWidth="1"/>
    <col min="13573" max="13573" width="9.775" style="670" customWidth="1"/>
    <col min="13574" max="13574" width="11.6666666666667" style="670" customWidth="1"/>
    <col min="13575" max="13575" width="7.21666666666667" style="670" customWidth="1"/>
    <col min="13576" max="13578" width="13.2166666666667" style="670" customWidth="1"/>
    <col min="13579" max="13824" width="9" style="670"/>
    <col min="13825" max="13825" width="20.4416666666667" style="670" customWidth="1"/>
    <col min="13826" max="13827" width="11" style="670" customWidth="1"/>
    <col min="13828" max="13828" width="5.775" style="670" customWidth="1"/>
    <col min="13829" max="13829" width="9.775" style="670" customWidth="1"/>
    <col min="13830" max="13830" width="11.6666666666667" style="670" customWidth="1"/>
    <col min="13831" max="13831" width="7.21666666666667" style="670" customWidth="1"/>
    <col min="13832" max="13834" width="13.2166666666667" style="670" customWidth="1"/>
    <col min="13835" max="14080" width="9" style="670"/>
    <col min="14081" max="14081" width="20.4416666666667" style="670" customWidth="1"/>
    <col min="14082" max="14083" width="11" style="670" customWidth="1"/>
    <col min="14084" max="14084" width="5.775" style="670" customWidth="1"/>
    <col min="14085" max="14085" width="9.775" style="670" customWidth="1"/>
    <col min="14086" max="14086" width="11.6666666666667" style="670" customWidth="1"/>
    <col min="14087" max="14087" width="7.21666666666667" style="670" customWidth="1"/>
    <col min="14088" max="14090" width="13.2166666666667" style="670" customWidth="1"/>
    <col min="14091" max="14336" width="9" style="670"/>
    <col min="14337" max="14337" width="20.4416666666667" style="670" customWidth="1"/>
    <col min="14338" max="14339" width="11" style="670" customWidth="1"/>
    <col min="14340" max="14340" width="5.775" style="670" customWidth="1"/>
    <col min="14341" max="14341" width="9.775" style="670" customWidth="1"/>
    <col min="14342" max="14342" width="11.6666666666667" style="670" customWidth="1"/>
    <col min="14343" max="14343" width="7.21666666666667" style="670" customWidth="1"/>
    <col min="14344" max="14346" width="13.2166666666667" style="670" customWidth="1"/>
    <col min="14347" max="14592" width="9" style="670"/>
    <col min="14593" max="14593" width="20.4416666666667" style="670" customWidth="1"/>
    <col min="14594" max="14595" width="11" style="670" customWidth="1"/>
    <col min="14596" max="14596" width="5.775" style="670" customWidth="1"/>
    <col min="14597" max="14597" width="9.775" style="670" customWidth="1"/>
    <col min="14598" max="14598" width="11.6666666666667" style="670" customWidth="1"/>
    <col min="14599" max="14599" width="7.21666666666667" style="670" customWidth="1"/>
    <col min="14600" max="14602" width="13.2166666666667" style="670" customWidth="1"/>
    <col min="14603" max="14848" width="9" style="670"/>
    <col min="14849" max="14849" width="20.4416666666667" style="670" customWidth="1"/>
    <col min="14850" max="14851" width="11" style="670" customWidth="1"/>
    <col min="14852" max="14852" width="5.775" style="670" customWidth="1"/>
    <col min="14853" max="14853" width="9.775" style="670" customWidth="1"/>
    <col min="14854" max="14854" width="11.6666666666667" style="670" customWidth="1"/>
    <col min="14855" max="14855" width="7.21666666666667" style="670" customWidth="1"/>
    <col min="14856" max="14858" width="13.2166666666667" style="670" customWidth="1"/>
    <col min="14859" max="15104" width="9" style="670"/>
    <col min="15105" max="15105" width="20.4416666666667" style="670" customWidth="1"/>
    <col min="15106" max="15107" width="11" style="670" customWidth="1"/>
    <col min="15108" max="15108" width="5.775" style="670" customWidth="1"/>
    <col min="15109" max="15109" width="9.775" style="670" customWidth="1"/>
    <col min="15110" max="15110" width="11.6666666666667" style="670" customWidth="1"/>
    <col min="15111" max="15111" width="7.21666666666667" style="670" customWidth="1"/>
    <col min="15112" max="15114" width="13.2166666666667" style="670" customWidth="1"/>
    <col min="15115" max="15360" width="9" style="670"/>
    <col min="15361" max="15361" width="20.4416666666667" style="670" customWidth="1"/>
    <col min="15362" max="15363" width="11" style="670" customWidth="1"/>
    <col min="15364" max="15364" width="5.775" style="670" customWidth="1"/>
    <col min="15365" max="15365" width="9.775" style="670" customWidth="1"/>
    <col min="15366" max="15366" width="11.6666666666667" style="670" customWidth="1"/>
    <col min="15367" max="15367" width="7.21666666666667" style="670" customWidth="1"/>
    <col min="15368" max="15370" width="13.2166666666667" style="670" customWidth="1"/>
    <col min="15371" max="15616" width="9" style="670"/>
    <col min="15617" max="15617" width="20.4416666666667" style="670" customWidth="1"/>
    <col min="15618" max="15619" width="11" style="670" customWidth="1"/>
    <col min="15620" max="15620" width="5.775" style="670" customWidth="1"/>
    <col min="15621" max="15621" width="9.775" style="670" customWidth="1"/>
    <col min="15622" max="15622" width="11.6666666666667" style="670" customWidth="1"/>
    <col min="15623" max="15623" width="7.21666666666667" style="670" customWidth="1"/>
    <col min="15624" max="15626" width="13.2166666666667" style="670" customWidth="1"/>
    <col min="15627" max="15872" width="9" style="670"/>
    <col min="15873" max="15873" width="20.4416666666667" style="670" customWidth="1"/>
    <col min="15874" max="15875" width="11" style="670" customWidth="1"/>
    <col min="15876" max="15876" width="5.775" style="670" customWidth="1"/>
    <col min="15877" max="15877" width="9.775" style="670" customWidth="1"/>
    <col min="15878" max="15878" width="11.6666666666667" style="670" customWidth="1"/>
    <col min="15879" max="15879" width="7.21666666666667" style="670" customWidth="1"/>
    <col min="15880" max="15882" width="13.2166666666667" style="670" customWidth="1"/>
    <col min="15883" max="16128" width="9" style="670"/>
    <col min="16129" max="16129" width="20.4416666666667" style="670" customWidth="1"/>
    <col min="16130" max="16131" width="11" style="670" customWidth="1"/>
    <col min="16132" max="16132" width="5.775" style="670" customWidth="1"/>
    <col min="16133" max="16133" width="9.775" style="670" customWidth="1"/>
    <col min="16134" max="16134" width="11.6666666666667" style="670" customWidth="1"/>
    <col min="16135" max="16135" width="7.21666666666667" style="670" customWidth="1"/>
    <col min="16136" max="16138" width="13.2166666666667" style="670" customWidth="1"/>
    <col min="16139" max="16384" width="9" style="670"/>
  </cols>
  <sheetData>
    <row r="1" ht="21.75" customHeight="1" spans="1:11">
      <c r="A1" s="672" t="s">
        <v>298</v>
      </c>
      <c r="B1" s="672" t="s">
        <v>299</v>
      </c>
      <c r="C1" s="672" t="s">
        <v>300</v>
      </c>
      <c r="D1" s="672" t="s">
        <v>301</v>
      </c>
      <c r="E1" s="672" t="s">
        <v>302</v>
      </c>
      <c r="F1" s="673" t="s">
        <v>303</v>
      </c>
      <c r="G1" s="674" t="s">
        <v>304</v>
      </c>
      <c r="H1" s="674" t="s">
        <v>305</v>
      </c>
      <c r="I1" s="674" t="s">
        <v>306</v>
      </c>
      <c r="J1" s="674" t="s">
        <v>307</v>
      </c>
      <c r="K1" s="675" t="s">
        <v>308</v>
      </c>
    </row>
    <row r="2" spans="1:11">
      <c r="A2" s="1217" t="str">
        <f>IF('Crew Inb'!K11="","",'Crew Inb'!K11)</f>
        <v>TEST0001</v>
      </c>
      <c r="B2" t="str">
        <f>IF('Crew Inb'!J11="","",IF('Crew Inb'!J11="P","普通护照",IF('Crew Inb'!J11="S","海员证","")))</f>
        <v>普通护照</v>
      </c>
      <c r="C2" s="65" t="s">
        <v>309</v>
      </c>
      <c r="D2" t="str">
        <f>IF('Crew Inb'!C11="","",'Crew Inb'!C11&amp;" "&amp;'Crew Inb'!D11)</f>
        <v>涂潜 </v>
      </c>
      <c r="E2" t="str">
        <f>IF('Crew Inb'!E11="","",IF('Crew Inb'!E11="M","男",IF('Crew Inb'!E11="F","女","未说明")))</f>
        <v>男</v>
      </c>
      <c r="F2" s="676">
        <f>IF('Crew Inb'!H11="","",'Crew Inb'!H11)</f>
        <v>29228</v>
      </c>
      <c r="G2" s="677" t="s">
        <v>310</v>
      </c>
      <c r="H2" s="678" t="str">
        <f>IF('Crew Inb'!C11="","","免办签证")</f>
        <v>免办签证</v>
      </c>
    </row>
    <row r="3" spans="1:11">
      <c r="A3" t="str">
        <f>IF('Crew Inb'!K12="","",'Crew Inb'!K12)</f>
        <v>TEST0002</v>
      </c>
      <c r="B3" t="str">
        <f>IF('Crew Inb'!J12="","",IF('Crew Inb'!J12="P","普通护照",IF('Crew Inb'!J12="S","海员证","")))</f>
        <v>海员证</v>
      </c>
      <c r="C3" s="65" t="s">
        <v>311</v>
      </c>
      <c r="D3" t="str">
        <f>IF('Crew Inb'!C12="","",'Crew Inb'!C12&amp;" "&amp;'Crew Inb'!D12)</f>
        <v>FERNANDEZ REYNALDO JR </v>
      </c>
      <c r="E3" t="str">
        <f>IF('Crew Inb'!E12="","",IF('Crew Inb'!E12="M","男",IF('Crew Inb'!E12="F","女","未说明")))</f>
        <v>男</v>
      </c>
      <c r="F3" s="676">
        <f>IF('Crew Inb'!H12="","",'Crew Inb'!H12)</f>
        <v>24515</v>
      </c>
      <c r="G3" s="677" t="s">
        <v>312</v>
      </c>
      <c r="H3" s="678" t="str">
        <f>IF('Crew Inb'!C12="","","免办签证")</f>
        <v>免办签证</v>
      </c>
    </row>
    <row r="4" spans="1:11">
      <c r="A4" t="str">
        <f>IF('Crew Inb'!K13="","",'Crew Inb'!K13)</f>
        <v>TEST0003</v>
      </c>
      <c r="B4" t="str">
        <f>IF('Crew Inb'!J13="","",IF('Crew Inb'!J13="P","普通护照",IF('Crew Inb'!J13="S","海员证","")))</f>
        <v>普通护照</v>
      </c>
      <c r="C4" s="65" t="s">
        <v>313</v>
      </c>
      <c r="D4" t="str">
        <f>IF('Crew Inb'!C13="","",'Crew Inb'!C13&amp;" "&amp;'Crew Inb'!D13)</f>
        <v>FERNANDEZ REYNALDO JR </v>
      </c>
      <c r="E4" t="str">
        <f>IF('Crew Inb'!E13="","",IF('Crew Inb'!E13="M","男",IF('Crew Inb'!E13="F","女","未说明")))</f>
        <v>男</v>
      </c>
      <c r="F4" s="676">
        <f>IF('Crew Inb'!H13="","",'Crew Inb'!H13)</f>
        <v>29167</v>
      </c>
      <c r="G4" s="677" t="s">
        <v>314</v>
      </c>
      <c r="H4" s="678" t="str">
        <f>IF('Crew Inb'!C13="","","免办签证")</f>
        <v>免办签证</v>
      </c>
    </row>
    <row r="5" spans="1:11">
      <c r="A5" t="str">
        <f>IF('Crew Inb'!K14="","",'Crew Inb'!K14)</f>
        <v>TEST0004</v>
      </c>
      <c r="B5" t="str">
        <f>IF('Crew Inb'!J14="","",IF('Crew Inb'!J14="P","普通护照",IF('Crew Inb'!J14="S","海员证","")))</f>
        <v>普通护照</v>
      </c>
      <c r="C5" s="65" t="s">
        <v>309</v>
      </c>
      <c r="D5" t="str">
        <f>IF('Crew Inb'!C14="","",'Crew Inb'!C14&amp;" "&amp;'Crew Inb'!D14)</f>
        <v>赵六 </v>
      </c>
      <c r="E5" t="str">
        <f>IF('Crew Inb'!E14="","",IF('Crew Inb'!E14="M","男",IF('Crew Inb'!E14="F","女","未说明")))</f>
        <v>男</v>
      </c>
      <c r="F5" s="676">
        <f>IF('Crew Inb'!H14="","",'Crew Inb'!H14)</f>
        <v>34095</v>
      </c>
      <c r="G5" s="679" t="s">
        <v>315</v>
      </c>
      <c r="H5" s="678" t="str">
        <f>IF('Crew Inb'!C14="","","免办签证")</f>
        <v>免办签证</v>
      </c>
    </row>
    <row r="6" spans="1:11">
      <c r="A6" t="str">
        <f>IF('Crew Inb'!K15="","",'Crew Inb'!K15)</f>
        <v>TEST0005</v>
      </c>
      <c r="B6" t="str">
        <f>IF('Crew Inb'!J15="","",IF('Crew Inb'!J15="P","普通护照",IF('Crew Inb'!J15="S","海员证","")))</f>
        <v>海员证</v>
      </c>
      <c r="C6" s="65" t="s">
        <v>311</v>
      </c>
      <c r="D6" t="str">
        <f>IF('Crew Inb'!C15="","",'Crew Inb'!C15&amp;" "&amp;'Crew Inb'!D15)</f>
        <v>钱七 </v>
      </c>
      <c r="E6" t="str">
        <f>IF('Crew Inb'!E15="","",IF('Crew Inb'!E15="M","男",IF('Crew Inb'!E15="F","女","未说明")))</f>
        <v>男</v>
      </c>
      <c r="F6" s="676">
        <f>IF('Crew Inb'!H15="","",'Crew Inb'!H15)</f>
        <v>27961</v>
      </c>
      <c r="G6" s="680" t="s">
        <v>316</v>
      </c>
      <c r="H6" s="678" t="str">
        <f>IF('Crew Inb'!C15="","","免办签证")</f>
        <v>免办签证</v>
      </c>
    </row>
    <row r="7" spans="1:11">
      <c r="A7" t="str">
        <f>IF('Crew Inb'!K16="","",'Crew Inb'!K16)</f>
        <v>TEST0006</v>
      </c>
      <c r="B7" t="str">
        <f>IF('Crew Inb'!J16="","",IF('Crew Inb'!J16="P","普通护照",IF('Crew Inb'!J16="S","海员证","")))</f>
        <v>海员证</v>
      </c>
      <c r="C7" s="65" t="s">
        <v>311</v>
      </c>
      <c r="D7" t="str">
        <f>IF('Crew Inb'!C16="","",'Crew Inb'!C16&amp;" "&amp;'Crew Inb'!D16)</f>
        <v>孙八 </v>
      </c>
      <c r="E7" t="str">
        <f>IF('Crew Inb'!E16="","",IF('Crew Inb'!E16="M","男",IF('Crew Inb'!E16="F","女","未说明")))</f>
        <v>男</v>
      </c>
      <c r="F7" s="676">
        <f>IF('Crew Inb'!H16="","",'Crew Inb'!H16)</f>
        <v>24595</v>
      </c>
      <c r="G7" s="677" t="s">
        <v>317</v>
      </c>
      <c r="H7" s="678" t="str">
        <f>IF('Crew Inb'!C16="","","免办签证")</f>
        <v>免办签证</v>
      </c>
    </row>
    <row r="8" spans="1:11">
      <c r="A8" t="str">
        <f>IF('Crew Inb'!K17="","",'Crew Inb'!K17)</f>
        <v>TEST0007</v>
      </c>
      <c r="B8" t="str">
        <f>IF('Crew Inb'!J17="","",IF('Crew Inb'!J17="P","普通护照",IF('Crew Inb'!J17="S","海员证","")))</f>
        <v>普通护照</v>
      </c>
      <c r="C8" s="65" t="s">
        <v>318</v>
      </c>
      <c r="D8" t="str">
        <f>IF('Crew Inb'!C17="","",'Crew Inb'!C17&amp;" "&amp;'Crew Inb'!D17)</f>
        <v>周九 </v>
      </c>
      <c r="E8" t="str">
        <f>IF('Crew Inb'!E17="","",IF('Crew Inb'!E17="M","男",IF('Crew Inb'!E17="F","女","未说明")))</f>
        <v>男</v>
      </c>
      <c r="F8" s="676">
        <f>IF('Crew Inb'!H17="","",'Crew Inb'!H17)</f>
        <v>34157</v>
      </c>
      <c r="G8" s="677" t="s">
        <v>319</v>
      </c>
      <c r="H8" s="678" t="str">
        <f>IF('Crew Inb'!C17="","","免办签证")</f>
        <v>免办签证</v>
      </c>
    </row>
    <row r="9" spans="1:11">
      <c r="A9" t="str">
        <f>IF('Crew Inb'!K18="","",'Crew Inb'!K18)</f>
        <v>TEST0008</v>
      </c>
      <c r="B9" t="str">
        <f>IF('Crew Inb'!J18="","",IF('Crew Inb'!J18="P","普通护照",IF('Crew Inb'!J18="S","海员证","")))</f>
        <v>普通护照</v>
      </c>
      <c r="C9" s="65" t="s">
        <v>320</v>
      </c>
      <c r="D9" t="str">
        <f>IF('Crew Inb'!C18="","",'Crew Inb'!C18&amp;" "&amp;'Crew Inb'!D18)</f>
        <v>吴十 </v>
      </c>
      <c r="E9" t="str">
        <f>IF('Crew Inb'!E18="","",IF('Crew Inb'!E18="M","男",IF('Crew Inb'!E18="F","女","未说明")))</f>
        <v>男</v>
      </c>
      <c r="F9" s="676">
        <f>IF('Crew Inb'!H18="","",'Crew Inb'!H18)</f>
        <v>32956</v>
      </c>
      <c r="G9" s="680" t="s">
        <v>321</v>
      </c>
      <c r="H9" s="678" t="str">
        <f>IF('Crew Inb'!C18="","","免办签证")</f>
        <v>免办签证</v>
      </c>
    </row>
    <row r="10" spans="1:11">
      <c r="A10" t="e">
        <f>IF('Crew Inb'!#REF!="","",'Crew Inb'!#REF!)</f>
        <v>#REF!</v>
      </c>
      <c r="B10" t="e">
        <f>IF('Crew Inb'!#REF!="","",IF('Crew Inb'!#REF!="P","普通护照",IF('Crew Inb'!#REF!="S","海员证","")))</f>
        <v>#REF!</v>
      </c>
      <c r="C10" s="65" t="s">
        <v>322</v>
      </c>
      <c r="D10" t="e">
        <f>IF('Crew Inb'!#REF!="","",'Crew Inb'!#REF!&amp;" "&amp;'Crew Inb'!#REF!)</f>
        <v>#REF!</v>
      </c>
      <c r="E10" t="e">
        <f>IF('Crew Inb'!#REF!="","",IF('Crew Inb'!#REF!="M","男",IF('Crew Inb'!#REF!="F","女","未说明")))</f>
        <v>#REF!</v>
      </c>
      <c r="F10" s="676" t="e">
        <f>IF('Crew Inb'!#REF!="","",'Crew Inb'!#REF!)</f>
        <v>#REF!</v>
      </c>
      <c r="G10" s="679" t="s">
        <v>323</v>
      </c>
      <c r="H10" s="678" t="e">
        <f>IF('Crew Inb'!#REF!="","","免办签证")</f>
        <v>#REF!</v>
      </c>
    </row>
    <row r="11" spans="1:11">
      <c r="A11" t="str">
        <f>IF('Crew Inb'!K19="","",'Crew Inb'!K19)</f>
        <v>TEST0009</v>
      </c>
      <c r="B11" t="str">
        <f>IF('Crew Inb'!J19="","",IF('Crew Inb'!J19="P","普通护照",IF('Crew Inb'!J19="S","海员证","")))</f>
        <v>普通护照</v>
      </c>
      <c r="C11" s="65" t="s">
        <v>309</v>
      </c>
      <c r="D11" t="str">
        <f>IF('Crew Inb'!C19="","",'Crew Inb'!C19&amp;" "&amp;'Crew Inb'!D19)</f>
        <v>郑一 </v>
      </c>
      <c r="E11" t="str">
        <f>IF('Crew Inb'!E19="","",IF('Crew Inb'!E19="M","男",IF('Crew Inb'!E19="F","女","未说明")))</f>
        <v>男</v>
      </c>
      <c r="F11" s="676">
        <f>IF('Crew Inb'!H19="","",'Crew Inb'!H19)</f>
        <v>25430</v>
      </c>
      <c r="G11" s="679" t="s">
        <v>324</v>
      </c>
      <c r="H11" s="678" t="str">
        <f>IF('Crew Inb'!C19="","","免办签证")</f>
        <v>免办签证</v>
      </c>
    </row>
    <row r="12" spans="1:11">
      <c r="A12" t="str">
        <f>IF('Crew Inb'!K20="","",'Crew Inb'!K20)</f>
        <v>TEST0010</v>
      </c>
      <c r="B12" t="str">
        <f>IF('Crew Inb'!J20="","",IF('Crew Inb'!J20="P","普通护照",IF('Crew Inb'!J20="S","海员证","")))</f>
        <v>普通护照</v>
      </c>
      <c r="C12" s="65" t="s">
        <v>325</v>
      </c>
      <c r="D12" t="str">
        <f>IF('Crew Inb'!C20="","",'Crew Inb'!C20&amp;" "&amp;'Crew Inb'!D20)</f>
        <v>王一 </v>
      </c>
      <c r="E12" t="str">
        <f>IF('Crew Inb'!E20="","",IF('Crew Inb'!E20="M","男",IF('Crew Inb'!E20="F","女","未说明")))</f>
        <v>男</v>
      </c>
      <c r="F12" s="676">
        <f>IF('Crew Inb'!H20="","",'Crew Inb'!H20)</f>
        <v>29746</v>
      </c>
      <c r="G12" s="679" t="s">
        <v>326</v>
      </c>
      <c r="H12" s="678" t="str">
        <f>IF('Crew Inb'!C20="","","免办签证")</f>
        <v>免办签证</v>
      </c>
    </row>
    <row r="13" spans="1:11">
      <c r="A13" t="str">
        <f>IF('Crew Inb'!K21="","",'Crew Inb'!K21)</f>
        <v>TEST0011</v>
      </c>
      <c r="B13" t="str">
        <f>IF('Crew Inb'!J21="","",IF('Crew Inb'!J21="P","普通护照",IF('Crew Inb'!J21="S","海员证","")))</f>
        <v>普通护照</v>
      </c>
      <c r="C13" s="65" t="s">
        <v>327</v>
      </c>
      <c r="D13" t="str">
        <f>IF('Crew Inb'!C21="","",'Crew Inb'!C21&amp;" "&amp;'Crew Inb'!D21)</f>
        <v>李一 </v>
      </c>
      <c r="E13" t="str">
        <f>IF('Crew Inb'!E21="","",IF('Crew Inb'!E21="M","男",IF('Crew Inb'!E21="F","女","未说明")))</f>
        <v>男</v>
      </c>
      <c r="F13" s="676">
        <f>IF('Crew Inb'!H21="","",'Crew Inb'!H21)</f>
        <v>28234</v>
      </c>
      <c r="G13" s="679" t="s">
        <v>328</v>
      </c>
      <c r="H13" s="678" t="str">
        <f>IF('Crew Inb'!C21="","","免办签证")</f>
        <v>免办签证</v>
      </c>
    </row>
    <row r="14" spans="1:11">
      <c r="A14" t="str">
        <f>IF('Crew Inb'!K22="","",'Crew Inb'!K22)</f>
        <v>TEST0012</v>
      </c>
      <c r="B14" t="str">
        <f>IF('Crew Inb'!J22="","",IF('Crew Inb'!J22="P","普通护照",IF('Crew Inb'!J22="S","海员证","")))</f>
        <v>普通护照</v>
      </c>
      <c r="C14" s="65" t="s">
        <v>309</v>
      </c>
      <c r="D14" t="str">
        <f>IF('Crew Inb'!C22="","",'Crew Inb'!C22&amp;" "&amp;'Crew Inb'!D22)</f>
        <v>赵一 </v>
      </c>
      <c r="E14" t="str">
        <f>IF('Crew Inb'!E22="","",IF('Crew Inb'!E22="M","男",IF('Crew Inb'!E22="F","女","未说明")))</f>
        <v>男</v>
      </c>
      <c r="F14" s="676">
        <f>IF('Crew Inb'!H22="","",'Crew Inb'!H22)</f>
        <v>30471</v>
      </c>
      <c r="G14" s="679" t="s">
        <v>329</v>
      </c>
      <c r="H14" s="678" t="str">
        <f>IF('Crew Inb'!C22="","","免办签证")</f>
        <v>免办签证</v>
      </c>
    </row>
    <row r="15" spans="1:11">
      <c r="A15" t="str">
        <f>IF('Crew Inb'!K23="","",'Crew Inb'!K23)</f>
        <v>TEST0013</v>
      </c>
      <c r="B15" t="str">
        <f>IF('Crew Inb'!J23="","",IF('Crew Inb'!J23="P","普通护照",IF('Crew Inb'!J23="S","海员证","")))</f>
        <v>普通护照</v>
      </c>
      <c r="C15" s="65" t="s">
        <v>309</v>
      </c>
      <c r="D15" t="str">
        <f>IF('Crew Inb'!C23="","",'Crew Inb'!C23&amp;" "&amp;'Crew Inb'!D23)</f>
        <v>陈一 </v>
      </c>
      <c r="E15" t="str">
        <f>IF('Crew Inb'!E23="","",IF('Crew Inb'!E23="M","男",IF('Crew Inb'!E23="F","女","未说明")))</f>
        <v>男</v>
      </c>
      <c r="F15" s="676">
        <f>IF('Crew Inb'!H23="","",'Crew Inb'!H23)</f>
        <v>30822</v>
      </c>
      <c r="G15" s="679" t="s">
        <v>329</v>
      </c>
      <c r="H15" s="678" t="str">
        <f>IF('Crew Inb'!C23="","","免办签证")</f>
        <v>免办签证</v>
      </c>
    </row>
    <row r="16" spans="1:11">
      <c r="A16" t="str">
        <f>IF('Crew Inb'!K24="","",'Crew Inb'!K24)</f>
        <v>TEST0014</v>
      </c>
      <c r="B16" t="str">
        <f>IF('Crew Inb'!J24="","",IF('Crew Inb'!J24="P","普通护照",IF('Crew Inb'!J24="S","海员证","")))</f>
        <v>普通护照</v>
      </c>
      <c r="C16" s="65" t="s">
        <v>309</v>
      </c>
      <c r="D16" t="str">
        <f>IF('Crew Inb'!C24="","",'Crew Inb'!C24&amp;" "&amp;'Crew Inb'!D24)</f>
        <v>刘一 </v>
      </c>
      <c r="E16" t="str">
        <f>IF('Crew Inb'!E24="","",IF('Crew Inb'!E24="M","男",IF('Crew Inb'!E24="F","女","未说明")))</f>
        <v>男</v>
      </c>
      <c r="F16" s="676">
        <f>IF('Crew Inb'!H24="","",'Crew Inb'!H24)</f>
        <v>33702</v>
      </c>
      <c r="G16" s="679" t="s">
        <v>329</v>
      </c>
      <c r="H16" s="678" t="str">
        <f>IF('Crew Inb'!C24="","","免办签证")</f>
        <v>免办签证</v>
      </c>
    </row>
    <row r="17" spans="1:8">
      <c r="A17" t="str">
        <f>IF('Crew Inb'!K25="","",'Crew Inb'!K25)</f>
        <v>TEST0015</v>
      </c>
      <c r="B17" t="str">
        <f>IF('Crew Inb'!J25="","",IF('Crew Inb'!J25="P","普通护照",IF('Crew Inb'!J25="S","海员证","")))</f>
        <v>普通护照</v>
      </c>
      <c r="C17" s="65" t="s">
        <v>309</v>
      </c>
      <c r="D17" t="str">
        <f>IF('Crew Inb'!C25="","",'Crew Inb'!C25&amp;" "&amp;'Crew Inb'!D25)</f>
        <v>杨一 </v>
      </c>
      <c r="E17" t="str">
        <f>IF('Crew Inb'!E25="","",IF('Crew Inb'!E25="M","男",IF('Crew Inb'!E25="F","女","未说明")))</f>
        <v>男</v>
      </c>
      <c r="F17" s="676">
        <f>IF('Crew Inb'!H25="","",'Crew Inb'!H25)</f>
        <v>24553</v>
      </c>
      <c r="G17" s="679" t="s">
        <v>330</v>
      </c>
      <c r="H17" s="678" t="str">
        <f>IF('Crew Inb'!C25="","","免办签证")</f>
        <v>免办签证</v>
      </c>
    </row>
    <row r="18" spans="1:8">
      <c r="A18" t="str">
        <f>IF('Crew Inb'!K26="","",'Crew Inb'!K26)</f>
        <v>TEST0016</v>
      </c>
      <c r="B18" t="str">
        <f>IF('Crew Inb'!J26="","",IF('Crew Inb'!J26="P","普通护照",IF('Crew Inb'!J26="S","海员证","")))</f>
        <v>普通护照</v>
      </c>
      <c r="C18" s="65" t="s">
        <v>309</v>
      </c>
      <c r="D18" t="str">
        <f>IF('Crew Inb'!C26="","",'Crew Inb'!C26&amp;" "&amp;'Crew Inb'!D26)</f>
        <v>黄一 </v>
      </c>
      <c r="E18" t="str">
        <f>IF('Crew Inb'!E26="","",IF('Crew Inb'!E26="M","男",IF('Crew Inb'!E26="F","女","未说明")))</f>
        <v>男</v>
      </c>
      <c r="F18" s="676">
        <f>IF('Crew Inb'!H26="","",'Crew Inb'!H26)</f>
        <v>28098</v>
      </c>
      <c r="G18" s="679" t="s">
        <v>330</v>
      </c>
      <c r="H18" s="678" t="str">
        <f>IF('Crew Inb'!C26="","","免办签证")</f>
        <v>免办签证</v>
      </c>
    </row>
    <row r="19" spans="1:8">
      <c r="A19" t="str">
        <f>IF('Crew Inb'!K27="","",'Crew Inb'!K27)</f>
        <v>TEST0017</v>
      </c>
      <c r="B19" t="str">
        <f>IF('Crew Inb'!J27="","",IF('Crew Inb'!J27="P","普通护照",IF('Crew Inb'!J27="S","海员证","")))</f>
        <v>普通护照</v>
      </c>
      <c r="C19" s="65" t="s">
        <v>309</v>
      </c>
      <c r="D19" t="str">
        <f>IF('Crew Inb'!C27="","",'Crew Inb'!C27&amp;" "&amp;'Crew Inb'!D27)</f>
        <v>周一 </v>
      </c>
      <c r="E19" t="str">
        <f>IF('Crew Inb'!E27="","",IF('Crew Inb'!E27="M","男",IF('Crew Inb'!E27="F","女","未说明")))</f>
        <v>男</v>
      </c>
      <c r="F19" s="676">
        <f>IF('Crew Inb'!H27="","",'Crew Inb'!H27)</f>
        <v>34260</v>
      </c>
      <c r="G19" s="679" t="s">
        <v>330</v>
      </c>
      <c r="H19" s="678" t="str">
        <f>IF('Crew Inb'!C27="","","免办签证")</f>
        <v>免办签证</v>
      </c>
    </row>
    <row r="20" spans="1:8">
      <c r="A20" t="e">
        <f>IF('Crew Inb'!#REF!="","",'Crew Inb'!#REF!)</f>
        <v>#REF!</v>
      </c>
      <c r="B20" t="e">
        <f>IF('Crew Inb'!#REF!="","",IF('Crew Inb'!#REF!="P","普通护照",IF('Crew Inb'!#REF!="S","海员证","")))</f>
        <v>#REF!</v>
      </c>
      <c r="C20" s="65" t="s">
        <v>309</v>
      </c>
      <c r="D20" t="e">
        <f>IF('Crew Inb'!#REF!="","",'Crew Inb'!#REF!&amp;" "&amp;'Crew Inb'!#REF!)</f>
        <v>#REF!</v>
      </c>
      <c r="E20" t="e">
        <f>IF('Crew Inb'!#REF!="","",IF('Crew Inb'!#REF!="M","男",IF('Crew Inb'!#REF!="F","女","未说明")))</f>
        <v>#REF!</v>
      </c>
      <c r="F20" s="676" t="e">
        <f>IF('Crew Inb'!#REF!="","",'Crew Inb'!#REF!)</f>
        <v>#REF!</v>
      </c>
      <c r="G20" s="679" t="s">
        <v>326</v>
      </c>
      <c r="H20" s="678" t="e">
        <f>IF('Crew Inb'!#REF!="","","免办签证")</f>
        <v>#REF!</v>
      </c>
    </row>
    <row r="21" spans="1:8">
      <c r="A21" t="e">
        <f>IF('Crew Inb'!#REF!="","",'Crew Inb'!#REF!)</f>
        <v>#REF!</v>
      </c>
      <c r="B21" t="e">
        <f>IF('Crew Inb'!#REF!="","",IF('Crew Inb'!#REF!="P","普通护照",IF('Crew Inb'!#REF!="S","海员证","")))</f>
        <v>#REF!</v>
      </c>
      <c r="C21" s="65" t="s">
        <v>309</v>
      </c>
      <c r="D21" t="e">
        <f>IF('Crew Inb'!#REF!="","",'Crew Inb'!#REF!&amp;" "&amp;'Crew Inb'!#REF!)</f>
        <v>#REF!</v>
      </c>
      <c r="E21" t="e">
        <f>IF('Crew Inb'!#REF!="","",IF('Crew Inb'!#REF!="M","男",IF('Crew Inb'!#REF!="F","女","未说明")))</f>
        <v>#REF!</v>
      </c>
      <c r="F21" s="676" t="e">
        <f>IF('Crew Inb'!#REF!="","",'Crew Inb'!#REF!)</f>
        <v>#REF!</v>
      </c>
      <c r="G21" s="679" t="s">
        <v>331</v>
      </c>
      <c r="H21" s="678" t="e">
        <f>IF('Crew Inb'!#REF!="","","免办签证")</f>
        <v>#REF!</v>
      </c>
    </row>
    <row r="22" spans="1:8">
      <c r="A22" t="e">
        <f>IF('Crew Inb'!#REF!="","",'Crew Inb'!#REF!)</f>
        <v>#REF!</v>
      </c>
      <c r="B22" t="e">
        <f>IF('Crew Inb'!#REF!="","",IF('Crew Inb'!#REF!="P","普通护照",IF('Crew Inb'!#REF!="S","海员证","")))</f>
        <v>#REF!</v>
      </c>
      <c r="C22" s="65" t="s">
        <v>309</v>
      </c>
      <c r="D22" t="e">
        <f>IF('Crew Inb'!#REF!="","",'Crew Inb'!#REF!&amp;" "&amp;'Crew Inb'!#REF!)</f>
        <v>#REF!</v>
      </c>
      <c r="E22" t="e">
        <f>IF('Crew Inb'!#REF!="","",IF('Crew Inb'!#REF!="M","男",IF('Crew Inb'!#REF!="F","女","未说明")))</f>
        <v>#REF!</v>
      </c>
      <c r="F22" s="676" t="e">
        <f>IF('Crew Inb'!#REF!="","",'Crew Inb'!#REF!)</f>
        <v>#REF!</v>
      </c>
      <c r="G22" s="680" t="s">
        <v>332</v>
      </c>
      <c r="H22" s="678" t="e">
        <f>IF('Crew Inb'!#REF!="","","免办签证")</f>
        <v>#REF!</v>
      </c>
    </row>
    <row r="23" spans="1:8">
      <c r="A23" t="e">
        <f>IF('Crew Inb'!#REF!="","",'Crew Inb'!#REF!)</f>
        <v>#REF!</v>
      </c>
      <c r="B23" t="e">
        <f>IF('Crew Inb'!#REF!="","",IF('Crew Inb'!#REF!="P","普通护照",IF('Crew Inb'!#REF!="S","海员证","")))</f>
        <v>#REF!</v>
      </c>
      <c r="C23" s="65" t="s">
        <v>309</v>
      </c>
      <c r="D23" t="e">
        <f>IF('Crew Inb'!#REF!="","",'Crew Inb'!#REF!&amp;" "&amp;'Crew Inb'!#REF!)</f>
        <v>#REF!</v>
      </c>
      <c r="E23" t="e">
        <f>IF('Crew Inb'!#REF!="","",IF('Crew Inb'!#REF!="M","男",IF('Crew Inb'!#REF!="F","女","未说明")))</f>
        <v>#REF!</v>
      </c>
      <c r="F23" s="676" t="e">
        <f>IF('Crew Inb'!#REF!="","",'Crew Inb'!#REF!)</f>
        <v>#REF!</v>
      </c>
      <c r="G23" s="680" t="s">
        <v>332</v>
      </c>
      <c r="H23" s="678" t="e">
        <f>IF('Crew Inb'!#REF!="","","免办签证")</f>
        <v>#REF!</v>
      </c>
    </row>
    <row r="24" spans="1:8">
      <c r="A24" t="e">
        <f>IF('Crew Inb'!#REF!="","",'Crew Inb'!#REF!)</f>
        <v>#REF!</v>
      </c>
      <c r="B24" t="e">
        <f>IF('Crew Inb'!#REF!="","",IF('Crew Inb'!#REF!="P","普通护照",IF('Crew Inb'!#REF!="S","海员证","")))</f>
        <v>#REF!</v>
      </c>
      <c r="C24" s="65" t="s">
        <v>309</v>
      </c>
      <c r="D24" t="e">
        <f>IF('Crew Inb'!#REF!="","",'Crew Inb'!#REF!&amp;" "&amp;'Crew Inb'!#REF!)</f>
        <v>#REF!</v>
      </c>
      <c r="E24" t="e">
        <f>IF('Crew Inb'!#REF!="","",IF('Crew Inb'!#REF!="M","男",IF('Crew Inb'!#REF!="F","女","未说明")))</f>
        <v>#REF!</v>
      </c>
      <c r="F24" s="676" t="e">
        <f>IF('Crew Inb'!#REF!="","",'Crew Inb'!#REF!)</f>
        <v>#REF!</v>
      </c>
      <c r="G24" s="680" t="s">
        <v>332</v>
      </c>
      <c r="H24" s="678" t="e">
        <f>IF('Crew Inb'!#REF!="","","免办签证")</f>
        <v>#REF!</v>
      </c>
    </row>
    <row r="25" spans="1:8">
      <c r="A25" t="e">
        <f>IF('Crew Inb'!#REF!="","",'Crew Inb'!#REF!)</f>
        <v>#REF!</v>
      </c>
      <c r="B25" t="e">
        <f>IF('Crew Inb'!#REF!="","",IF('Crew Inb'!#REF!="P","普通护照",IF('Crew Inb'!#REF!="S","海员证","")))</f>
        <v>#REF!</v>
      </c>
      <c r="C25" s="65" t="s">
        <v>309</v>
      </c>
      <c r="D25" t="e">
        <f>IF('Crew Inb'!#REF!="","",'Crew Inb'!#REF!&amp;" "&amp;'Crew Inb'!#REF!)</f>
        <v>#REF!</v>
      </c>
      <c r="E25" t="e">
        <f>IF('Crew Inb'!#REF!="","",IF('Crew Inb'!#REF!="M","男",IF('Crew Inb'!#REF!="F","女","未说明")))</f>
        <v>#REF!</v>
      </c>
      <c r="F25" s="676" t="e">
        <f>IF('Crew Inb'!#REF!="","",'Crew Inb'!#REF!)</f>
        <v>#REF!</v>
      </c>
      <c r="G25" s="680" t="s">
        <v>332</v>
      </c>
      <c r="H25" s="678" t="e">
        <f>IF('Crew Inb'!#REF!="","","免办签证")</f>
        <v>#REF!</v>
      </c>
    </row>
    <row r="26" spans="1:8">
      <c r="A26" t="e">
        <f>IF('Crew Inb'!#REF!="","",'Crew Inb'!#REF!)</f>
        <v>#REF!</v>
      </c>
      <c r="B26" t="e">
        <f>IF('Crew Inb'!#REF!="","",IF('Crew Inb'!#REF!="P","普通护照",IF('Crew Inb'!#REF!="S","海员证","")))</f>
        <v>#REF!</v>
      </c>
      <c r="C26" s="65" t="s">
        <v>309</v>
      </c>
      <c r="D26" t="e">
        <f>IF('Crew Inb'!#REF!="","",'Crew Inb'!#REF!&amp;" "&amp;'Crew Inb'!#REF!)</f>
        <v>#REF!</v>
      </c>
      <c r="E26" t="e">
        <f>IF('Crew Inb'!#REF!="","",IF('Crew Inb'!#REF!="M","男",IF('Crew Inb'!#REF!="F","女","未说明")))</f>
        <v>#REF!</v>
      </c>
      <c r="F26" s="676" t="e">
        <f>IF('Crew Inb'!#REF!="","",'Crew Inb'!#REF!)</f>
        <v>#REF!</v>
      </c>
      <c r="G26" s="680" t="s">
        <v>332</v>
      </c>
      <c r="H26" s="678" t="e">
        <f>IF('Crew Inb'!#REF!="","","免办签证")</f>
        <v>#REF!</v>
      </c>
    </row>
    <row r="27" spans="1:8">
      <c r="A27" t="e">
        <f>IF('Crew Inb'!#REF!="","",'Crew Inb'!#REF!)</f>
        <v>#REF!</v>
      </c>
      <c r="B27" t="e">
        <f>IF('Crew Inb'!#REF!="","",IF('Crew Inb'!#REF!="P","普通护照",IF('Crew Inb'!#REF!="S","海员证","")))</f>
        <v>#REF!</v>
      </c>
      <c r="C27" s="65" t="s">
        <v>309</v>
      </c>
      <c r="D27" t="e">
        <f>IF('Crew Inb'!#REF!="","",'Crew Inb'!#REF!&amp;" "&amp;'Crew Inb'!#REF!)</f>
        <v>#REF!</v>
      </c>
      <c r="E27" t="e">
        <f>IF('Crew Inb'!#REF!="","",IF('Crew Inb'!#REF!="M","男",IF('Crew Inb'!#REF!="F","女","未说明")))</f>
        <v>#REF!</v>
      </c>
      <c r="F27" s="676" t="e">
        <f>IF('Crew Inb'!#REF!="","",'Crew Inb'!#REF!)</f>
        <v>#REF!</v>
      </c>
      <c r="G27" s="680" t="s">
        <v>332</v>
      </c>
      <c r="H27" s="678" t="e">
        <f>IF('Crew Inb'!#REF!="","","免办签证")</f>
        <v>#REF!</v>
      </c>
    </row>
    <row r="28" spans="1:8">
      <c r="A28" t="e">
        <f>IF('Crew Inb'!#REF!="","",'Crew Inb'!#REF!)</f>
        <v>#REF!</v>
      </c>
      <c r="B28" t="e">
        <f>IF('Crew Inb'!#REF!="","",IF('Crew Inb'!#REF!="P","普通护照",IF('Crew Inb'!#REF!="S","海员证","")))</f>
        <v>#REF!</v>
      </c>
      <c r="C28" s="65" t="s">
        <v>309</v>
      </c>
      <c r="D28" t="e">
        <f>IF('Crew Inb'!#REF!="","",'Crew Inb'!#REF!&amp;" "&amp;'Crew Inb'!#REF!)</f>
        <v>#REF!</v>
      </c>
      <c r="E28" t="e">
        <f>IF('Crew Inb'!#REF!="","",IF('Crew Inb'!#REF!="M","男",IF('Crew Inb'!#REF!="F","女","未说明")))</f>
        <v>#REF!</v>
      </c>
      <c r="F28" s="676" t="e">
        <f>IF('Crew Inb'!#REF!="","",'Crew Inb'!#REF!)</f>
        <v>#REF!</v>
      </c>
      <c r="G28" s="680" t="s">
        <v>332</v>
      </c>
      <c r="H28" s="678" t="e">
        <f>IF('Crew Inb'!#REF!="","","免办签证")</f>
        <v>#REF!</v>
      </c>
    </row>
    <row r="29" spans="1:8">
      <c r="A29" t="e">
        <f>IF('Crew Inb'!#REF!="","",'Crew Inb'!#REF!)</f>
        <v>#REF!</v>
      </c>
      <c r="B29" t="e">
        <f>IF('Crew Inb'!#REF!="","",IF('Crew Inb'!#REF!="P","普通护照",IF('Crew Inb'!#REF!="S","海员证","")))</f>
        <v>#REF!</v>
      </c>
      <c r="C29" s="65" t="s">
        <v>311</v>
      </c>
      <c r="D29" t="e">
        <f>IF('Crew Inb'!#REF!="","",'Crew Inb'!#REF!&amp;" "&amp;'Crew Inb'!#REF!)</f>
        <v>#REF!</v>
      </c>
      <c r="E29" t="e">
        <f>IF('Crew Inb'!#REF!="","",IF('Crew Inb'!#REF!="M","男",IF('Crew Inb'!#REF!="F","女","未说明")))</f>
        <v>#REF!</v>
      </c>
      <c r="F29" s="676" t="e">
        <f>IF('Crew Inb'!#REF!="","",'Crew Inb'!#REF!)</f>
        <v>#REF!</v>
      </c>
      <c r="G29" s="680" t="s">
        <v>332</v>
      </c>
      <c r="H29" s="678" t="e">
        <f>IF('Crew Inb'!#REF!="","","免办签证")</f>
        <v>#REF!</v>
      </c>
    </row>
    <row r="30" spans="1:8">
      <c r="A30" t="e">
        <f>IF('Crew Inb'!#REF!="","",'Crew Inb'!#REF!)</f>
        <v>#REF!</v>
      </c>
      <c r="B30"/>
      <c r="C30" s="65"/>
      <c r="D30"/>
      <c r="E30"/>
      <c r="F30" s="676" t="e">
        <f>IF('Crew Inb'!#REF!="","",'Crew Inb'!#REF!)</f>
        <v>#REF!</v>
      </c>
      <c r="G30" s="680"/>
      <c r="H30" s="678"/>
    </row>
    <row r="31" spans="1:8">
      <c r="A31" t="e">
        <f>IF('Crew Inb'!#REF!="","",'Crew Inb'!#REF!)</f>
        <v>#REF!</v>
      </c>
      <c r="B31"/>
      <c r="C31" s="65"/>
      <c r="D31" t="e">
        <f>IF('Crew Inb'!#REF!="","",'Crew Inb'!#REF!&amp;" "&amp;'Crew Inb'!#REF!)</f>
        <v>#REF!</v>
      </c>
      <c r="E31"/>
      <c r="F31" s="676" t="e">
        <f>IF('Crew Inb'!#REF!="","",'Crew Inb'!#REF!)</f>
        <v>#REF!</v>
      </c>
      <c r="G31" s="680"/>
      <c r="H31" s="678"/>
    </row>
    <row r="32" spans="1:8">
      <c r="A32" t="e">
        <f>IF('Crew Inb'!#REF!="","",'Crew Inb'!#REF!)</f>
        <v>#REF!</v>
      </c>
      <c r="B32"/>
      <c r="C32" s="65"/>
      <c r="D32"/>
      <c r="E32"/>
      <c r="F32" s="676" t="e">
        <f>IF('Crew Inb'!#REF!="","",'Crew Inb'!#REF!)</f>
        <v>#REF!</v>
      </c>
      <c r="G32" s="680"/>
      <c r="H32" s="678"/>
    </row>
    <row r="33" spans="1:8">
      <c r="A33" t="e">
        <f>IF('Crew Inb'!#REF!="","",'Crew Inb'!#REF!)</f>
        <v>#REF!</v>
      </c>
      <c r="B33"/>
      <c r="D33"/>
      <c r="E33"/>
      <c r="F33" s="676" t="e">
        <f>IF('Crew Inb'!#REF!="","",'Crew Inb'!#REF!)</f>
        <v>#REF!</v>
      </c>
      <c r="G33" s="680"/>
      <c r="H33" s="678"/>
    </row>
    <row r="34" spans="1:8">
      <c r="A34" t="e">
        <f>IF('Crew Inb'!#REF!="","",'Crew Inb'!#REF!)</f>
        <v>#REF!</v>
      </c>
      <c r="B34"/>
      <c r="D34"/>
      <c r="E34"/>
      <c r="F34" s="676" t="e">
        <f>IF('Crew Inb'!#REF!="","",'Crew Inb'!#REF!)</f>
        <v>#REF!</v>
      </c>
      <c r="H34" s="678"/>
    </row>
    <row r="35" spans="1:8">
      <c r="A35" t="e">
        <f>IF('Crew Inb'!#REF!="","",'Crew Inb'!#REF!)</f>
        <v>#REF!</v>
      </c>
      <c r="B35"/>
      <c r="D35"/>
      <c r="E35"/>
      <c r="F35" s="676" t="e">
        <f>IF('Crew Inb'!#REF!="","",'Crew Inb'!#REF!)</f>
        <v>#REF!</v>
      </c>
      <c r="H35" s="678"/>
    </row>
    <row r="36" spans="1:8">
      <c r="A36" t="e">
        <f>IF('Crew Inb'!#REF!="","",'Crew Inb'!#REF!)</f>
        <v>#REF!</v>
      </c>
      <c r="B36"/>
      <c r="D36"/>
      <c r="E36"/>
      <c r="F36" s="676" t="e">
        <f>IF('Crew Inb'!#REF!="","",'Crew Inb'!#REF!)</f>
        <v>#REF!</v>
      </c>
      <c r="H36" s="678"/>
    </row>
    <row r="37" spans="1:8">
      <c r="A37" t="e">
        <f>IF('Crew Inb'!#REF!="","",'Crew Inb'!#REF!)</f>
        <v>#REF!</v>
      </c>
      <c r="B37"/>
      <c r="D37"/>
      <c r="E37"/>
      <c r="F37" s="676" t="e">
        <f>IF('Crew Inb'!#REF!="","",'Crew Inb'!#REF!)</f>
        <v>#REF!</v>
      </c>
      <c r="H37" s="678"/>
    </row>
    <row r="38" spans="1:8">
      <c r="A38" t="e">
        <f>IF('Crew Inb'!#REF!="","",'Crew Inb'!#REF!)</f>
        <v>#REF!</v>
      </c>
      <c r="B38"/>
      <c r="D38"/>
      <c r="E38"/>
      <c r="F38" s="676" t="e">
        <f>IF('Crew Inb'!#REF!="","",'Crew Inb'!#REF!)</f>
        <v>#REF!</v>
      </c>
      <c r="H38" s="678"/>
    </row>
    <row r="39" spans="1:8">
      <c r="A39" t="e">
        <f>IF('Crew Inb'!#REF!="","",'Crew Inb'!#REF!)</f>
        <v>#REF!</v>
      </c>
      <c r="B39" t="e">
        <f>IF('Crew Inb'!#REF!="","",IF('Crew Inb'!#REF!="P","普通护照",IF('Crew Inb'!#REF!="S","海员证","")))</f>
        <v>#REF!</v>
      </c>
      <c r="D39" t="e">
        <f>IF('Crew Inb'!#REF!="","",'Crew Inb'!#REF!&amp;" "&amp;'Crew Inb'!#REF!)</f>
        <v>#REF!</v>
      </c>
      <c r="E39"/>
      <c r="F39" s="676" t="e">
        <f>IF('Crew Inb'!#REF!="","",'Crew Inb'!#REF!)</f>
        <v>#REF!</v>
      </c>
      <c r="H39" s="678" t="e">
        <f>IF('Crew Inb'!#REF!="","","免办签证")</f>
        <v>#REF!</v>
      </c>
    </row>
    <row r="40" spans="1:8">
      <c r="A40" t="e">
        <f>IF('Crew Inb'!#REF!="","",'Crew Inb'!#REF!)</f>
        <v>#REF!</v>
      </c>
      <c r="B40" t="str">
        <f>IF('Crew Inb'!J31="","",IF('Crew Inb'!J31="P","普通护照",IF('Crew Inb'!J31="S","海员证","")))</f>
        <v/>
      </c>
      <c r="D40" t="str">
        <f>IF('Crew Inb'!C31="","",'Crew Inb'!C31&amp;" "&amp;'Crew Inb'!D31)</f>
        <v/>
      </c>
      <c r="E40"/>
      <c r="F40" s="676" t="e">
        <f>IF('Crew Inb'!#REF!="","",'Crew Inb'!#REF!)</f>
        <v>#REF!</v>
      </c>
      <c r="H40" s="678" t="str">
        <f>IF('Crew Inb'!C31="","","免办签证")</f>
        <v/>
      </c>
    </row>
    <row r="41" spans="1:8">
      <c r="A41" t="str">
        <f>IF('Crew Inb'!K33="","",'Crew Inb'!K33)</f>
        <v/>
      </c>
      <c r="B41" t="str">
        <f>IF('Crew Inb'!J32="","",IF('Crew Inb'!J32="P","普通护照",IF('Crew Inb'!J32="S","海员证","")))</f>
        <v/>
      </c>
      <c r="D41" t="str">
        <f>IF('Crew Inb'!C32="","",'Crew Inb'!C32&amp;" "&amp;'Crew Inb'!D32)</f>
        <v/>
      </c>
      <c r="E41"/>
      <c r="F41" s="676" t="e">
        <f>IF('Crew Inb'!#REF!="","",'Crew Inb'!#REF!)</f>
        <v>#REF!</v>
      </c>
      <c r="H41" s="678" t="str">
        <f>IF('Crew Inb'!C32="","","免办签证")</f>
        <v/>
      </c>
    </row>
    <row r="42" spans="1:8">
      <c r="A42" t="str">
        <f>IF('Crew Inb'!K34="","",'Crew Inb'!K34)</f>
        <v/>
      </c>
      <c r="B42" t="str">
        <f>IF('Crew Inb'!J33="","",IF('Crew Inb'!J33="P","普通护照",IF('Crew Inb'!J33="S","海员证","")))</f>
        <v/>
      </c>
      <c r="D42" t="str">
        <f>IF('Crew Inb'!C33="","",'Crew Inb'!C33&amp;" "&amp;'Crew Inb'!D33)</f>
        <v/>
      </c>
      <c r="E42"/>
      <c r="F42" s="676" t="e">
        <f>IF('Crew Inb'!#REF!="","",'Crew Inb'!#REF!)</f>
        <v>#REF!</v>
      </c>
      <c r="H42" s="678" t="str">
        <f>IF('Crew Inb'!C33="","","免办签证")</f>
        <v/>
      </c>
    </row>
    <row r="43" spans="1:8">
      <c r="A43" t="str">
        <f>IF('Crew Inb'!K34="","",'Crew Inb'!K34)</f>
        <v/>
      </c>
      <c r="B43" t="str">
        <f>IF('Crew Inb'!J34="","",IF('Crew Inb'!J34="P","普通护照",IF('Crew Inb'!J34="S","海员证","")))</f>
        <v/>
      </c>
      <c r="D43" t="str">
        <f>IF('Crew Inb'!C34="","",'Crew Inb'!C34&amp;" "&amp;'Crew Inb'!D34)</f>
        <v/>
      </c>
      <c r="E43"/>
      <c r="F43" s="676" t="e">
        <f>IF('Crew Inb'!#REF!="","",'Crew Inb'!#REF!)</f>
        <v>#REF!</v>
      </c>
      <c r="H43" s="678" t="str">
        <f>IF('Crew Inb'!C34="","","免办签证")</f>
        <v/>
      </c>
    </row>
    <row r="44" spans="1:8">
      <c r="A44" t="str">
        <f>IF('Crew Inb'!K35="","",'Crew Inb'!K35)</f>
        <v/>
      </c>
      <c r="B44" t="str">
        <f>IF('Crew Inb'!J35="","",IF('Crew Inb'!J35="P","普通护照",IF('Crew Inb'!J35="S","海员证","")))</f>
        <v/>
      </c>
      <c r="D44" t="str">
        <f>IF('Crew Inb'!C35="","",'Crew Inb'!C35&amp;" "&amp;'Crew Inb'!D35)</f>
        <v/>
      </c>
      <c r="E44"/>
      <c r="F44" s="676" t="e">
        <f>IF('Crew Inb'!#REF!="","",'Crew Inb'!#REF!)</f>
        <v>#REF!</v>
      </c>
      <c r="H44" s="678" t="str">
        <f>IF('Crew Inb'!C35="","","免办签证")</f>
        <v/>
      </c>
    </row>
    <row r="45" spans="1:8">
      <c r="A45" t="str">
        <f>IF('Crew Inb'!K36="","",'Crew Inb'!K36)</f>
        <v/>
      </c>
      <c r="B45" t="str">
        <f>IF('Crew Inb'!J36="","",IF('Crew Inb'!J36="P","普通护照",IF('Crew Inb'!J36="S","海员证","")))</f>
        <v/>
      </c>
      <c r="D45" t="str">
        <f>IF('Crew Inb'!C36="","",'Crew Inb'!C36&amp;" "&amp;'Crew Inb'!D36)</f>
        <v/>
      </c>
      <c r="E45" t="str">
        <f>IF('Crew Inb'!E36="","",IF('Crew Inb'!E36="M","男",IF('Crew Inb'!E36="F","女","未说明")))</f>
        <v/>
      </c>
      <c r="F45" s="676" t="str">
        <f>IF('Crew Inb'!H36="","",'Crew Inb'!H36)</f>
        <v/>
      </c>
      <c r="H45" s="678" t="str">
        <f>IF('Crew Inb'!C36="","","免办签证")</f>
        <v/>
      </c>
    </row>
    <row r="46" spans="1:8">
      <c r="A46" t="str">
        <f>IF('Crew Inb'!K37="","",'Crew Inb'!K37)</f>
        <v/>
      </c>
      <c r="B46" t="str">
        <f>IF('Crew Inb'!J37="","",IF('Crew Inb'!J37="P","普通护照",IF('Crew Inb'!J37="S","海员证","")))</f>
        <v/>
      </c>
      <c r="D46" t="str">
        <f>IF('Crew Inb'!C37="","",'Crew Inb'!C37&amp;" "&amp;'Crew Inb'!D37)</f>
        <v/>
      </c>
      <c r="E46" t="str">
        <f>IF('Crew Inb'!E37="","",IF('Crew Inb'!E37="M","男",IF('Crew Inb'!E37="F","女","未说明")))</f>
        <v/>
      </c>
      <c r="F46" s="676" t="str">
        <f>IF('Crew Inb'!H37="","",'Crew Inb'!H37)</f>
        <v/>
      </c>
      <c r="H46" s="678" t="str">
        <f>IF('Crew Inb'!C37="","","免办签证")</f>
        <v/>
      </c>
    </row>
    <row r="47" spans="1:8">
      <c r="A47" t="str">
        <f>IF('Crew Inb'!K38="","",'Crew Inb'!K38)</f>
        <v/>
      </c>
      <c r="B47" t="str">
        <f>IF('Crew Inb'!J38="","",IF('Crew Inb'!J38="P","普通护照",IF('Crew Inb'!J38="C","海员证","")))</f>
        <v/>
      </c>
      <c r="D47" t="str">
        <f>IF('Crew Inb'!C38="","",'Crew Inb'!C38&amp;" "&amp;'Crew Inb'!D38)</f>
        <v/>
      </c>
      <c r="E47" t="str">
        <f>IF('Crew Inb'!E38="","",IF('Crew Inb'!E38="M","男",IF('Crew Inb'!E38="F","女","未说明")))</f>
        <v/>
      </c>
      <c r="F47" s="676" t="str">
        <f>IF('Crew Inb'!H38="","",'Crew Inb'!H38)</f>
        <v/>
      </c>
      <c r="H47" s="678" t="str">
        <f>IF('Crew Inb'!C38="","","免办签证")</f>
        <v/>
      </c>
    </row>
    <row r="48" spans="1:8">
      <c r="A48" t="str">
        <f>IF('Crew Inb'!K39="","",'Crew Inb'!K39)</f>
        <v/>
      </c>
      <c r="B48" t="str">
        <f>IF('Crew Inb'!J39="","",IF('Crew Inb'!J39="P","普通护照",IF('Crew Inb'!J39="C","海员证","")))</f>
        <v/>
      </c>
      <c r="D48" t="str">
        <f>IF('Crew Inb'!C39="","",'Crew Inb'!C39&amp;" "&amp;'Crew Inb'!D39)</f>
        <v/>
      </c>
      <c r="E48" t="str">
        <f>IF('Crew Inb'!E39="","",IF('Crew Inb'!E39="M","男",IF('Crew Inb'!E39="F","女","未说明")))</f>
        <v/>
      </c>
      <c r="F48" s="676" t="str">
        <f>IF('Crew Inb'!H39="","",'Crew Inb'!H39)</f>
        <v/>
      </c>
      <c r="H48" s="678" t="str">
        <f>IF('Crew Inb'!C39="","","免办签证")</f>
        <v/>
      </c>
    </row>
    <row r="49" spans="1:8">
      <c r="A49" t="str">
        <f>IF('Crew Inb'!K40="","",'Crew Inb'!K40)</f>
        <v/>
      </c>
      <c r="B49" t="str">
        <f>IF('Crew Inb'!J40="","",IF('Crew Inb'!J40="P","普通护照",IF('Crew Inb'!J40="C","海员证","")))</f>
        <v/>
      </c>
      <c r="D49" t="str">
        <f>IF('Crew Inb'!C40="","",'Crew Inb'!C40&amp;" "&amp;'Crew Inb'!D40)</f>
        <v/>
      </c>
      <c r="E49" t="str">
        <f>IF('Crew Inb'!E40="","",IF('Crew Inb'!E40="M","男",IF('Crew Inb'!E40="F","女","未说明")))</f>
        <v/>
      </c>
      <c r="F49" s="676" t="str">
        <f>IF('Crew Inb'!H40="","",'Crew Inb'!H40)</f>
        <v/>
      </c>
      <c r="H49" s="678" t="str">
        <f>IF('Crew Inb'!C40="","","免办签证")</f>
        <v/>
      </c>
    </row>
    <row r="50" spans="1:8">
      <c r="A50" t="str">
        <f>IF('Crew Inb'!K41="","",'Crew Inb'!K41)</f>
        <v/>
      </c>
      <c r="B50" t="str">
        <f>IF('Crew Inb'!J41="","",IF('Crew Inb'!J41="P","普通护照",IF('Crew Inb'!J41="C","海员证","")))</f>
        <v/>
      </c>
      <c r="D50" t="str">
        <f>IF('Crew Inb'!C41="","",'Crew Inb'!C41&amp;" "&amp;'Crew Inb'!D41)</f>
        <v/>
      </c>
      <c r="E50" t="str">
        <f>IF('Crew Inb'!E41="","",IF('Crew Inb'!E41="M","男",IF('Crew Inb'!E41="F","女","未说明")))</f>
        <v/>
      </c>
      <c r="F50" s="676" t="str">
        <f>IF('Crew Inb'!H41="","",'Crew Inb'!H41)</f>
        <v/>
      </c>
      <c r="H50" s="678" t="str">
        <f>IF('Crew Inb'!C41="","","免办签证")</f>
        <v/>
      </c>
    </row>
  </sheetData>
  <dataValidations count="7">
    <dataValidation showInputMessage="1" showErrorMessage="1" sqref="G1 JC1 SY1 ACU1 AMQ1 AWM1 BGI1 BQE1 CAA1 CJW1 CTS1 DDO1 DNK1 DXG1 EHC1 EQY1 FAU1 FKQ1 FUM1 GEI1 GOE1 GYA1 HHW1 HRS1 IBO1 ILK1 IVG1 JFC1 JOY1 JYU1 KIQ1 KSM1 LCI1 LME1 LWA1 MFW1 MPS1 MZO1 NJK1 NTG1 ODC1 OMY1 OWU1 PGQ1 PQM1 QAI1 QKE1 QUA1 RDW1 RNS1 RXO1 SHK1 SRG1 TBC1 TKY1 TUU1 UEQ1 UOM1 UYI1 VIE1 VSA1 WBW1 WLS1 WVO1 G65537 JC65537 SY65537 ACU65537 AMQ65537 AWM65537 BGI65537 BQE65537 CAA65537 CJW65537 CTS65537 DDO65537 DNK65537 DXG65537 EHC65537 EQY65537 FAU65537 FKQ65537 FUM65537 GEI65537 GOE65537 GYA65537 HHW65537 HRS65537 IBO65537 ILK65537 IVG65537 JFC65537 JOY65537 JYU65537 KIQ65537 KSM65537 LCI65537 LME65537 LWA65537 MFW65537 MPS65537 MZO65537 NJK65537 NTG65537 ODC65537 OMY65537 OWU65537 PGQ65537 PQM65537 QAI65537 QKE65537 QUA65537 RDW65537 RNS65537 RXO65537 SHK65537 SRG65537 TBC65537 TKY65537 TUU65537 UEQ65537 UOM65537 UYI65537 VIE65537 VSA65537 WBW65537 WLS65537 WVO65537 G131073 JC131073 SY131073 ACU131073 AMQ131073 AWM131073 BGI131073 BQE131073 CAA131073 CJW131073 CTS131073 DDO131073 DNK131073 DXG131073 EHC131073 EQY131073 FAU131073 FKQ131073 FUM131073 GEI131073 GOE131073 GYA131073 HHW131073 HRS131073 IBO131073 ILK131073 IVG131073 JFC131073 JOY131073 JYU131073 KIQ131073 KSM131073 LCI131073 LME131073 LWA131073 MFW131073 MPS131073 MZO131073 NJK131073 NTG131073 ODC131073 OMY131073 OWU131073 PGQ131073 PQM131073 QAI131073 QKE131073 QUA131073 RDW131073 RNS131073 RXO131073 SHK131073 SRG131073 TBC131073 TKY131073 TUU131073 UEQ131073 UOM131073 UYI131073 VIE131073 VSA131073 WBW131073 WLS131073 WVO131073 G196609 JC196609 SY196609 ACU196609 AMQ196609 AWM196609 BGI196609 BQE196609 CAA196609 CJW196609 CTS196609 DDO196609 DNK196609 DXG196609 EHC196609 EQY196609 FAU196609 FKQ196609 FUM196609 GEI196609 GOE196609 GYA196609 HHW196609 HRS196609 IBO196609 ILK196609 IVG196609 JFC196609 JOY196609 JYU196609 KIQ196609 KSM196609 LCI196609 LME196609 LWA196609 MFW196609 MPS196609 MZO196609 NJK196609 NTG196609 ODC196609 OMY196609 OWU196609 PGQ196609 PQM196609 QAI196609 QKE196609 QUA196609 RDW196609 RNS196609 RXO196609 SHK196609 SRG196609 TBC196609 TKY196609 TUU196609 UEQ196609 UOM196609 UYI196609 VIE196609 VSA196609 WBW196609 WLS196609 WVO196609 G262145 JC262145 SY262145 ACU262145 AMQ262145 AWM262145 BGI262145 BQE262145 CAA262145 CJW262145 CTS262145 DDO262145 DNK262145 DXG262145 EHC262145 EQY262145 FAU262145 FKQ262145 FUM262145 GEI262145 GOE262145 GYA262145 HHW262145 HRS262145 IBO262145 ILK262145 IVG262145 JFC262145 JOY262145 JYU262145 KIQ262145 KSM262145 LCI262145 LME262145 LWA262145 MFW262145 MPS262145 MZO262145 NJK262145 NTG262145 ODC262145 OMY262145 OWU262145 PGQ262145 PQM262145 QAI262145 QKE262145 QUA262145 RDW262145 RNS262145 RXO262145 SHK262145 SRG262145 TBC262145 TKY262145 TUU262145 UEQ262145 UOM262145 UYI262145 VIE262145 VSA262145 WBW262145 WLS262145 WVO262145 G327681 JC327681 SY327681 ACU327681 AMQ327681 AWM327681 BGI327681 BQE327681 CAA327681 CJW327681 CTS327681 DDO327681 DNK327681 DXG327681 EHC327681 EQY327681 FAU327681 FKQ327681 FUM327681 GEI327681 GOE327681 GYA327681 HHW327681 HRS327681 IBO327681 ILK327681 IVG327681 JFC327681 JOY327681 JYU327681 KIQ327681 KSM327681 LCI327681 LME327681 LWA327681 MFW327681 MPS327681 MZO327681 NJK327681 NTG327681 ODC327681 OMY327681 OWU327681 PGQ327681 PQM327681 QAI327681 QKE327681 QUA327681 RDW327681 RNS327681 RXO327681 SHK327681 SRG327681 TBC327681 TKY327681 TUU327681 UEQ327681 UOM327681 UYI327681 VIE327681 VSA327681 WBW327681 WLS327681 WVO327681 G393217 JC393217 SY393217 ACU393217 AMQ393217 AWM393217 BGI393217 BQE393217 CAA393217 CJW393217 CTS393217 DDO393217 DNK393217 DXG393217 EHC393217 EQY393217 FAU393217 FKQ393217 FUM393217 GEI393217 GOE393217 GYA393217 HHW393217 HRS393217 IBO393217 ILK393217 IVG393217 JFC393217 JOY393217 JYU393217 KIQ393217 KSM393217 LCI393217 LME393217 LWA393217 MFW393217 MPS393217 MZO393217 NJK393217 NTG393217 ODC393217 OMY393217 OWU393217 PGQ393217 PQM393217 QAI393217 QKE393217 QUA393217 RDW393217 RNS393217 RXO393217 SHK393217 SRG393217 TBC393217 TKY393217 TUU393217 UEQ393217 UOM393217 UYI393217 VIE393217 VSA393217 WBW393217 WLS393217 WVO393217 G458753 JC458753 SY458753 ACU458753 AMQ458753 AWM458753 BGI458753 BQE458753 CAA458753 CJW458753 CTS458753 DDO458753 DNK458753 DXG458753 EHC458753 EQY458753 FAU458753 FKQ458753 FUM458753 GEI458753 GOE458753 GYA458753 HHW458753 HRS458753 IBO458753 ILK458753 IVG458753 JFC458753 JOY458753 JYU458753 KIQ458753 KSM458753 LCI458753 LME458753 LWA458753 MFW458753 MPS458753 MZO458753 NJK458753 NTG458753 ODC458753 OMY458753 OWU458753 PGQ458753 PQM458753 QAI458753 QKE458753 QUA458753 RDW458753 RNS458753 RXO458753 SHK458753 SRG458753 TBC458753 TKY458753 TUU458753 UEQ458753 UOM458753 UYI458753 VIE458753 VSA458753 WBW458753 WLS458753 WVO458753 G524289 JC524289 SY524289 ACU524289 AMQ524289 AWM524289 BGI524289 BQE524289 CAA524289 CJW524289 CTS524289 DDO524289 DNK524289 DXG524289 EHC524289 EQY524289 FAU524289 FKQ524289 FUM524289 GEI524289 GOE524289 GYA524289 HHW524289 HRS524289 IBO524289 ILK524289 IVG524289 JFC524289 JOY524289 JYU524289 KIQ524289 KSM524289 LCI524289 LME524289 LWA524289 MFW524289 MPS524289 MZO524289 NJK524289 NTG524289 ODC524289 OMY524289 OWU524289 PGQ524289 PQM524289 QAI524289 QKE524289 QUA524289 RDW524289 RNS524289 RXO524289 SHK524289 SRG524289 TBC524289 TKY524289 TUU524289 UEQ524289 UOM524289 UYI524289 VIE524289 VSA524289 WBW524289 WLS524289 WVO524289 G589825 JC589825 SY589825 ACU589825 AMQ589825 AWM589825 BGI589825 BQE589825 CAA589825 CJW589825 CTS589825 DDO589825 DNK589825 DXG589825 EHC589825 EQY589825 FAU589825 FKQ589825 FUM589825 GEI589825 GOE589825 GYA589825 HHW589825 HRS589825 IBO589825 ILK589825 IVG589825 JFC589825 JOY589825 JYU589825 KIQ589825 KSM589825 LCI589825 LME589825 LWA589825 MFW589825 MPS589825 MZO589825 NJK589825 NTG589825 ODC589825 OMY589825 OWU589825 PGQ589825 PQM589825 QAI589825 QKE589825 QUA589825 RDW589825 RNS589825 RXO589825 SHK589825 SRG589825 TBC589825 TKY589825 TUU589825 UEQ589825 UOM589825 UYI589825 VIE589825 VSA589825 WBW589825 WLS589825 WVO589825 G655361 JC655361 SY655361 ACU655361 AMQ655361 AWM655361 BGI655361 BQE655361 CAA655361 CJW655361 CTS655361 DDO655361 DNK655361 DXG655361 EHC655361 EQY655361 FAU655361 FKQ655361 FUM655361 GEI655361 GOE655361 GYA655361 HHW655361 HRS655361 IBO655361 ILK655361 IVG655361 JFC655361 JOY655361 JYU655361 KIQ655361 KSM655361 LCI655361 LME655361 LWA655361 MFW655361 MPS655361 MZO655361 NJK655361 NTG655361 ODC655361 OMY655361 OWU655361 PGQ655361 PQM655361 QAI655361 QKE655361 QUA655361 RDW655361 RNS655361 RXO655361 SHK655361 SRG655361 TBC655361 TKY655361 TUU655361 UEQ655361 UOM655361 UYI655361 VIE655361 VSA655361 WBW655361 WLS655361 WVO655361 G720897 JC720897 SY720897 ACU720897 AMQ720897 AWM720897 BGI720897 BQE720897 CAA720897 CJW720897 CTS720897 DDO720897 DNK720897 DXG720897 EHC720897 EQY720897 FAU720897 FKQ720897 FUM720897 GEI720897 GOE720897 GYA720897 HHW720897 HRS720897 IBO720897 ILK720897 IVG720897 JFC720897 JOY720897 JYU720897 KIQ720897 KSM720897 LCI720897 LME720897 LWA720897 MFW720897 MPS720897 MZO720897 NJK720897 NTG720897 ODC720897 OMY720897 OWU720897 PGQ720897 PQM720897 QAI720897 QKE720897 QUA720897 RDW720897 RNS720897 RXO720897 SHK720897 SRG720897 TBC720897 TKY720897 TUU720897 UEQ720897 UOM720897 UYI720897 VIE720897 VSA720897 WBW720897 WLS720897 WVO720897 G786433 JC786433 SY786433 ACU786433 AMQ786433 AWM786433 BGI786433 BQE786433 CAA786433 CJW786433 CTS786433 DDO786433 DNK786433 DXG786433 EHC786433 EQY786433 FAU786433 FKQ786433 FUM786433 GEI786433 GOE786433 GYA786433 HHW786433 HRS786433 IBO786433 ILK786433 IVG786433 JFC786433 JOY786433 JYU786433 KIQ786433 KSM786433 LCI786433 LME786433 LWA786433 MFW786433 MPS786433 MZO786433 NJK786433 NTG786433 ODC786433 OMY786433 OWU786433 PGQ786433 PQM786433 QAI786433 QKE786433 QUA786433 RDW786433 RNS786433 RXO786433 SHK786433 SRG786433 TBC786433 TKY786433 TUU786433 UEQ786433 UOM786433 UYI786433 VIE786433 VSA786433 WBW786433 WLS786433 WVO786433 G851969 JC851969 SY851969 ACU851969 AMQ851969 AWM851969 BGI851969 BQE851969 CAA851969 CJW851969 CTS851969 DDO851969 DNK851969 DXG851969 EHC851969 EQY851969 FAU851969 FKQ851969 FUM851969 GEI851969 GOE851969 GYA851969 HHW851969 HRS851969 IBO851969 ILK851969 IVG851969 JFC851969 JOY851969 JYU851969 KIQ851969 KSM851969 LCI851969 LME851969 LWA851969 MFW851969 MPS851969 MZO851969 NJK851969 NTG851969 ODC851969 OMY851969 OWU851969 PGQ851969 PQM851969 QAI851969 QKE851969 QUA851969 RDW851969 RNS851969 RXO851969 SHK851969 SRG851969 TBC851969 TKY851969 TUU851969 UEQ851969 UOM851969 UYI851969 VIE851969 VSA851969 WBW851969 WLS851969 WVO851969 G917505 JC917505 SY917505 ACU917505 AMQ917505 AWM917505 BGI917505 BQE917505 CAA917505 CJW917505 CTS917505 DDO917505 DNK917505 DXG917505 EHC917505 EQY917505 FAU917505 FKQ917505 FUM917505 GEI917505 GOE917505 GYA917505 HHW917505 HRS917505 IBO917505 ILK917505 IVG917505 JFC917505 JOY917505 JYU917505 KIQ917505 KSM917505 LCI917505 LME917505 LWA917505 MFW917505 MPS917505 MZO917505 NJK917505 NTG917505 ODC917505 OMY917505 OWU917505 PGQ917505 PQM917505 QAI917505 QKE917505 QUA917505 RDW917505 RNS917505 RXO917505 SHK917505 SRG917505 TBC917505 TKY917505 TUU917505 UEQ917505 UOM917505 UYI917505 VIE917505 VSA917505 WBW917505 WLS917505 WVO917505 G983041 JC983041 SY983041 ACU983041 AMQ983041 AWM983041 BGI983041 BQE983041 CAA983041 CJW983041 CTS983041 DDO983041 DNK983041 DXG983041 EHC983041 EQY983041 FAU983041 FKQ983041 FUM983041 GEI983041 GOE983041 GYA983041 HHW983041 HRS983041 IBO983041 ILK983041 IVG983041 JFC983041 JOY983041 JYU983041 KIQ983041 KSM983041 LCI983041 LME983041 LWA983041 MFW983041 MPS983041 MZO983041 NJK983041 NTG983041 ODC983041 OMY983041 OWU983041 PGQ983041 PQM983041 QAI983041 QKE983041 QUA983041 RDW983041 RNS983041 RXO983041 SHK983041 SRG983041 TBC983041 TKY983041 TUU983041 UEQ983041 UOM983041 UYI983041 VIE983041 VSA983041 WBW983041 WLS983041 WVO983041"/>
    <dataValidation type="list" allowBlank="1" showInputMessage="1" showErrorMessage="1" sqref="B2:B65536 B65538:B131072 B131074:B196608 B196610:B262144 B262146:B327680 B327682:B393216 B393218:B458752 B458754:B524288 B524290:B589824 B589826:B655360 B655362:B720896 B720898:B786432 B786434:B851968 B851970:B917504 B917506:B983040 B983042:B1048576 IX2:IX65536 IX65538:IX131072 IX131074:IX196608 IX196610:IX262144 IX262146:IX327680 IX327682:IX393216 IX393218:IX458752 IX458754:IX524288 IX524290:IX589824 IX589826:IX655360 IX655362:IX720896 IX720898:IX786432 IX786434:IX851968 IX851970:IX917504 IX917506:IX983040 IX983042:IX1048576 ST2:ST65536 ST65538:ST131072 ST131074:ST196608 ST196610:ST262144 ST262146:ST327680 ST327682:ST393216 ST393218:ST458752 ST458754:ST524288 ST524290:ST589824 ST589826:ST655360 ST655362:ST720896 ST720898:ST786432 ST786434:ST851968 ST851970:ST917504 ST917506:ST983040 ST983042:ST1048576 ACP2:ACP65536 ACP65538:ACP131072 ACP131074:ACP196608 ACP196610:ACP262144 ACP262146:ACP327680 ACP327682:ACP393216 ACP393218:ACP458752 ACP458754:ACP524288 ACP524290:ACP589824 ACP589826:ACP655360 ACP655362:ACP720896 ACP720898:ACP786432 ACP786434:ACP851968 ACP851970:ACP917504 ACP917506:ACP983040 ACP983042:ACP1048576 AML2:AML65536 AML65538:AML131072 AML131074:AML196608 AML196610:AML262144 AML262146:AML327680 AML327682:AML393216 AML393218:AML458752 AML458754:AML524288 AML524290:AML589824 AML589826:AML655360 AML655362:AML720896 AML720898:AML786432 AML786434:AML851968 AML851970:AML917504 AML917506:AML983040 AML983042:AML1048576 AWH2:AWH65536 AWH65538:AWH131072 AWH131074:AWH196608 AWH196610:AWH262144 AWH262146:AWH327680 AWH327682:AWH393216 AWH393218:AWH458752 AWH458754:AWH524288 AWH524290:AWH589824 AWH589826:AWH655360 AWH655362:AWH720896 AWH720898:AWH786432 AWH786434:AWH851968 AWH851970:AWH917504 AWH917506:AWH983040 AWH983042:AWH1048576 BGD2:BGD65536 BGD65538:BGD131072 BGD131074:BGD196608 BGD196610:BGD262144 BGD262146:BGD327680 BGD327682:BGD393216 BGD393218:BGD458752 BGD458754:BGD524288 BGD524290:BGD589824 BGD589826:BGD655360 BGD655362:BGD720896 BGD720898:BGD786432 BGD786434:BGD851968 BGD851970:BGD917504 BGD917506:BGD983040 BGD983042:BGD1048576 BPZ2:BPZ65536 BPZ65538:BPZ131072 BPZ131074:BPZ196608 BPZ196610:BPZ262144 BPZ262146:BPZ327680 BPZ327682:BPZ393216 BPZ393218:BPZ458752 BPZ458754:BPZ524288 BPZ524290:BPZ589824 BPZ589826:BPZ655360 BPZ655362:BPZ720896 BPZ720898:BPZ786432 BPZ786434:BPZ851968 BPZ851970:BPZ917504 BPZ917506:BPZ983040 BPZ983042:BPZ1048576 BZV2:BZV65536 BZV65538:BZV131072 BZV131074:BZV196608 BZV196610:BZV262144 BZV262146:BZV327680 BZV327682:BZV393216 BZV393218:BZV458752 BZV458754:BZV524288 BZV524290:BZV589824 BZV589826:BZV655360 BZV655362:BZV720896 BZV720898:BZV786432 BZV786434:BZV851968 BZV851970:BZV917504 BZV917506:BZV983040 BZV983042:BZV1048576 CJR2:CJR65536 CJR65538:CJR131072 CJR131074:CJR196608 CJR196610:CJR262144 CJR262146:CJR327680 CJR327682:CJR393216 CJR393218:CJR458752 CJR458754:CJR524288 CJR524290:CJR589824 CJR589826:CJR655360 CJR655362:CJR720896 CJR720898:CJR786432 CJR786434:CJR851968 CJR851970:CJR917504 CJR917506:CJR983040 CJR983042:CJR1048576 CTN2:CTN65536 CTN65538:CTN131072 CTN131074:CTN196608 CTN196610:CTN262144 CTN262146:CTN327680 CTN327682:CTN393216 CTN393218:CTN458752 CTN458754:CTN524288 CTN524290:CTN589824 CTN589826:CTN655360 CTN655362:CTN720896 CTN720898:CTN786432 CTN786434:CTN851968 CTN851970:CTN917504 CTN917506:CTN983040 CTN983042:CTN1048576 DDJ2:DDJ65536 DDJ65538:DDJ131072 DDJ131074:DDJ196608 DDJ196610:DDJ262144 DDJ262146:DDJ327680 DDJ327682:DDJ393216 DDJ393218:DDJ458752 DDJ458754:DDJ524288 DDJ524290:DDJ589824 DDJ589826:DDJ655360 DDJ655362:DDJ720896 DDJ720898:DDJ786432 DDJ786434:DDJ851968 DDJ851970:DDJ917504 DDJ917506:DDJ983040 DDJ983042:DDJ1048576 DNF2:DNF65536 DNF65538:DNF131072 DNF131074:DNF196608 DNF196610:DNF262144 DNF262146:DNF327680 DNF327682:DNF393216 DNF393218:DNF458752 DNF458754:DNF524288 DNF524290:DNF589824 DNF589826:DNF655360 DNF655362:DNF720896 DNF720898:DNF786432 DNF786434:DNF851968 DNF851970:DNF917504 DNF917506:DNF983040 DNF983042:DNF1048576 DXB2:DXB65536 DXB65538:DXB131072 DXB131074:DXB196608 DXB196610:DXB262144 DXB262146:DXB327680 DXB327682:DXB393216 DXB393218:DXB458752 DXB458754:DXB524288 DXB524290:DXB589824 DXB589826:DXB655360 DXB655362:DXB720896 DXB720898:DXB786432 DXB786434:DXB851968 DXB851970:DXB917504 DXB917506:DXB983040 DXB983042:DXB1048576 EGX2:EGX65536 EGX65538:EGX131072 EGX131074:EGX196608 EGX196610:EGX262144 EGX262146:EGX327680 EGX327682:EGX393216 EGX393218:EGX458752 EGX458754:EGX524288 EGX524290:EGX589824 EGX589826:EGX655360 EGX655362:EGX720896 EGX720898:EGX786432 EGX786434:EGX851968 EGX851970:EGX917504 EGX917506:EGX983040 EGX983042:EGX1048576 EQT2:EQT65536 EQT65538:EQT131072 EQT131074:EQT196608 EQT196610:EQT262144 EQT262146:EQT327680 EQT327682:EQT393216 EQT393218:EQT458752 EQT458754:EQT524288 EQT524290:EQT589824 EQT589826:EQT655360 EQT655362:EQT720896 EQT720898:EQT786432 EQT786434:EQT851968 EQT851970:EQT917504 EQT917506:EQT983040 EQT983042:EQT1048576 FAP2:FAP65536 FAP65538:FAP131072 FAP131074:FAP196608 FAP196610:FAP262144 FAP262146:FAP327680 FAP327682:FAP393216 FAP393218:FAP458752 FAP458754:FAP524288 FAP524290:FAP589824 FAP589826:FAP655360 FAP655362:FAP720896 FAP720898:FAP786432 FAP786434:FAP851968 FAP851970:FAP917504 FAP917506:FAP983040 FAP983042:FAP1048576 FKL2:FKL65536 FKL65538:FKL131072 FKL131074:FKL196608 FKL196610:FKL262144 FKL262146:FKL327680 FKL327682:FKL393216 FKL393218:FKL458752 FKL458754:FKL524288 FKL524290:FKL589824 FKL589826:FKL655360 FKL655362:FKL720896 FKL720898:FKL786432 FKL786434:FKL851968 FKL851970:FKL917504 FKL917506:FKL983040 FKL983042:FKL1048576 FUH2:FUH65536 FUH65538:FUH131072 FUH131074:FUH196608 FUH196610:FUH262144 FUH262146:FUH327680 FUH327682:FUH393216 FUH393218:FUH458752 FUH458754:FUH524288 FUH524290:FUH589824 FUH589826:FUH655360 FUH655362:FUH720896 FUH720898:FUH786432 FUH786434:FUH851968 FUH851970:FUH917504 FUH917506:FUH983040 FUH983042:FUH1048576 GED2:GED65536 GED65538:GED131072 GED131074:GED196608 GED196610:GED262144 GED262146:GED327680 GED327682:GED393216 GED393218:GED458752 GED458754:GED524288 GED524290:GED589824 GED589826:GED655360 GED655362:GED720896 GED720898:GED786432 GED786434:GED851968 GED851970:GED917504 GED917506:GED983040 GED983042:GED1048576 GNZ2:GNZ65536 GNZ65538:GNZ131072 GNZ131074:GNZ196608 GNZ196610:GNZ262144 GNZ262146:GNZ327680 GNZ327682:GNZ393216 GNZ393218:GNZ458752 GNZ458754:GNZ524288 GNZ524290:GNZ589824 GNZ589826:GNZ655360 GNZ655362:GNZ720896 GNZ720898:GNZ786432 GNZ786434:GNZ851968 GNZ851970:GNZ917504 GNZ917506:GNZ983040 GNZ983042:GNZ1048576 GXV2:GXV65536 GXV65538:GXV131072 GXV131074:GXV196608 GXV196610:GXV262144 GXV262146:GXV327680 GXV327682:GXV393216 GXV393218:GXV458752 GXV458754:GXV524288 GXV524290:GXV589824 GXV589826:GXV655360 GXV655362:GXV720896 GXV720898:GXV786432 GXV786434:GXV851968 GXV851970:GXV917504 GXV917506:GXV983040 GXV983042:GXV1048576 HHR2:HHR65536 HHR65538:HHR131072 HHR131074:HHR196608 HHR196610:HHR262144 HHR262146:HHR327680 HHR327682:HHR393216 HHR393218:HHR458752 HHR458754:HHR524288 HHR524290:HHR589824 HHR589826:HHR655360 HHR655362:HHR720896 HHR720898:HHR786432 HHR786434:HHR851968 HHR851970:HHR917504 HHR917506:HHR983040 HHR983042:HHR1048576 HRN2:HRN65536 HRN65538:HRN131072 HRN131074:HRN196608 HRN196610:HRN262144 HRN262146:HRN327680 HRN327682:HRN393216 HRN393218:HRN458752 HRN458754:HRN524288 HRN524290:HRN589824 HRN589826:HRN655360 HRN655362:HRN720896 HRN720898:HRN786432 HRN786434:HRN851968 HRN851970:HRN917504 HRN917506:HRN983040 HRN983042:HRN1048576 IBJ2:IBJ65536 IBJ65538:IBJ131072 IBJ131074:IBJ196608 IBJ196610:IBJ262144 IBJ262146:IBJ327680 IBJ327682:IBJ393216 IBJ393218:IBJ458752 IBJ458754:IBJ524288 IBJ524290:IBJ589824 IBJ589826:IBJ655360 IBJ655362:IBJ720896 IBJ720898:IBJ786432 IBJ786434:IBJ851968 IBJ851970:IBJ917504 IBJ917506:IBJ983040 IBJ983042:IBJ1048576 ILF2:ILF65536 ILF65538:ILF131072 ILF131074:ILF196608 ILF196610:ILF262144 ILF262146:ILF327680 ILF327682:ILF393216 ILF393218:ILF458752 ILF458754:ILF524288 ILF524290:ILF589824 ILF589826:ILF655360 ILF655362:ILF720896 ILF720898:ILF786432 ILF786434:ILF851968 ILF851970:ILF917504 ILF917506:ILF983040 ILF983042:ILF1048576 IVB2:IVB65536 IVB65538:IVB131072 IVB131074:IVB196608 IVB196610:IVB262144 IVB262146:IVB327680 IVB327682:IVB393216 IVB393218:IVB458752 IVB458754:IVB524288 IVB524290:IVB589824 IVB589826:IVB655360 IVB655362:IVB720896 IVB720898:IVB786432 IVB786434:IVB851968 IVB851970:IVB917504 IVB917506:IVB983040 IVB983042:IVB1048576 JEX2:JEX65536 JEX65538:JEX131072 JEX131074:JEX196608 JEX196610:JEX262144 JEX262146:JEX327680 JEX327682:JEX393216 JEX393218:JEX458752 JEX458754:JEX524288 JEX524290:JEX589824 JEX589826:JEX655360 JEX655362:JEX720896 JEX720898:JEX786432 JEX786434:JEX851968 JEX851970:JEX917504 JEX917506:JEX983040 JEX983042:JEX1048576 JOT2:JOT65536 JOT65538:JOT131072 JOT131074:JOT196608 JOT196610:JOT262144 JOT262146:JOT327680 JOT327682:JOT393216 JOT393218:JOT458752 JOT458754:JOT524288 JOT524290:JOT589824 JOT589826:JOT655360 JOT655362:JOT720896 JOT720898:JOT786432 JOT786434:JOT851968 JOT851970:JOT917504 JOT917506:JOT983040 JOT983042:JOT1048576 JYP2:JYP65536 JYP65538:JYP131072 JYP131074:JYP196608 JYP196610:JYP262144 JYP262146:JYP327680 JYP327682:JYP393216 JYP393218:JYP458752 JYP458754:JYP524288 JYP524290:JYP589824 JYP589826:JYP655360 JYP655362:JYP720896 JYP720898:JYP786432 JYP786434:JYP851968 JYP851970:JYP917504 JYP917506:JYP983040 JYP983042:JYP1048576 KIL2:KIL65536 KIL65538:KIL131072 KIL131074:KIL196608 KIL196610:KIL262144 KIL262146:KIL327680 KIL327682:KIL393216 KIL393218:KIL458752 KIL458754:KIL524288 KIL524290:KIL589824 KIL589826:KIL655360 KIL655362:KIL720896 KIL720898:KIL786432 KIL786434:KIL851968 KIL851970:KIL917504 KIL917506:KIL983040 KIL983042:KIL1048576 KSH2:KSH65536 KSH65538:KSH131072 KSH131074:KSH196608 KSH196610:KSH262144 KSH262146:KSH327680 KSH327682:KSH393216 KSH393218:KSH458752 KSH458754:KSH524288 KSH524290:KSH589824 KSH589826:KSH655360 KSH655362:KSH720896 KSH720898:KSH786432 KSH786434:KSH851968 KSH851970:KSH917504 KSH917506:KSH983040 KSH983042:KSH1048576 LCD2:LCD65536 LCD65538:LCD131072 LCD131074:LCD196608 LCD196610:LCD262144 LCD262146:LCD327680 LCD327682:LCD393216 LCD393218:LCD458752 LCD458754:LCD524288 LCD524290:LCD589824 LCD589826:LCD655360 LCD655362:LCD720896 LCD720898:LCD786432 LCD786434:LCD851968 LCD851970:LCD917504 LCD917506:LCD983040 LCD983042:LCD1048576 LLZ2:LLZ65536 LLZ65538:LLZ131072 LLZ131074:LLZ196608 LLZ196610:LLZ262144 LLZ262146:LLZ327680 LLZ327682:LLZ393216 LLZ393218:LLZ458752 LLZ458754:LLZ524288 LLZ524290:LLZ589824 LLZ589826:LLZ655360 LLZ655362:LLZ720896 LLZ720898:LLZ786432 LLZ786434:LLZ851968 LLZ851970:LLZ917504 LLZ917506:LLZ983040 LLZ983042:LLZ1048576 LVV2:LVV65536 LVV65538:LVV131072 LVV131074:LVV196608 LVV196610:LVV262144 LVV262146:LVV327680 LVV327682:LVV393216 LVV393218:LVV458752 LVV458754:LVV524288 LVV524290:LVV589824 LVV589826:LVV655360 LVV655362:LVV720896 LVV720898:LVV786432 LVV786434:LVV851968 LVV851970:LVV917504 LVV917506:LVV983040 LVV983042:LVV1048576 MFR2:MFR65536 MFR65538:MFR131072 MFR131074:MFR196608 MFR196610:MFR262144 MFR262146:MFR327680 MFR327682:MFR393216 MFR393218:MFR458752 MFR458754:MFR524288 MFR524290:MFR589824 MFR589826:MFR655360 MFR655362:MFR720896 MFR720898:MFR786432 MFR786434:MFR851968 MFR851970:MFR917504 MFR917506:MFR983040 MFR983042:MFR1048576 MPN2:MPN65536 MPN65538:MPN131072 MPN131074:MPN196608 MPN196610:MPN262144 MPN262146:MPN327680 MPN327682:MPN393216 MPN393218:MPN458752 MPN458754:MPN524288 MPN524290:MPN589824 MPN589826:MPN655360 MPN655362:MPN720896 MPN720898:MPN786432 MPN786434:MPN851968 MPN851970:MPN917504 MPN917506:MPN983040 MPN983042:MPN1048576 MZJ2:MZJ65536 MZJ65538:MZJ131072 MZJ131074:MZJ196608 MZJ196610:MZJ262144 MZJ262146:MZJ327680 MZJ327682:MZJ393216 MZJ393218:MZJ458752 MZJ458754:MZJ524288 MZJ524290:MZJ589824 MZJ589826:MZJ655360 MZJ655362:MZJ720896 MZJ720898:MZJ786432 MZJ786434:MZJ851968 MZJ851970:MZJ917504 MZJ917506:MZJ983040 MZJ983042:MZJ1048576 NJF2:NJF65536 NJF65538:NJF131072 NJF131074:NJF196608 NJF196610:NJF262144 NJF262146:NJF327680 NJF327682:NJF393216 NJF393218:NJF458752 NJF458754:NJF524288 NJF524290:NJF589824 NJF589826:NJF655360 NJF655362:NJF720896 NJF720898:NJF786432 NJF786434:NJF851968 NJF851970:NJF917504 NJF917506:NJF983040 NJF983042:NJF1048576 NTB2:NTB65536 NTB65538:NTB131072 NTB131074:NTB196608 NTB196610:NTB262144 NTB262146:NTB327680 NTB327682:NTB393216 NTB393218:NTB458752 NTB458754:NTB524288 NTB524290:NTB589824 NTB589826:NTB655360 NTB655362:NTB720896 NTB720898:NTB786432 NTB786434:NTB851968 NTB851970:NTB917504 NTB917506:NTB983040 NTB983042:NTB1048576 OCX2:OCX65536 OCX65538:OCX131072 OCX131074:OCX196608 OCX196610:OCX262144 OCX262146:OCX327680 OCX327682:OCX393216 OCX393218:OCX458752 OCX458754:OCX524288 OCX524290:OCX589824 OCX589826:OCX655360 OCX655362:OCX720896 OCX720898:OCX786432 OCX786434:OCX851968 OCX851970:OCX917504 OCX917506:OCX983040 OCX983042:OCX1048576 OMT2:OMT65536 OMT65538:OMT131072 OMT131074:OMT196608 OMT196610:OMT262144 OMT262146:OMT327680 OMT327682:OMT393216 OMT393218:OMT458752 OMT458754:OMT524288 OMT524290:OMT589824 OMT589826:OMT655360 OMT655362:OMT720896 OMT720898:OMT786432 OMT786434:OMT851968 OMT851970:OMT917504 OMT917506:OMT983040 OMT983042:OMT1048576 OWP2:OWP65536 OWP65538:OWP131072 OWP131074:OWP196608 OWP196610:OWP262144 OWP262146:OWP327680 OWP327682:OWP393216 OWP393218:OWP458752 OWP458754:OWP524288 OWP524290:OWP589824 OWP589826:OWP655360 OWP655362:OWP720896 OWP720898:OWP786432 OWP786434:OWP851968 OWP851970:OWP917504 OWP917506:OWP983040 OWP983042:OWP1048576 PGL2:PGL65536 PGL65538:PGL131072 PGL131074:PGL196608 PGL196610:PGL262144 PGL262146:PGL327680 PGL327682:PGL393216 PGL393218:PGL458752 PGL458754:PGL524288 PGL524290:PGL589824 PGL589826:PGL655360 PGL655362:PGL720896 PGL720898:PGL786432 PGL786434:PGL851968 PGL851970:PGL917504 PGL917506:PGL983040 PGL983042:PGL1048576 PQH2:PQH65536 PQH65538:PQH131072 PQH131074:PQH196608 PQH196610:PQH262144 PQH262146:PQH327680 PQH327682:PQH393216 PQH393218:PQH458752 PQH458754:PQH524288 PQH524290:PQH589824 PQH589826:PQH655360 PQH655362:PQH720896 PQH720898:PQH786432 PQH786434:PQH851968 PQH851970:PQH917504 PQH917506:PQH983040 PQH983042:PQH1048576 QAD2:QAD65536 QAD65538:QAD131072 QAD131074:QAD196608 QAD196610:QAD262144 QAD262146:QAD327680 QAD327682:QAD393216 QAD393218:QAD458752 QAD458754:QAD524288 QAD524290:QAD589824 QAD589826:QAD655360 QAD655362:QAD720896 QAD720898:QAD786432 QAD786434:QAD851968 QAD851970:QAD917504 QAD917506:QAD983040 QAD983042:QAD1048576 QJZ2:QJZ65536 QJZ65538:QJZ131072 QJZ131074:QJZ196608 QJZ196610:QJZ262144 QJZ262146:QJZ327680 QJZ327682:QJZ393216 QJZ393218:QJZ458752 QJZ458754:QJZ524288 QJZ524290:QJZ589824 QJZ589826:QJZ655360 QJZ655362:QJZ720896 QJZ720898:QJZ786432 QJZ786434:QJZ851968 QJZ851970:QJZ917504 QJZ917506:QJZ983040 QJZ983042:QJZ1048576 QTV2:QTV65536 QTV65538:QTV131072 QTV131074:QTV196608 QTV196610:QTV262144 QTV262146:QTV327680 QTV327682:QTV393216 QTV393218:QTV458752 QTV458754:QTV524288 QTV524290:QTV589824 QTV589826:QTV655360 QTV655362:QTV720896 QTV720898:QTV786432 QTV786434:QTV851968 QTV851970:QTV917504 QTV917506:QTV983040 QTV983042:QTV1048576 RDR2:RDR65536 RDR65538:RDR131072 RDR131074:RDR196608 RDR196610:RDR262144 RDR262146:RDR327680 RDR327682:RDR393216 RDR393218:RDR458752 RDR458754:RDR524288 RDR524290:RDR589824 RDR589826:RDR655360 RDR655362:RDR720896 RDR720898:RDR786432 RDR786434:RDR851968 RDR851970:RDR917504 RDR917506:RDR983040 RDR983042:RDR1048576 RNN2:RNN65536 RNN65538:RNN131072 RNN131074:RNN196608 RNN196610:RNN262144 RNN262146:RNN327680 RNN327682:RNN393216 RNN393218:RNN458752 RNN458754:RNN524288 RNN524290:RNN589824 RNN589826:RNN655360 RNN655362:RNN720896 RNN720898:RNN786432 RNN786434:RNN851968 RNN851970:RNN917504 RNN917506:RNN983040 RNN983042:RNN1048576 RXJ2:RXJ65536 RXJ65538:RXJ131072 RXJ131074:RXJ196608 RXJ196610:RXJ262144 RXJ262146:RXJ327680 RXJ327682:RXJ393216 RXJ393218:RXJ458752 RXJ458754:RXJ524288 RXJ524290:RXJ589824 RXJ589826:RXJ655360 RXJ655362:RXJ720896 RXJ720898:RXJ786432 RXJ786434:RXJ851968 RXJ851970:RXJ917504 RXJ917506:RXJ983040 RXJ983042:RXJ1048576 SHF2:SHF65536 SHF65538:SHF131072 SHF131074:SHF196608 SHF196610:SHF262144 SHF262146:SHF327680 SHF327682:SHF393216 SHF393218:SHF458752 SHF458754:SHF524288 SHF524290:SHF589824 SHF589826:SHF655360 SHF655362:SHF720896 SHF720898:SHF786432 SHF786434:SHF851968 SHF851970:SHF917504 SHF917506:SHF983040 SHF983042:SHF1048576 SRB2:SRB65536 SRB65538:SRB131072 SRB131074:SRB196608 SRB196610:SRB262144 SRB262146:SRB327680 SRB327682:SRB393216 SRB393218:SRB458752 SRB458754:SRB524288 SRB524290:SRB589824 SRB589826:SRB655360 SRB655362:SRB720896 SRB720898:SRB786432 SRB786434:SRB851968 SRB851970:SRB917504 SRB917506:SRB983040 SRB983042:SRB1048576 TAX2:TAX65536 TAX65538:TAX131072 TAX131074:TAX196608 TAX196610:TAX262144 TAX262146:TAX327680 TAX327682:TAX393216 TAX393218:TAX458752 TAX458754:TAX524288 TAX524290:TAX589824 TAX589826:TAX655360 TAX655362:TAX720896 TAX720898:TAX786432 TAX786434:TAX851968 TAX851970:TAX917504 TAX917506:TAX983040 TAX983042:TAX1048576 TKT2:TKT65536 TKT65538:TKT131072 TKT131074:TKT196608 TKT196610:TKT262144 TKT262146:TKT327680 TKT327682:TKT393216 TKT393218:TKT458752 TKT458754:TKT524288 TKT524290:TKT589824 TKT589826:TKT655360 TKT655362:TKT720896 TKT720898:TKT786432 TKT786434:TKT851968 TKT851970:TKT917504 TKT917506:TKT983040 TKT983042:TKT1048576 TUP2:TUP65536 TUP65538:TUP131072 TUP131074:TUP196608 TUP196610:TUP262144 TUP262146:TUP327680 TUP327682:TUP393216 TUP393218:TUP458752 TUP458754:TUP524288 TUP524290:TUP589824 TUP589826:TUP655360 TUP655362:TUP720896 TUP720898:TUP786432 TUP786434:TUP851968 TUP851970:TUP917504 TUP917506:TUP983040 TUP983042:TUP1048576 UEL2:UEL65536 UEL65538:UEL131072 UEL131074:UEL196608 UEL196610:UEL262144 UEL262146:UEL327680 UEL327682:UEL393216 UEL393218:UEL458752 UEL458754:UEL524288 UEL524290:UEL589824 UEL589826:UEL655360 UEL655362:UEL720896 UEL720898:UEL786432 UEL786434:UEL851968 UEL851970:UEL917504 UEL917506:UEL983040 UEL983042:UEL1048576 UOH2:UOH65536 UOH65538:UOH131072 UOH131074:UOH196608 UOH196610:UOH262144 UOH262146:UOH327680 UOH327682:UOH393216 UOH393218:UOH458752 UOH458754:UOH524288 UOH524290:UOH589824 UOH589826:UOH655360 UOH655362:UOH720896 UOH720898:UOH786432 UOH786434:UOH851968 UOH851970:UOH917504 UOH917506:UOH983040 UOH983042:UOH1048576 UYD2:UYD65536 UYD65538:UYD131072 UYD131074:UYD196608 UYD196610:UYD262144 UYD262146:UYD327680 UYD327682:UYD393216 UYD393218:UYD458752 UYD458754:UYD524288 UYD524290:UYD589824 UYD589826:UYD655360 UYD655362:UYD720896 UYD720898:UYD786432 UYD786434:UYD851968 UYD851970:UYD917504 UYD917506:UYD983040 UYD983042:UYD1048576 VHZ2:VHZ65536 VHZ65538:VHZ131072 VHZ131074:VHZ196608 VHZ196610:VHZ262144 VHZ262146:VHZ327680 VHZ327682:VHZ393216 VHZ393218:VHZ458752 VHZ458754:VHZ524288 VHZ524290:VHZ589824 VHZ589826:VHZ655360 VHZ655362:VHZ720896 VHZ720898:VHZ786432 VHZ786434:VHZ851968 VHZ851970:VHZ917504 VHZ917506:VHZ983040 VHZ983042:VHZ1048576 VRV2:VRV65536 VRV65538:VRV131072 VRV131074:VRV196608 VRV196610:VRV262144 VRV262146:VRV327680 VRV327682:VRV393216 VRV393218:VRV458752 VRV458754:VRV524288 VRV524290:VRV589824 VRV589826:VRV655360 VRV655362:VRV720896 VRV720898:VRV786432 VRV786434:VRV851968 VRV851970:VRV917504 VRV917506:VRV983040 VRV983042:VRV1048576 WBR2:WBR65536 WBR65538:WBR131072 WBR131074:WBR196608 WBR196610:WBR262144 WBR262146:WBR327680 WBR327682:WBR393216 WBR393218:WBR458752 WBR458754:WBR524288 WBR524290:WBR589824 WBR589826:WBR655360 WBR655362:WBR720896 WBR720898:WBR786432 WBR786434:WBR851968 WBR851970:WBR917504 WBR917506:WBR983040 WBR983042:WBR1048576 WLN2:WLN65536 WLN65538:WLN131072 WLN131074:WLN196608 WLN196610:WLN262144 WLN262146:WLN327680 WLN327682:WLN393216 WLN393218:WLN458752 WLN458754:WLN524288 WLN524290:WLN589824 WLN589826:WLN655360 WLN655362:WLN720896 WLN720898:WLN786432 WLN786434:WLN851968 WLN851970:WLN917504 WLN917506:WLN983040 WLN983042:WLN1048576 WVJ2:WVJ65536 WVJ65538:WVJ131072 WVJ131074:WVJ196608 WVJ196610:WVJ262144 WVJ262146:WVJ327680 WVJ327682:WVJ393216 WVJ393218:WVJ458752 WVJ458754:WVJ524288 WVJ524290:WVJ589824 WVJ589826:WVJ655360 WVJ655362:WVJ720896 WVJ720898:WVJ786432 WVJ786434:WVJ851968 WVJ851970:WVJ917504 WVJ917506:WVJ983040 WVJ983042:WVJ1048576">
      <formula1>证件类别</formula1>
    </dataValidation>
    <dataValidation type="list" allowBlank="1" showInputMessage="1" showErrorMessage="1" sqref="C2:C65536 C65538:C131072 C131074:C196608 C196610:C262144 C262146:C327680 C327682:C393216 C393218:C458752 C458754:C524288 C524290:C589824 C589826:C655360 C655362:C720896 C720898:C786432 C786434:C851968 C851970:C917504 C917506:C983040 C983042:C1048576 IY2:IY65536 IY65538:IY131072 IY131074:IY196608 IY196610:IY262144 IY262146:IY327680 IY327682:IY393216 IY393218:IY458752 IY458754:IY524288 IY524290:IY589824 IY589826:IY655360 IY655362:IY720896 IY720898:IY786432 IY786434:IY851968 IY851970:IY917504 IY917506:IY983040 IY983042:IY1048576 SU2:SU65536 SU65538:SU131072 SU131074:SU196608 SU196610:SU262144 SU262146:SU327680 SU327682:SU393216 SU393218:SU458752 SU458754:SU524288 SU524290:SU589824 SU589826:SU655360 SU655362:SU720896 SU720898:SU786432 SU786434:SU851968 SU851970:SU917504 SU917506:SU983040 SU983042:SU1048576 ACQ2:ACQ65536 ACQ65538:ACQ131072 ACQ131074:ACQ196608 ACQ196610:ACQ262144 ACQ262146:ACQ327680 ACQ327682:ACQ393216 ACQ393218:ACQ458752 ACQ458754:ACQ524288 ACQ524290:ACQ589824 ACQ589826:ACQ655360 ACQ655362:ACQ720896 ACQ720898:ACQ786432 ACQ786434:ACQ851968 ACQ851970:ACQ917504 ACQ917506:ACQ983040 ACQ983042:ACQ1048576 AMM2:AMM65536 AMM65538:AMM131072 AMM131074:AMM196608 AMM196610:AMM262144 AMM262146:AMM327680 AMM327682:AMM393216 AMM393218:AMM458752 AMM458754:AMM524288 AMM524290:AMM589824 AMM589826:AMM655360 AMM655362:AMM720896 AMM720898:AMM786432 AMM786434:AMM851968 AMM851970:AMM917504 AMM917506:AMM983040 AMM983042:AMM1048576 AWI2:AWI65536 AWI65538:AWI131072 AWI131074:AWI196608 AWI196610:AWI262144 AWI262146:AWI327680 AWI327682:AWI393216 AWI393218:AWI458752 AWI458754:AWI524288 AWI524290:AWI589824 AWI589826:AWI655360 AWI655362:AWI720896 AWI720898:AWI786432 AWI786434:AWI851968 AWI851970:AWI917504 AWI917506:AWI983040 AWI983042:AWI1048576 BGE2:BGE65536 BGE65538:BGE131072 BGE131074:BGE196608 BGE196610:BGE262144 BGE262146:BGE327680 BGE327682:BGE393216 BGE393218:BGE458752 BGE458754:BGE524288 BGE524290:BGE589824 BGE589826:BGE655360 BGE655362:BGE720896 BGE720898:BGE786432 BGE786434:BGE851968 BGE851970:BGE917504 BGE917506:BGE983040 BGE983042:BGE1048576 BQA2:BQA65536 BQA65538:BQA131072 BQA131074:BQA196608 BQA196610:BQA262144 BQA262146:BQA327680 BQA327682:BQA393216 BQA393218:BQA458752 BQA458754:BQA524288 BQA524290:BQA589824 BQA589826:BQA655360 BQA655362:BQA720896 BQA720898:BQA786432 BQA786434:BQA851968 BQA851970:BQA917504 BQA917506:BQA983040 BQA983042:BQA1048576 BZW2:BZW65536 BZW65538:BZW131072 BZW131074:BZW196608 BZW196610:BZW262144 BZW262146:BZW327680 BZW327682:BZW393216 BZW393218:BZW458752 BZW458754:BZW524288 BZW524290:BZW589824 BZW589826:BZW655360 BZW655362:BZW720896 BZW720898:BZW786432 BZW786434:BZW851968 BZW851970:BZW917504 BZW917506:BZW983040 BZW983042:BZW1048576 CJS2:CJS65536 CJS65538:CJS131072 CJS131074:CJS196608 CJS196610:CJS262144 CJS262146:CJS327680 CJS327682:CJS393216 CJS393218:CJS458752 CJS458754:CJS524288 CJS524290:CJS589824 CJS589826:CJS655360 CJS655362:CJS720896 CJS720898:CJS786432 CJS786434:CJS851968 CJS851970:CJS917504 CJS917506:CJS983040 CJS983042:CJS1048576 CTO2:CTO65536 CTO65538:CTO131072 CTO131074:CTO196608 CTO196610:CTO262144 CTO262146:CTO327680 CTO327682:CTO393216 CTO393218:CTO458752 CTO458754:CTO524288 CTO524290:CTO589824 CTO589826:CTO655360 CTO655362:CTO720896 CTO720898:CTO786432 CTO786434:CTO851968 CTO851970:CTO917504 CTO917506:CTO983040 CTO983042:CTO1048576 DDK2:DDK65536 DDK65538:DDK131072 DDK131074:DDK196608 DDK196610:DDK262144 DDK262146:DDK327680 DDK327682:DDK393216 DDK393218:DDK458752 DDK458754:DDK524288 DDK524290:DDK589824 DDK589826:DDK655360 DDK655362:DDK720896 DDK720898:DDK786432 DDK786434:DDK851968 DDK851970:DDK917504 DDK917506:DDK983040 DDK983042:DDK1048576 DNG2:DNG65536 DNG65538:DNG131072 DNG131074:DNG196608 DNG196610:DNG262144 DNG262146:DNG327680 DNG327682:DNG393216 DNG393218:DNG458752 DNG458754:DNG524288 DNG524290:DNG589824 DNG589826:DNG655360 DNG655362:DNG720896 DNG720898:DNG786432 DNG786434:DNG851968 DNG851970:DNG917504 DNG917506:DNG983040 DNG983042:DNG1048576 DXC2:DXC65536 DXC65538:DXC131072 DXC131074:DXC196608 DXC196610:DXC262144 DXC262146:DXC327680 DXC327682:DXC393216 DXC393218:DXC458752 DXC458754:DXC524288 DXC524290:DXC589824 DXC589826:DXC655360 DXC655362:DXC720896 DXC720898:DXC786432 DXC786434:DXC851968 DXC851970:DXC917504 DXC917506:DXC983040 DXC983042:DXC1048576 EGY2:EGY65536 EGY65538:EGY131072 EGY131074:EGY196608 EGY196610:EGY262144 EGY262146:EGY327680 EGY327682:EGY393216 EGY393218:EGY458752 EGY458754:EGY524288 EGY524290:EGY589824 EGY589826:EGY655360 EGY655362:EGY720896 EGY720898:EGY786432 EGY786434:EGY851968 EGY851970:EGY917504 EGY917506:EGY983040 EGY983042:EGY1048576 EQU2:EQU65536 EQU65538:EQU131072 EQU131074:EQU196608 EQU196610:EQU262144 EQU262146:EQU327680 EQU327682:EQU393216 EQU393218:EQU458752 EQU458754:EQU524288 EQU524290:EQU589824 EQU589826:EQU655360 EQU655362:EQU720896 EQU720898:EQU786432 EQU786434:EQU851968 EQU851970:EQU917504 EQU917506:EQU983040 EQU983042:EQU1048576 FAQ2:FAQ65536 FAQ65538:FAQ131072 FAQ131074:FAQ196608 FAQ196610:FAQ262144 FAQ262146:FAQ327680 FAQ327682:FAQ393216 FAQ393218:FAQ458752 FAQ458754:FAQ524288 FAQ524290:FAQ589824 FAQ589826:FAQ655360 FAQ655362:FAQ720896 FAQ720898:FAQ786432 FAQ786434:FAQ851968 FAQ851970:FAQ917504 FAQ917506:FAQ983040 FAQ983042:FAQ1048576 FKM2:FKM65536 FKM65538:FKM131072 FKM131074:FKM196608 FKM196610:FKM262144 FKM262146:FKM327680 FKM327682:FKM393216 FKM393218:FKM458752 FKM458754:FKM524288 FKM524290:FKM589824 FKM589826:FKM655360 FKM655362:FKM720896 FKM720898:FKM786432 FKM786434:FKM851968 FKM851970:FKM917504 FKM917506:FKM983040 FKM983042:FKM1048576 FUI2:FUI65536 FUI65538:FUI131072 FUI131074:FUI196608 FUI196610:FUI262144 FUI262146:FUI327680 FUI327682:FUI393216 FUI393218:FUI458752 FUI458754:FUI524288 FUI524290:FUI589824 FUI589826:FUI655360 FUI655362:FUI720896 FUI720898:FUI786432 FUI786434:FUI851968 FUI851970:FUI917504 FUI917506:FUI983040 FUI983042:FUI1048576 GEE2:GEE65536 GEE65538:GEE131072 GEE131074:GEE196608 GEE196610:GEE262144 GEE262146:GEE327680 GEE327682:GEE393216 GEE393218:GEE458752 GEE458754:GEE524288 GEE524290:GEE589824 GEE589826:GEE655360 GEE655362:GEE720896 GEE720898:GEE786432 GEE786434:GEE851968 GEE851970:GEE917504 GEE917506:GEE983040 GEE983042:GEE1048576 GOA2:GOA65536 GOA65538:GOA131072 GOA131074:GOA196608 GOA196610:GOA262144 GOA262146:GOA327680 GOA327682:GOA393216 GOA393218:GOA458752 GOA458754:GOA524288 GOA524290:GOA589824 GOA589826:GOA655360 GOA655362:GOA720896 GOA720898:GOA786432 GOA786434:GOA851968 GOA851970:GOA917504 GOA917506:GOA983040 GOA983042:GOA1048576 GXW2:GXW65536 GXW65538:GXW131072 GXW131074:GXW196608 GXW196610:GXW262144 GXW262146:GXW327680 GXW327682:GXW393216 GXW393218:GXW458752 GXW458754:GXW524288 GXW524290:GXW589824 GXW589826:GXW655360 GXW655362:GXW720896 GXW720898:GXW786432 GXW786434:GXW851968 GXW851970:GXW917504 GXW917506:GXW983040 GXW983042:GXW1048576 HHS2:HHS65536 HHS65538:HHS131072 HHS131074:HHS196608 HHS196610:HHS262144 HHS262146:HHS327680 HHS327682:HHS393216 HHS393218:HHS458752 HHS458754:HHS524288 HHS524290:HHS589824 HHS589826:HHS655360 HHS655362:HHS720896 HHS720898:HHS786432 HHS786434:HHS851968 HHS851970:HHS917504 HHS917506:HHS983040 HHS983042:HHS1048576 HRO2:HRO65536 HRO65538:HRO131072 HRO131074:HRO196608 HRO196610:HRO262144 HRO262146:HRO327680 HRO327682:HRO393216 HRO393218:HRO458752 HRO458754:HRO524288 HRO524290:HRO589824 HRO589826:HRO655360 HRO655362:HRO720896 HRO720898:HRO786432 HRO786434:HRO851968 HRO851970:HRO917504 HRO917506:HRO983040 HRO983042:HRO1048576 IBK2:IBK65536 IBK65538:IBK131072 IBK131074:IBK196608 IBK196610:IBK262144 IBK262146:IBK327680 IBK327682:IBK393216 IBK393218:IBK458752 IBK458754:IBK524288 IBK524290:IBK589824 IBK589826:IBK655360 IBK655362:IBK720896 IBK720898:IBK786432 IBK786434:IBK851968 IBK851970:IBK917504 IBK917506:IBK983040 IBK983042:IBK1048576 ILG2:ILG65536 ILG65538:ILG131072 ILG131074:ILG196608 ILG196610:ILG262144 ILG262146:ILG327680 ILG327682:ILG393216 ILG393218:ILG458752 ILG458754:ILG524288 ILG524290:ILG589824 ILG589826:ILG655360 ILG655362:ILG720896 ILG720898:ILG786432 ILG786434:ILG851968 ILG851970:ILG917504 ILG917506:ILG983040 ILG983042:ILG1048576 IVC2:IVC65536 IVC65538:IVC131072 IVC131074:IVC196608 IVC196610:IVC262144 IVC262146:IVC327680 IVC327682:IVC393216 IVC393218:IVC458752 IVC458754:IVC524288 IVC524290:IVC589824 IVC589826:IVC655360 IVC655362:IVC720896 IVC720898:IVC786432 IVC786434:IVC851968 IVC851970:IVC917504 IVC917506:IVC983040 IVC983042:IVC1048576 JEY2:JEY65536 JEY65538:JEY131072 JEY131074:JEY196608 JEY196610:JEY262144 JEY262146:JEY327680 JEY327682:JEY393216 JEY393218:JEY458752 JEY458754:JEY524288 JEY524290:JEY589824 JEY589826:JEY655360 JEY655362:JEY720896 JEY720898:JEY786432 JEY786434:JEY851968 JEY851970:JEY917504 JEY917506:JEY983040 JEY983042:JEY1048576 JOU2:JOU65536 JOU65538:JOU131072 JOU131074:JOU196608 JOU196610:JOU262144 JOU262146:JOU327680 JOU327682:JOU393216 JOU393218:JOU458752 JOU458754:JOU524288 JOU524290:JOU589824 JOU589826:JOU655360 JOU655362:JOU720896 JOU720898:JOU786432 JOU786434:JOU851968 JOU851970:JOU917504 JOU917506:JOU983040 JOU983042:JOU1048576 JYQ2:JYQ65536 JYQ65538:JYQ131072 JYQ131074:JYQ196608 JYQ196610:JYQ262144 JYQ262146:JYQ327680 JYQ327682:JYQ393216 JYQ393218:JYQ458752 JYQ458754:JYQ524288 JYQ524290:JYQ589824 JYQ589826:JYQ655360 JYQ655362:JYQ720896 JYQ720898:JYQ786432 JYQ786434:JYQ851968 JYQ851970:JYQ917504 JYQ917506:JYQ983040 JYQ983042:JYQ1048576 KIM2:KIM65536 KIM65538:KIM131072 KIM131074:KIM196608 KIM196610:KIM262144 KIM262146:KIM327680 KIM327682:KIM393216 KIM393218:KIM458752 KIM458754:KIM524288 KIM524290:KIM589824 KIM589826:KIM655360 KIM655362:KIM720896 KIM720898:KIM786432 KIM786434:KIM851968 KIM851970:KIM917504 KIM917506:KIM983040 KIM983042:KIM1048576 KSI2:KSI65536 KSI65538:KSI131072 KSI131074:KSI196608 KSI196610:KSI262144 KSI262146:KSI327680 KSI327682:KSI393216 KSI393218:KSI458752 KSI458754:KSI524288 KSI524290:KSI589824 KSI589826:KSI655360 KSI655362:KSI720896 KSI720898:KSI786432 KSI786434:KSI851968 KSI851970:KSI917504 KSI917506:KSI983040 KSI983042:KSI1048576 LCE2:LCE65536 LCE65538:LCE131072 LCE131074:LCE196608 LCE196610:LCE262144 LCE262146:LCE327680 LCE327682:LCE393216 LCE393218:LCE458752 LCE458754:LCE524288 LCE524290:LCE589824 LCE589826:LCE655360 LCE655362:LCE720896 LCE720898:LCE786432 LCE786434:LCE851968 LCE851970:LCE917504 LCE917506:LCE983040 LCE983042:LCE1048576 LMA2:LMA65536 LMA65538:LMA131072 LMA131074:LMA196608 LMA196610:LMA262144 LMA262146:LMA327680 LMA327682:LMA393216 LMA393218:LMA458752 LMA458754:LMA524288 LMA524290:LMA589824 LMA589826:LMA655360 LMA655362:LMA720896 LMA720898:LMA786432 LMA786434:LMA851968 LMA851970:LMA917504 LMA917506:LMA983040 LMA983042:LMA1048576 LVW2:LVW65536 LVW65538:LVW131072 LVW131074:LVW196608 LVW196610:LVW262144 LVW262146:LVW327680 LVW327682:LVW393216 LVW393218:LVW458752 LVW458754:LVW524288 LVW524290:LVW589824 LVW589826:LVW655360 LVW655362:LVW720896 LVW720898:LVW786432 LVW786434:LVW851968 LVW851970:LVW917504 LVW917506:LVW983040 LVW983042:LVW1048576 MFS2:MFS65536 MFS65538:MFS131072 MFS131074:MFS196608 MFS196610:MFS262144 MFS262146:MFS327680 MFS327682:MFS393216 MFS393218:MFS458752 MFS458754:MFS524288 MFS524290:MFS589824 MFS589826:MFS655360 MFS655362:MFS720896 MFS720898:MFS786432 MFS786434:MFS851968 MFS851970:MFS917504 MFS917506:MFS983040 MFS983042:MFS1048576 MPO2:MPO65536 MPO65538:MPO131072 MPO131074:MPO196608 MPO196610:MPO262144 MPO262146:MPO327680 MPO327682:MPO393216 MPO393218:MPO458752 MPO458754:MPO524288 MPO524290:MPO589824 MPO589826:MPO655360 MPO655362:MPO720896 MPO720898:MPO786432 MPO786434:MPO851968 MPO851970:MPO917504 MPO917506:MPO983040 MPO983042:MPO1048576 MZK2:MZK65536 MZK65538:MZK131072 MZK131074:MZK196608 MZK196610:MZK262144 MZK262146:MZK327680 MZK327682:MZK393216 MZK393218:MZK458752 MZK458754:MZK524288 MZK524290:MZK589824 MZK589826:MZK655360 MZK655362:MZK720896 MZK720898:MZK786432 MZK786434:MZK851968 MZK851970:MZK917504 MZK917506:MZK983040 MZK983042:MZK1048576 NJG2:NJG65536 NJG65538:NJG131072 NJG131074:NJG196608 NJG196610:NJG262144 NJG262146:NJG327680 NJG327682:NJG393216 NJG393218:NJG458752 NJG458754:NJG524288 NJG524290:NJG589824 NJG589826:NJG655360 NJG655362:NJG720896 NJG720898:NJG786432 NJG786434:NJG851968 NJG851970:NJG917504 NJG917506:NJG983040 NJG983042:NJG1048576 NTC2:NTC65536 NTC65538:NTC131072 NTC131074:NTC196608 NTC196610:NTC262144 NTC262146:NTC327680 NTC327682:NTC393216 NTC393218:NTC458752 NTC458754:NTC524288 NTC524290:NTC589824 NTC589826:NTC655360 NTC655362:NTC720896 NTC720898:NTC786432 NTC786434:NTC851968 NTC851970:NTC917504 NTC917506:NTC983040 NTC983042:NTC1048576 OCY2:OCY65536 OCY65538:OCY131072 OCY131074:OCY196608 OCY196610:OCY262144 OCY262146:OCY327680 OCY327682:OCY393216 OCY393218:OCY458752 OCY458754:OCY524288 OCY524290:OCY589824 OCY589826:OCY655360 OCY655362:OCY720896 OCY720898:OCY786432 OCY786434:OCY851968 OCY851970:OCY917504 OCY917506:OCY983040 OCY983042:OCY1048576 OMU2:OMU65536 OMU65538:OMU131072 OMU131074:OMU196608 OMU196610:OMU262144 OMU262146:OMU327680 OMU327682:OMU393216 OMU393218:OMU458752 OMU458754:OMU524288 OMU524290:OMU589824 OMU589826:OMU655360 OMU655362:OMU720896 OMU720898:OMU786432 OMU786434:OMU851968 OMU851970:OMU917504 OMU917506:OMU983040 OMU983042:OMU1048576 OWQ2:OWQ65536 OWQ65538:OWQ131072 OWQ131074:OWQ196608 OWQ196610:OWQ262144 OWQ262146:OWQ327680 OWQ327682:OWQ393216 OWQ393218:OWQ458752 OWQ458754:OWQ524288 OWQ524290:OWQ589824 OWQ589826:OWQ655360 OWQ655362:OWQ720896 OWQ720898:OWQ786432 OWQ786434:OWQ851968 OWQ851970:OWQ917504 OWQ917506:OWQ983040 OWQ983042:OWQ1048576 PGM2:PGM65536 PGM65538:PGM131072 PGM131074:PGM196608 PGM196610:PGM262144 PGM262146:PGM327680 PGM327682:PGM393216 PGM393218:PGM458752 PGM458754:PGM524288 PGM524290:PGM589824 PGM589826:PGM655360 PGM655362:PGM720896 PGM720898:PGM786432 PGM786434:PGM851968 PGM851970:PGM917504 PGM917506:PGM983040 PGM983042:PGM1048576 PQI2:PQI65536 PQI65538:PQI131072 PQI131074:PQI196608 PQI196610:PQI262144 PQI262146:PQI327680 PQI327682:PQI393216 PQI393218:PQI458752 PQI458754:PQI524288 PQI524290:PQI589824 PQI589826:PQI655360 PQI655362:PQI720896 PQI720898:PQI786432 PQI786434:PQI851968 PQI851970:PQI917504 PQI917506:PQI983040 PQI983042:PQI1048576 QAE2:QAE65536 QAE65538:QAE131072 QAE131074:QAE196608 QAE196610:QAE262144 QAE262146:QAE327680 QAE327682:QAE393216 QAE393218:QAE458752 QAE458754:QAE524288 QAE524290:QAE589824 QAE589826:QAE655360 QAE655362:QAE720896 QAE720898:QAE786432 QAE786434:QAE851968 QAE851970:QAE917504 QAE917506:QAE983040 QAE983042:QAE1048576 QKA2:QKA65536 QKA65538:QKA131072 QKA131074:QKA196608 QKA196610:QKA262144 QKA262146:QKA327680 QKA327682:QKA393216 QKA393218:QKA458752 QKA458754:QKA524288 QKA524290:QKA589824 QKA589826:QKA655360 QKA655362:QKA720896 QKA720898:QKA786432 QKA786434:QKA851968 QKA851970:QKA917504 QKA917506:QKA983040 QKA983042:QKA1048576 QTW2:QTW65536 QTW65538:QTW131072 QTW131074:QTW196608 QTW196610:QTW262144 QTW262146:QTW327680 QTW327682:QTW393216 QTW393218:QTW458752 QTW458754:QTW524288 QTW524290:QTW589824 QTW589826:QTW655360 QTW655362:QTW720896 QTW720898:QTW786432 QTW786434:QTW851968 QTW851970:QTW917504 QTW917506:QTW983040 QTW983042:QTW1048576 RDS2:RDS65536 RDS65538:RDS131072 RDS131074:RDS196608 RDS196610:RDS262144 RDS262146:RDS327680 RDS327682:RDS393216 RDS393218:RDS458752 RDS458754:RDS524288 RDS524290:RDS589824 RDS589826:RDS655360 RDS655362:RDS720896 RDS720898:RDS786432 RDS786434:RDS851968 RDS851970:RDS917504 RDS917506:RDS983040 RDS983042:RDS1048576 RNO2:RNO65536 RNO65538:RNO131072 RNO131074:RNO196608 RNO196610:RNO262144 RNO262146:RNO327680 RNO327682:RNO393216 RNO393218:RNO458752 RNO458754:RNO524288 RNO524290:RNO589824 RNO589826:RNO655360 RNO655362:RNO720896 RNO720898:RNO786432 RNO786434:RNO851968 RNO851970:RNO917504 RNO917506:RNO983040 RNO983042:RNO1048576 RXK2:RXK65536 RXK65538:RXK131072 RXK131074:RXK196608 RXK196610:RXK262144 RXK262146:RXK327680 RXK327682:RXK393216 RXK393218:RXK458752 RXK458754:RXK524288 RXK524290:RXK589824 RXK589826:RXK655360 RXK655362:RXK720896 RXK720898:RXK786432 RXK786434:RXK851968 RXK851970:RXK917504 RXK917506:RXK983040 RXK983042:RXK1048576 SHG2:SHG65536 SHG65538:SHG131072 SHG131074:SHG196608 SHG196610:SHG262144 SHG262146:SHG327680 SHG327682:SHG393216 SHG393218:SHG458752 SHG458754:SHG524288 SHG524290:SHG589824 SHG589826:SHG655360 SHG655362:SHG720896 SHG720898:SHG786432 SHG786434:SHG851968 SHG851970:SHG917504 SHG917506:SHG983040 SHG983042:SHG1048576 SRC2:SRC65536 SRC65538:SRC131072 SRC131074:SRC196608 SRC196610:SRC262144 SRC262146:SRC327680 SRC327682:SRC393216 SRC393218:SRC458752 SRC458754:SRC524288 SRC524290:SRC589824 SRC589826:SRC655360 SRC655362:SRC720896 SRC720898:SRC786432 SRC786434:SRC851968 SRC851970:SRC917504 SRC917506:SRC983040 SRC983042:SRC1048576 TAY2:TAY65536 TAY65538:TAY131072 TAY131074:TAY196608 TAY196610:TAY262144 TAY262146:TAY327680 TAY327682:TAY393216 TAY393218:TAY458752 TAY458754:TAY524288 TAY524290:TAY589824 TAY589826:TAY655360 TAY655362:TAY720896 TAY720898:TAY786432 TAY786434:TAY851968 TAY851970:TAY917504 TAY917506:TAY983040 TAY983042:TAY1048576 TKU2:TKU65536 TKU65538:TKU131072 TKU131074:TKU196608 TKU196610:TKU262144 TKU262146:TKU327680 TKU327682:TKU393216 TKU393218:TKU458752 TKU458754:TKU524288 TKU524290:TKU589824 TKU589826:TKU655360 TKU655362:TKU720896 TKU720898:TKU786432 TKU786434:TKU851968 TKU851970:TKU917504 TKU917506:TKU983040 TKU983042:TKU1048576 TUQ2:TUQ65536 TUQ65538:TUQ131072 TUQ131074:TUQ196608 TUQ196610:TUQ262144 TUQ262146:TUQ327680 TUQ327682:TUQ393216 TUQ393218:TUQ458752 TUQ458754:TUQ524288 TUQ524290:TUQ589824 TUQ589826:TUQ655360 TUQ655362:TUQ720896 TUQ720898:TUQ786432 TUQ786434:TUQ851968 TUQ851970:TUQ917504 TUQ917506:TUQ983040 TUQ983042:TUQ1048576 UEM2:UEM65536 UEM65538:UEM131072 UEM131074:UEM196608 UEM196610:UEM262144 UEM262146:UEM327680 UEM327682:UEM393216 UEM393218:UEM458752 UEM458754:UEM524288 UEM524290:UEM589824 UEM589826:UEM655360 UEM655362:UEM720896 UEM720898:UEM786432 UEM786434:UEM851968 UEM851970:UEM917504 UEM917506:UEM983040 UEM983042:UEM1048576 UOI2:UOI65536 UOI65538:UOI131072 UOI131074:UOI196608 UOI196610:UOI262144 UOI262146:UOI327680 UOI327682:UOI393216 UOI393218:UOI458752 UOI458754:UOI524288 UOI524290:UOI589824 UOI589826:UOI655360 UOI655362:UOI720896 UOI720898:UOI786432 UOI786434:UOI851968 UOI851970:UOI917504 UOI917506:UOI983040 UOI983042:UOI1048576 UYE2:UYE65536 UYE65538:UYE131072 UYE131074:UYE196608 UYE196610:UYE262144 UYE262146:UYE327680 UYE327682:UYE393216 UYE393218:UYE458752 UYE458754:UYE524288 UYE524290:UYE589824 UYE589826:UYE655360 UYE655362:UYE720896 UYE720898:UYE786432 UYE786434:UYE851968 UYE851970:UYE917504 UYE917506:UYE983040 UYE983042:UYE1048576 VIA2:VIA65536 VIA65538:VIA131072 VIA131074:VIA196608 VIA196610:VIA262144 VIA262146:VIA327680 VIA327682:VIA393216 VIA393218:VIA458752 VIA458754:VIA524288 VIA524290:VIA589824 VIA589826:VIA655360 VIA655362:VIA720896 VIA720898:VIA786432 VIA786434:VIA851968 VIA851970:VIA917504 VIA917506:VIA983040 VIA983042:VIA1048576 VRW2:VRW65536 VRW65538:VRW131072 VRW131074:VRW196608 VRW196610:VRW262144 VRW262146:VRW327680 VRW327682:VRW393216 VRW393218:VRW458752 VRW458754:VRW524288 VRW524290:VRW589824 VRW589826:VRW655360 VRW655362:VRW720896 VRW720898:VRW786432 VRW786434:VRW851968 VRW851970:VRW917504 VRW917506:VRW983040 VRW983042:VRW1048576 WBS2:WBS65536 WBS65538:WBS131072 WBS131074:WBS196608 WBS196610:WBS262144 WBS262146:WBS327680 WBS327682:WBS393216 WBS393218:WBS458752 WBS458754:WBS524288 WBS524290:WBS589824 WBS589826:WBS655360 WBS655362:WBS720896 WBS720898:WBS786432 WBS786434:WBS851968 WBS851970:WBS917504 WBS917506:WBS983040 WBS983042:WBS1048576 WLO2:WLO65536 WLO65538:WLO131072 WLO131074:WLO196608 WLO196610:WLO262144 WLO262146:WLO327680 WLO327682:WLO393216 WLO393218:WLO458752 WLO458754:WLO524288 WLO524290:WLO589824 WLO589826:WLO655360 WLO655362:WLO720896 WLO720898:WLO786432 WLO786434:WLO851968 WLO851970:WLO917504 WLO917506:WLO983040 WLO983042:WLO1048576 WVK2:WVK65536 WVK65538:WVK131072 WVK131074:WVK196608 WVK196610:WVK262144 WVK262146:WVK327680 WVK327682:WVK393216 WVK393218:WVK458752 WVK458754:WVK524288 WVK524290:WVK589824 WVK589826:WVK655360 WVK655362:WVK720896 WVK720898:WVK786432 WVK786434:WVK851968 WVK851970:WVK917504 WVK917506:WVK983040 WVK983042:WVK1048576">
      <formula1>国籍</formula1>
    </dataValidation>
    <dataValidation type="list" allowBlank="1" showInputMessage="1" showErrorMessage="1" sqref="E2:E65536 E65538:E131072 E131074:E196608 E196610:E262144 E262146:E327680 E327682:E393216 E393218:E458752 E458754:E524288 E524290:E589824 E589826:E655360 E655362:E720896 E720898:E786432 E786434:E851968 E851970:E917504 E917506:E983040 E983042:E1048576 JA2:JA65536 JA65538:JA131072 JA131074:JA196608 JA196610:JA262144 JA262146:JA327680 JA327682:JA393216 JA393218:JA458752 JA458754:JA524288 JA524290:JA589824 JA589826:JA655360 JA655362:JA720896 JA720898:JA786432 JA786434:JA851968 JA851970:JA917504 JA917506:JA983040 JA983042:JA1048576 SW2:SW65536 SW65538:SW131072 SW131074:SW196608 SW196610:SW262144 SW262146:SW327680 SW327682:SW393216 SW393218:SW458752 SW458754:SW524288 SW524290:SW589824 SW589826:SW655360 SW655362:SW720896 SW720898:SW786432 SW786434:SW851968 SW851970:SW917504 SW917506:SW983040 SW983042:SW1048576 ACS2:ACS65536 ACS65538:ACS131072 ACS131074:ACS196608 ACS196610:ACS262144 ACS262146:ACS327680 ACS327682:ACS393216 ACS393218:ACS458752 ACS458754:ACS524288 ACS524290:ACS589824 ACS589826:ACS655360 ACS655362:ACS720896 ACS720898:ACS786432 ACS786434:ACS851968 ACS851970:ACS917504 ACS917506:ACS983040 ACS983042:ACS1048576 AMO2:AMO65536 AMO65538:AMO131072 AMO131074:AMO196608 AMO196610:AMO262144 AMO262146:AMO327680 AMO327682:AMO393216 AMO393218:AMO458752 AMO458754:AMO524288 AMO524290:AMO589824 AMO589826:AMO655360 AMO655362:AMO720896 AMO720898:AMO786432 AMO786434:AMO851968 AMO851970:AMO917504 AMO917506:AMO983040 AMO983042:AMO1048576 AWK2:AWK65536 AWK65538:AWK131072 AWK131074:AWK196608 AWK196610:AWK262144 AWK262146:AWK327680 AWK327682:AWK393216 AWK393218:AWK458752 AWK458754:AWK524288 AWK524290:AWK589824 AWK589826:AWK655360 AWK655362:AWK720896 AWK720898:AWK786432 AWK786434:AWK851968 AWK851970:AWK917504 AWK917506:AWK983040 AWK983042:AWK1048576 BGG2:BGG65536 BGG65538:BGG131072 BGG131074:BGG196608 BGG196610:BGG262144 BGG262146:BGG327680 BGG327682:BGG393216 BGG393218:BGG458752 BGG458754:BGG524288 BGG524290:BGG589824 BGG589826:BGG655360 BGG655362:BGG720896 BGG720898:BGG786432 BGG786434:BGG851968 BGG851970:BGG917504 BGG917506:BGG983040 BGG983042:BGG1048576 BQC2:BQC65536 BQC65538:BQC131072 BQC131074:BQC196608 BQC196610:BQC262144 BQC262146:BQC327680 BQC327682:BQC393216 BQC393218:BQC458752 BQC458754:BQC524288 BQC524290:BQC589824 BQC589826:BQC655360 BQC655362:BQC720896 BQC720898:BQC786432 BQC786434:BQC851968 BQC851970:BQC917504 BQC917506:BQC983040 BQC983042:BQC1048576 BZY2:BZY65536 BZY65538:BZY131072 BZY131074:BZY196608 BZY196610:BZY262144 BZY262146:BZY327680 BZY327682:BZY393216 BZY393218:BZY458752 BZY458754:BZY524288 BZY524290:BZY589824 BZY589826:BZY655360 BZY655362:BZY720896 BZY720898:BZY786432 BZY786434:BZY851968 BZY851970:BZY917504 BZY917506:BZY983040 BZY983042:BZY1048576 CJU2:CJU65536 CJU65538:CJU131072 CJU131074:CJU196608 CJU196610:CJU262144 CJU262146:CJU327680 CJU327682:CJU393216 CJU393218:CJU458752 CJU458754:CJU524288 CJU524290:CJU589824 CJU589826:CJU655360 CJU655362:CJU720896 CJU720898:CJU786432 CJU786434:CJU851968 CJU851970:CJU917504 CJU917506:CJU983040 CJU983042:CJU1048576 CTQ2:CTQ65536 CTQ65538:CTQ131072 CTQ131074:CTQ196608 CTQ196610:CTQ262144 CTQ262146:CTQ327680 CTQ327682:CTQ393216 CTQ393218:CTQ458752 CTQ458754:CTQ524288 CTQ524290:CTQ589824 CTQ589826:CTQ655360 CTQ655362:CTQ720896 CTQ720898:CTQ786432 CTQ786434:CTQ851968 CTQ851970:CTQ917504 CTQ917506:CTQ983040 CTQ983042:CTQ1048576 DDM2:DDM65536 DDM65538:DDM131072 DDM131074:DDM196608 DDM196610:DDM262144 DDM262146:DDM327680 DDM327682:DDM393216 DDM393218:DDM458752 DDM458754:DDM524288 DDM524290:DDM589824 DDM589826:DDM655360 DDM655362:DDM720896 DDM720898:DDM786432 DDM786434:DDM851968 DDM851970:DDM917504 DDM917506:DDM983040 DDM983042:DDM1048576 DNI2:DNI65536 DNI65538:DNI131072 DNI131074:DNI196608 DNI196610:DNI262144 DNI262146:DNI327680 DNI327682:DNI393216 DNI393218:DNI458752 DNI458754:DNI524288 DNI524290:DNI589824 DNI589826:DNI655360 DNI655362:DNI720896 DNI720898:DNI786432 DNI786434:DNI851968 DNI851970:DNI917504 DNI917506:DNI983040 DNI983042:DNI1048576 DXE2:DXE65536 DXE65538:DXE131072 DXE131074:DXE196608 DXE196610:DXE262144 DXE262146:DXE327680 DXE327682:DXE393216 DXE393218:DXE458752 DXE458754:DXE524288 DXE524290:DXE589824 DXE589826:DXE655360 DXE655362:DXE720896 DXE720898:DXE786432 DXE786434:DXE851968 DXE851970:DXE917504 DXE917506:DXE983040 DXE983042:DXE1048576 EHA2:EHA65536 EHA65538:EHA131072 EHA131074:EHA196608 EHA196610:EHA262144 EHA262146:EHA327680 EHA327682:EHA393216 EHA393218:EHA458752 EHA458754:EHA524288 EHA524290:EHA589824 EHA589826:EHA655360 EHA655362:EHA720896 EHA720898:EHA786432 EHA786434:EHA851968 EHA851970:EHA917504 EHA917506:EHA983040 EHA983042:EHA1048576 EQW2:EQW65536 EQW65538:EQW131072 EQW131074:EQW196608 EQW196610:EQW262144 EQW262146:EQW327680 EQW327682:EQW393216 EQW393218:EQW458752 EQW458754:EQW524288 EQW524290:EQW589824 EQW589826:EQW655360 EQW655362:EQW720896 EQW720898:EQW786432 EQW786434:EQW851968 EQW851970:EQW917504 EQW917506:EQW983040 EQW983042:EQW1048576 FAS2:FAS65536 FAS65538:FAS131072 FAS131074:FAS196608 FAS196610:FAS262144 FAS262146:FAS327680 FAS327682:FAS393216 FAS393218:FAS458752 FAS458754:FAS524288 FAS524290:FAS589824 FAS589826:FAS655360 FAS655362:FAS720896 FAS720898:FAS786432 FAS786434:FAS851968 FAS851970:FAS917504 FAS917506:FAS983040 FAS983042:FAS1048576 FKO2:FKO65536 FKO65538:FKO131072 FKO131074:FKO196608 FKO196610:FKO262144 FKO262146:FKO327680 FKO327682:FKO393216 FKO393218:FKO458752 FKO458754:FKO524288 FKO524290:FKO589824 FKO589826:FKO655360 FKO655362:FKO720896 FKO720898:FKO786432 FKO786434:FKO851968 FKO851970:FKO917504 FKO917506:FKO983040 FKO983042:FKO1048576 FUK2:FUK65536 FUK65538:FUK131072 FUK131074:FUK196608 FUK196610:FUK262144 FUK262146:FUK327680 FUK327682:FUK393216 FUK393218:FUK458752 FUK458754:FUK524288 FUK524290:FUK589824 FUK589826:FUK655360 FUK655362:FUK720896 FUK720898:FUK786432 FUK786434:FUK851968 FUK851970:FUK917504 FUK917506:FUK983040 FUK983042:FUK1048576 GEG2:GEG65536 GEG65538:GEG131072 GEG131074:GEG196608 GEG196610:GEG262144 GEG262146:GEG327680 GEG327682:GEG393216 GEG393218:GEG458752 GEG458754:GEG524288 GEG524290:GEG589824 GEG589826:GEG655360 GEG655362:GEG720896 GEG720898:GEG786432 GEG786434:GEG851968 GEG851970:GEG917504 GEG917506:GEG983040 GEG983042:GEG1048576 GOC2:GOC65536 GOC65538:GOC131072 GOC131074:GOC196608 GOC196610:GOC262144 GOC262146:GOC327680 GOC327682:GOC393216 GOC393218:GOC458752 GOC458754:GOC524288 GOC524290:GOC589824 GOC589826:GOC655360 GOC655362:GOC720896 GOC720898:GOC786432 GOC786434:GOC851968 GOC851970:GOC917504 GOC917506:GOC983040 GOC983042:GOC1048576 GXY2:GXY65536 GXY65538:GXY131072 GXY131074:GXY196608 GXY196610:GXY262144 GXY262146:GXY327680 GXY327682:GXY393216 GXY393218:GXY458752 GXY458754:GXY524288 GXY524290:GXY589824 GXY589826:GXY655360 GXY655362:GXY720896 GXY720898:GXY786432 GXY786434:GXY851968 GXY851970:GXY917504 GXY917506:GXY983040 GXY983042:GXY1048576 HHU2:HHU65536 HHU65538:HHU131072 HHU131074:HHU196608 HHU196610:HHU262144 HHU262146:HHU327680 HHU327682:HHU393216 HHU393218:HHU458752 HHU458754:HHU524288 HHU524290:HHU589824 HHU589826:HHU655360 HHU655362:HHU720896 HHU720898:HHU786432 HHU786434:HHU851968 HHU851970:HHU917504 HHU917506:HHU983040 HHU983042:HHU1048576 HRQ2:HRQ65536 HRQ65538:HRQ131072 HRQ131074:HRQ196608 HRQ196610:HRQ262144 HRQ262146:HRQ327680 HRQ327682:HRQ393216 HRQ393218:HRQ458752 HRQ458754:HRQ524288 HRQ524290:HRQ589824 HRQ589826:HRQ655360 HRQ655362:HRQ720896 HRQ720898:HRQ786432 HRQ786434:HRQ851968 HRQ851970:HRQ917504 HRQ917506:HRQ983040 HRQ983042:HRQ1048576 IBM2:IBM65536 IBM65538:IBM131072 IBM131074:IBM196608 IBM196610:IBM262144 IBM262146:IBM327680 IBM327682:IBM393216 IBM393218:IBM458752 IBM458754:IBM524288 IBM524290:IBM589824 IBM589826:IBM655360 IBM655362:IBM720896 IBM720898:IBM786432 IBM786434:IBM851968 IBM851970:IBM917504 IBM917506:IBM983040 IBM983042:IBM1048576 ILI2:ILI65536 ILI65538:ILI131072 ILI131074:ILI196608 ILI196610:ILI262144 ILI262146:ILI327680 ILI327682:ILI393216 ILI393218:ILI458752 ILI458754:ILI524288 ILI524290:ILI589824 ILI589826:ILI655360 ILI655362:ILI720896 ILI720898:ILI786432 ILI786434:ILI851968 ILI851970:ILI917504 ILI917506:ILI983040 ILI983042:ILI1048576 IVE2:IVE65536 IVE65538:IVE131072 IVE131074:IVE196608 IVE196610:IVE262144 IVE262146:IVE327680 IVE327682:IVE393216 IVE393218:IVE458752 IVE458754:IVE524288 IVE524290:IVE589824 IVE589826:IVE655360 IVE655362:IVE720896 IVE720898:IVE786432 IVE786434:IVE851968 IVE851970:IVE917504 IVE917506:IVE983040 IVE983042:IVE1048576 JFA2:JFA65536 JFA65538:JFA131072 JFA131074:JFA196608 JFA196610:JFA262144 JFA262146:JFA327680 JFA327682:JFA393216 JFA393218:JFA458752 JFA458754:JFA524288 JFA524290:JFA589824 JFA589826:JFA655360 JFA655362:JFA720896 JFA720898:JFA786432 JFA786434:JFA851968 JFA851970:JFA917504 JFA917506:JFA983040 JFA983042:JFA1048576 JOW2:JOW65536 JOW65538:JOW131072 JOW131074:JOW196608 JOW196610:JOW262144 JOW262146:JOW327680 JOW327682:JOW393216 JOW393218:JOW458752 JOW458754:JOW524288 JOW524290:JOW589824 JOW589826:JOW655360 JOW655362:JOW720896 JOW720898:JOW786432 JOW786434:JOW851968 JOW851970:JOW917504 JOW917506:JOW983040 JOW983042:JOW1048576 JYS2:JYS65536 JYS65538:JYS131072 JYS131074:JYS196608 JYS196610:JYS262144 JYS262146:JYS327680 JYS327682:JYS393216 JYS393218:JYS458752 JYS458754:JYS524288 JYS524290:JYS589824 JYS589826:JYS655360 JYS655362:JYS720896 JYS720898:JYS786432 JYS786434:JYS851968 JYS851970:JYS917504 JYS917506:JYS983040 JYS983042:JYS1048576 KIO2:KIO65536 KIO65538:KIO131072 KIO131074:KIO196608 KIO196610:KIO262144 KIO262146:KIO327680 KIO327682:KIO393216 KIO393218:KIO458752 KIO458754:KIO524288 KIO524290:KIO589824 KIO589826:KIO655360 KIO655362:KIO720896 KIO720898:KIO786432 KIO786434:KIO851968 KIO851970:KIO917504 KIO917506:KIO983040 KIO983042:KIO1048576 KSK2:KSK65536 KSK65538:KSK131072 KSK131074:KSK196608 KSK196610:KSK262144 KSK262146:KSK327680 KSK327682:KSK393216 KSK393218:KSK458752 KSK458754:KSK524288 KSK524290:KSK589824 KSK589826:KSK655360 KSK655362:KSK720896 KSK720898:KSK786432 KSK786434:KSK851968 KSK851970:KSK917504 KSK917506:KSK983040 KSK983042:KSK1048576 LCG2:LCG65536 LCG65538:LCG131072 LCG131074:LCG196608 LCG196610:LCG262144 LCG262146:LCG327680 LCG327682:LCG393216 LCG393218:LCG458752 LCG458754:LCG524288 LCG524290:LCG589824 LCG589826:LCG655360 LCG655362:LCG720896 LCG720898:LCG786432 LCG786434:LCG851968 LCG851970:LCG917504 LCG917506:LCG983040 LCG983042:LCG1048576 LMC2:LMC65536 LMC65538:LMC131072 LMC131074:LMC196608 LMC196610:LMC262144 LMC262146:LMC327680 LMC327682:LMC393216 LMC393218:LMC458752 LMC458754:LMC524288 LMC524290:LMC589824 LMC589826:LMC655360 LMC655362:LMC720896 LMC720898:LMC786432 LMC786434:LMC851968 LMC851970:LMC917504 LMC917506:LMC983040 LMC983042:LMC1048576 LVY2:LVY65536 LVY65538:LVY131072 LVY131074:LVY196608 LVY196610:LVY262144 LVY262146:LVY327680 LVY327682:LVY393216 LVY393218:LVY458752 LVY458754:LVY524288 LVY524290:LVY589824 LVY589826:LVY655360 LVY655362:LVY720896 LVY720898:LVY786432 LVY786434:LVY851968 LVY851970:LVY917504 LVY917506:LVY983040 LVY983042:LVY1048576 MFU2:MFU65536 MFU65538:MFU131072 MFU131074:MFU196608 MFU196610:MFU262144 MFU262146:MFU327680 MFU327682:MFU393216 MFU393218:MFU458752 MFU458754:MFU524288 MFU524290:MFU589824 MFU589826:MFU655360 MFU655362:MFU720896 MFU720898:MFU786432 MFU786434:MFU851968 MFU851970:MFU917504 MFU917506:MFU983040 MFU983042:MFU1048576 MPQ2:MPQ65536 MPQ65538:MPQ131072 MPQ131074:MPQ196608 MPQ196610:MPQ262144 MPQ262146:MPQ327680 MPQ327682:MPQ393216 MPQ393218:MPQ458752 MPQ458754:MPQ524288 MPQ524290:MPQ589824 MPQ589826:MPQ655360 MPQ655362:MPQ720896 MPQ720898:MPQ786432 MPQ786434:MPQ851968 MPQ851970:MPQ917504 MPQ917506:MPQ983040 MPQ983042:MPQ1048576 MZM2:MZM65536 MZM65538:MZM131072 MZM131074:MZM196608 MZM196610:MZM262144 MZM262146:MZM327680 MZM327682:MZM393216 MZM393218:MZM458752 MZM458754:MZM524288 MZM524290:MZM589824 MZM589826:MZM655360 MZM655362:MZM720896 MZM720898:MZM786432 MZM786434:MZM851968 MZM851970:MZM917504 MZM917506:MZM983040 MZM983042:MZM1048576 NJI2:NJI65536 NJI65538:NJI131072 NJI131074:NJI196608 NJI196610:NJI262144 NJI262146:NJI327680 NJI327682:NJI393216 NJI393218:NJI458752 NJI458754:NJI524288 NJI524290:NJI589824 NJI589826:NJI655360 NJI655362:NJI720896 NJI720898:NJI786432 NJI786434:NJI851968 NJI851970:NJI917504 NJI917506:NJI983040 NJI983042:NJI1048576 NTE2:NTE65536 NTE65538:NTE131072 NTE131074:NTE196608 NTE196610:NTE262144 NTE262146:NTE327680 NTE327682:NTE393216 NTE393218:NTE458752 NTE458754:NTE524288 NTE524290:NTE589824 NTE589826:NTE655360 NTE655362:NTE720896 NTE720898:NTE786432 NTE786434:NTE851968 NTE851970:NTE917504 NTE917506:NTE983040 NTE983042:NTE1048576 ODA2:ODA65536 ODA65538:ODA131072 ODA131074:ODA196608 ODA196610:ODA262144 ODA262146:ODA327680 ODA327682:ODA393216 ODA393218:ODA458752 ODA458754:ODA524288 ODA524290:ODA589824 ODA589826:ODA655360 ODA655362:ODA720896 ODA720898:ODA786432 ODA786434:ODA851968 ODA851970:ODA917504 ODA917506:ODA983040 ODA983042:ODA1048576 OMW2:OMW65536 OMW65538:OMW131072 OMW131074:OMW196608 OMW196610:OMW262144 OMW262146:OMW327680 OMW327682:OMW393216 OMW393218:OMW458752 OMW458754:OMW524288 OMW524290:OMW589824 OMW589826:OMW655360 OMW655362:OMW720896 OMW720898:OMW786432 OMW786434:OMW851968 OMW851970:OMW917504 OMW917506:OMW983040 OMW983042:OMW1048576 OWS2:OWS65536 OWS65538:OWS131072 OWS131074:OWS196608 OWS196610:OWS262144 OWS262146:OWS327680 OWS327682:OWS393216 OWS393218:OWS458752 OWS458754:OWS524288 OWS524290:OWS589824 OWS589826:OWS655360 OWS655362:OWS720896 OWS720898:OWS786432 OWS786434:OWS851968 OWS851970:OWS917504 OWS917506:OWS983040 OWS983042:OWS1048576 PGO2:PGO65536 PGO65538:PGO131072 PGO131074:PGO196608 PGO196610:PGO262144 PGO262146:PGO327680 PGO327682:PGO393216 PGO393218:PGO458752 PGO458754:PGO524288 PGO524290:PGO589824 PGO589826:PGO655360 PGO655362:PGO720896 PGO720898:PGO786432 PGO786434:PGO851968 PGO851970:PGO917504 PGO917506:PGO983040 PGO983042:PGO1048576 PQK2:PQK65536 PQK65538:PQK131072 PQK131074:PQK196608 PQK196610:PQK262144 PQK262146:PQK327680 PQK327682:PQK393216 PQK393218:PQK458752 PQK458754:PQK524288 PQK524290:PQK589824 PQK589826:PQK655360 PQK655362:PQK720896 PQK720898:PQK786432 PQK786434:PQK851968 PQK851970:PQK917504 PQK917506:PQK983040 PQK983042:PQK1048576 QAG2:QAG65536 QAG65538:QAG131072 QAG131074:QAG196608 QAG196610:QAG262144 QAG262146:QAG327680 QAG327682:QAG393216 QAG393218:QAG458752 QAG458754:QAG524288 QAG524290:QAG589824 QAG589826:QAG655360 QAG655362:QAG720896 QAG720898:QAG786432 QAG786434:QAG851968 QAG851970:QAG917504 QAG917506:QAG983040 QAG983042:QAG1048576 QKC2:QKC65536 QKC65538:QKC131072 QKC131074:QKC196608 QKC196610:QKC262144 QKC262146:QKC327680 QKC327682:QKC393216 QKC393218:QKC458752 QKC458754:QKC524288 QKC524290:QKC589824 QKC589826:QKC655360 QKC655362:QKC720896 QKC720898:QKC786432 QKC786434:QKC851968 QKC851970:QKC917504 QKC917506:QKC983040 QKC983042:QKC1048576 QTY2:QTY65536 QTY65538:QTY131072 QTY131074:QTY196608 QTY196610:QTY262144 QTY262146:QTY327680 QTY327682:QTY393216 QTY393218:QTY458752 QTY458754:QTY524288 QTY524290:QTY589824 QTY589826:QTY655360 QTY655362:QTY720896 QTY720898:QTY786432 QTY786434:QTY851968 QTY851970:QTY917504 QTY917506:QTY983040 QTY983042:QTY1048576 RDU2:RDU65536 RDU65538:RDU131072 RDU131074:RDU196608 RDU196610:RDU262144 RDU262146:RDU327680 RDU327682:RDU393216 RDU393218:RDU458752 RDU458754:RDU524288 RDU524290:RDU589824 RDU589826:RDU655360 RDU655362:RDU720896 RDU720898:RDU786432 RDU786434:RDU851968 RDU851970:RDU917504 RDU917506:RDU983040 RDU983042:RDU1048576 RNQ2:RNQ65536 RNQ65538:RNQ131072 RNQ131074:RNQ196608 RNQ196610:RNQ262144 RNQ262146:RNQ327680 RNQ327682:RNQ393216 RNQ393218:RNQ458752 RNQ458754:RNQ524288 RNQ524290:RNQ589824 RNQ589826:RNQ655360 RNQ655362:RNQ720896 RNQ720898:RNQ786432 RNQ786434:RNQ851968 RNQ851970:RNQ917504 RNQ917506:RNQ983040 RNQ983042:RNQ1048576 RXM2:RXM65536 RXM65538:RXM131072 RXM131074:RXM196608 RXM196610:RXM262144 RXM262146:RXM327680 RXM327682:RXM393216 RXM393218:RXM458752 RXM458754:RXM524288 RXM524290:RXM589824 RXM589826:RXM655360 RXM655362:RXM720896 RXM720898:RXM786432 RXM786434:RXM851968 RXM851970:RXM917504 RXM917506:RXM983040 RXM983042:RXM1048576 SHI2:SHI65536 SHI65538:SHI131072 SHI131074:SHI196608 SHI196610:SHI262144 SHI262146:SHI327680 SHI327682:SHI393216 SHI393218:SHI458752 SHI458754:SHI524288 SHI524290:SHI589824 SHI589826:SHI655360 SHI655362:SHI720896 SHI720898:SHI786432 SHI786434:SHI851968 SHI851970:SHI917504 SHI917506:SHI983040 SHI983042:SHI1048576 SRE2:SRE65536 SRE65538:SRE131072 SRE131074:SRE196608 SRE196610:SRE262144 SRE262146:SRE327680 SRE327682:SRE393216 SRE393218:SRE458752 SRE458754:SRE524288 SRE524290:SRE589824 SRE589826:SRE655360 SRE655362:SRE720896 SRE720898:SRE786432 SRE786434:SRE851968 SRE851970:SRE917504 SRE917506:SRE983040 SRE983042:SRE1048576 TBA2:TBA65536 TBA65538:TBA131072 TBA131074:TBA196608 TBA196610:TBA262144 TBA262146:TBA327680 TBA327682:TBA393216 TBA393218:TBA458752 TBA458754:TBA524288 TBA524290:TBA589824 TBA589826:TBA655360 TBA655362:TBA720896 TBA720898:TBA786432 TBA786434:TBA851968 TBA851970:TBA917504 TBA917506:TBA983040 TBA983042:TBA1048576 TKW2:TKW65536 TKW65538:TKW131072 TKW131074:TKW196608 TKW196610:TKW262144 TKW262146:TKW327680 TKW327682:TKW393216 TKW393218:TKW458752 TKW458754:TKW524288 TKW524290:TKW589824 TKW589826:TKW655360 TKW655362:TKW720896 TKW720898:TKW786432 TKW786434:TKW851968 TKW851970:TKW917504 TKW917506:TKW983040 TKW983042:TKW1048576 TUS2:TUS65536 TUS65538:TUS131072 TUS131074:TUS196608 TUS196610:TUS262144 TUS262146:TUS327680 TUS327682:TUS393216 TUS393218:TUS458752 TUS458754:TUS524288 TUS524290:TUS589824 TUS589826:TUS655360 TUS655362:TUS720896 TUS720898:TUS786432 TUS786434:TUS851968 TUS851970:TUS917504 TUS917506:TUS983040 TUS983042:TUS1048576 UEO2:UEO65536 UEO65538:UEO131072 UEO131074:UEO196608 UEO196610:UEO262144 UEO262146:UEO327680 UEO327682:UEO393216 UEO393218:UEO458752 UEO458754:UEO524288 UEO524290:UEO589824 UEO589826:UEO655360 UEO655362:UEO720896 UEO720898:UEO786432 UEO786434:UEO851968 UEO851970:UEO917504 UEO917506:UEO983040 UEO983042:UEO1048576 UOK2:UOK65536 UOK65538:UOK131072 UOK131074:UOK196608 UOK196610:UOK262144 UOK262146:UOK327680 UOK327682:UOK393216 UOK393218:UOK458752 UOK458754:UOK524288 UOK524290:UOK589824 UOK589826:UOK655360 UOK655362:UOK720896 UOK720898:UOK786432 UOK786434:UOK851968 UOK851970:UOK917504 UOK917506:UOK983040 UOK983042:UOK1048576 UYG2:UYG65536 UYG65538:UYG131072 UYG131074:UYG196608 UYG196610:UYG262144 UYG262146:UYG327680 UYG327682:UYG393216 UYG393218:UYG458752 UYG458754:UYG524288 UYG524290:UYG589824 UYG589826:UYG655360 UYG655362:UYG720896 UYG720898:UYG786432 UYG786434:UYG851968 UYG851970:UYG917504 UYG917506:UYG983040 UYG983042:UYG1048576 VIC2:VIC65536 VIC65538:VIC131072 VIC131074:VIC196608 VIC196610:VIC262144 VIC262146:VIC327680 VIC327682:VIC393216 VIC393218:VIC458752 VIC458754:VIC524288 VIC524290:VIC589824 VIC589826:VIC655360 VIC655362:VIC720896 VIC720898:VIC786432 VIC786434:VIC851968 VIC851970:VIC917504 VIC917506:VIC983040 VIC983042:VIC1048576 VRY2:VRY65536 VRY65538:VRY131072 VRY131074:VRY196608 VRY196610:VRY262144 VRY262146:VRY327680 VRY327682:VRY393216 VRY393218:VRY458752 VRY458754:VRY524288 VRY524290:VRY589824 VRY589826:VRY655360 VRY655362:VRY720896 VRY720898:VRY786432 VRY786434:VRY851968 VRY851970:VRY917504 VRY917506:VRY983040 VRY983042:VRY1048576 WBU2:WBU65536 WBU65538:WBU131072 WBU131074:WBU196608 WBU196610:WBU262144 WBU262146:WBU327680 WBU327682:WBU393216 WBU393218:WBU458752 WBU458754:WBU524288 WBU524290:WBU589824 WBU589826:WBU655360 WBU655362:WBU720896 WBU720898:WBU786432 WBU786434:WBU851968 WBU851970:WBU917504 WBU917506:WBU983040 WBU983042:WBU1048576 WLQ2:WLQ65536 WLQ65538:WLQ131072 WLQ131074:WLQ196608 WLQ196610:WLQ262144 WLQ262146:WLQ327680 WLQ327682:WLQ393216 WLQ393218:WLQ458752 WLQ458754:WLQ524288 WLQ524290:WLQ589824 WLQ589826:WLQ655360 WLQ655362:WLQ720896 WLQ720898:WLQ786432 WLQ786434:WLQ851968 WLQ851970:WLQ917504 WLQ917506:WLQ983040 WLQ983042:WLQ1048576 WVM2:WVM65536 WVM65538:WVM131072 WVM131074:WVM196608 WVM196610:WVM262144 WVM262146:WVM327680 WVM327682:WVM393216 WVM393218:WVM458752 WVM458754:WVM524288 WVM524290:WVM589824 WVM589826:WVM655360 WVM655362:WVM720896 WVM720898:WVM786432 WVM786434:WVM851968 WVM851970:WVM917504 WVM917506:WVM983040 WVM983042:WVM1048576">
      <formula1>性别</formula1>
    </dataValidation>
    <dataValidation type="list" allowBlank="1" showInputMessage="1" showErrorMessage="1" sqref="G2:G5 G7:G8 G10:G21 G30:G65536 G65538:G131072 G131074:G196608 G196610:G262144 G262146:G327680 G327682:G393216 G393218:G458752 G458754:G524288 G524290:G589824 G589826:G655360 G655362:G720896 G720898:G786432 G786434:G851968 G851970:G917504 G917506:G983040 G983042:G1048576 JC2:JC65536 JC65538:JC131072 JC131074:JC196608 JC196610:JC262144 JC262146:JC327680 JC327682:JC393216 JC393218:JC458752 JC458754:JC524288 JC524290:JC589824 JC589826:JC655360 JC655362:JC720896 JC720898:JC786432 JC786434:JC851968 JC851970:JC917504 JC917506:JC983040 JC983042:JC1048576 SY2:SY65536 SY65538:SY131072 SY131074:SY196608 SY196610:SY262144 SY262146:SY327680 SY327682:SY393216 SY393218:SY458752 SY458754:SY524288 SY524290:SY589824 SY589826:SY655360 SY655362:SY720896 SY720898:SY786432 SY786434:SY851968 SY851970:SY917504 SY917506:SY983040 SY983042:SY1048576 ACU2:ACU65536 ACU65538:ACU131072 ACU131074:ACU196608 ACU196610:ACU262144 ACU262146:ACU327680 ACU327682:ACU393216 ACU393218:ACU458752 ACU458754:ACU524288 ACU524290:ACU589824 ACU589826:ACU655360 ACU655362:ACU720896 ACU720898:ACU786432 ACU786434:ACU851968 ACU851970:ACU917504 ACU917506:ACU983040 ACU983042:ACU1048576 AMQ2:AMQ65536 AMQ65538:AMQ131072 AMQ131074:AMQ196608 AMQ196610:AMQ262144 AMQ262146:AMQ327680 AMQ327682:AMQ393216 AMQ393218:AMQ458752 AMQ458754:AMQ524288 AMQ524290:AMQ589824 AMQ589826:AMQ655360 AMQ655362:AMQ720896 AMQ720898:AMQ786432 AMQ786434:AMQ851968 AMQ851970:AMQ917504 AMQ917506:AMQ983040 AMQ983042:AMQ1048576 AWM2:AWM65536 AWM65538:AWM131072 AWM131074:AWM196608 AWM196610:AWM262144 AWM262146:AWM327680 AWM327682:AWM393216 AWM393218:AWM458752 AWM458754:AWM524288 AWM524290:AWM589824 AWM589826:AWM655360 AWM655362:AWM720896 AWM720898:AWM786432 AWM786434:AWM851968 AWM851970:AWM917504 AWM917506:AWM983040 AWM983042:AWM1048576 BGI2:BGI65536 BGI65538:BGI131072 BGI131074:BGI196608 BGI196610:BGI262144 BGI262146:BGI327680 BGI327682:BGI393216 BGI393218:BGI458752 BGI458754:BGI524288 BGI524290:BGI589824 BGI589826:BGI655360 BGI655362:BGI720896 BGI720898:BGI786432 BGI786434:BGI851968 BGI851970:BGI917504 BGI917506:BGI983040 BGI983042:BGI1048576 BQE2:BQE65536 BQE65538:BQE131072 BQE131074:BQE196608 BQE196610:BQE262144 BQE262146:BQE327680 BQE327682:BQE393216 BQE393218:BQE458752 BQE458754:BQE524288 BQE524290:BQE589824 BQE589826:BQE655360 BQE655362:BQE720896 BQE720898:BQE786432 BQE786434:BQE851968 BQE851970:BQE917504 BQE917506:BQE983040 BQE983042:BQE1048576 CAA2:CAA65536 CAA65538:CAA131072 CAA131074:CAA196608 CAA196610:CAA262144 CAA262146:CAA327680 CAA327682:CAA393216 CAA393218:CAA458752 CAA458754:CAA524288 CAA524290:CAA589824 CAA589826:CAA655360 CAA655362:CAA720896 CAA720898:CAA786432 CAA786434:CAA851968 CAA851970:CAA917504 CAA917506:CAA983040 CAA983042:CAA1048576 CJW2:CJW65536 CJW65538:CJW131072 CJW131074:CJW196608 CJW196610:CJW262144 CJW262146:CJW327680 CJW327682:CJW393216 CJW393218:CJW458752 CJW458754:CJW524288 CJW524290:CJW589824 CJW589826:CJW655360 CJW655362:CJW720896 CJW720898:CJW786432 CJW786434:CJW851968 CJW851970:CJW917504 CJW917506:CJW983040 CJW983042:CJW1048576 CTS2:CTS65536 CTS65538:CTS131072 CTS131074:CTS196608 CTS196610:CTS262144 CTS262146:CTS327680 CTS327682:CTS393216 CTS393218:CTS458752 CTS458754:CTS524288 CTS524290:CTS589824 CTS589826:CTS655360 CTS655362:CTS720896 CTS720898:CTS786432 CTS786434:CTS851968 CTS851970:CTS917504 CTS917506:CTS983040 CTS983042:CTS1048576 DDO2:DDO65536 DDO65538:DDO131072 DDO131074:DDO196608 DDO196610:DDO262144 DDO262146:DDO327680 DDO327682:DDO393216 DDO393218:DDO458752 DDO458754:DDO524288 DDO524290:DDO589824 DDO589826:DDO655360 DDO655362:DDO720896 DDO720898:DDO786432 DDO786434:DDO851968 DDO851970:DDO917504 DDO917506:DDO983040 DDO983042:DDO1048576 DNK2:DNK65536 DNK65538:DNK131072 DNK131074:DNK196608 DNK196610:DNK262144 DNK262146:DNK327680 DNK327682:DNK393216 DNK393218:DNK458752 DNK458754:DNK524288 DNK524290:DNK589824 DNK589826:DNK655360 DNK655362:DNK720896 DNK720898:DNK786432 DNK786434:DNK851968 DNK851970:DNK917504 DNK917506:DNK983040 DNK983042:DNK1048576 DXG2:DXG65536 DXG65538:DXG131072 DXG131074:DXG196608 DXG196610:DXG262144 DXG262146:DXG327680 DXG327682:DXG393216 DXG393218:DXG458752 DXG458754:DXG524288 DXG524290:DXG589824 DXG589826:DXG655360 DXG655362:DXG720896 DXG720898:DXG786432 DXG786434:DXG851968 DXG851970:DXG917504 DXG917506:DXG983040 DXG983042:DXG1048576 EHC2:EHC65536 EHC65538:EHC131072 EHC131074:EHC196608 EHC196610:EHC262144 EHC262146:EHC327680 EHC327682:EHC393216 EHC393218:EHC458752 EHC458754:EHC524288 EHC524290:EHC589824 EHC589826:EHC655360 EHC655362:EHC720896 EHC720898:EHC786432 EHC786434:EHC851968 EHC851970:EHC917504 EHC917506:EHC983040 EHC983042:EHC1048576 EQY2:EQY65536 EQY65538:EQY131072 EQY131074:EQY196608 EQY196610:EQY262144 EQY262146:EQY327680 EQY327682:EQY393216 EQY393218:EQY458752 EQY458754:EQY524288 EQY524290:EQY589824 EQY589826:EQY655360 EQY655362:EQY720896 EQY720898:EQY786432 EQY786434:EQY851968 EQY851970:EQY917504 EQY917506:EQY983040 EQY983042:EQY1048576 FAU2:FAU65536 FAU65538:FAU131072 FAU131074:FAU196608 FAU196610:FAU262144 FAU262146:FAU327680 FAU327682:FAU393216 FAU393218:FAU458752 FAU458754:FAU524288 FAU524290:FAU589824 FAU589826:FAU655360 FAU655362:FAU720896 FAU720898:FAU786432 FAU786434:FAU851968 FAU851970:FAU917504 FAU917506:FAU983040 FAU983042:FAU1048576 FKQ2:FKQ65536 FKQ65538:FKQ131072 FKQ131074:FKQ196608 FKQ196610:FKQ262144 FKQ262146:FKQ327680 FKQ327682:FKQ393216 FKQ393218:FKQ458752 FKQ458754:FKQ524288 FKQ524290:FKQ589824 FKQ589826:FKQ655360 FKQ655362:FKQ720896 FKQ720898:FKQ786432 FKQ786434:FKQ851968 FKQ851970:FKQ917504 FKQ917506:FKQ983040 FKQ983042:FKQ1048576 FUM2:FUM65536 FUM65538:FUM131072 FUM131074:FUM196608 FUM196610:FUM262144 FUM262146:FUM327680 FUM327682:FUM393216 FUM393218:FUM458752 FUM458754:FUM524288 FUM524290:FUM589824 FUM589826:FUM655360 FUM655362:FUM720896 FUM720898:FUM786432 FUM786434:FUM851968 FUM851970:FUM917504 FUM917506:FUM983040 FUM983042:FUM1048576 GEI2:GEI65536 GEI65538:GEI131072 GEI131074:GEI196608 GEI196610:GEI262144 GEI262146:GEI327680 GEI327682:GEI393216 GEI393218:GEI458752 GEI458754:GEI524288 GEI524290:GEI589824 GEI589826:GEI655360 GEI655362:GEI720896 GEI720898:GEI786432 GEI786434:GEI851968 GEI851970:GEI917504 GEI917506:GEI983040 GEI983042:GEI1048576 GOE2:GOE65536 GOE65538:GOE131072 GOE131074:GOE196608 GOE196610:GOE262144 GOE262146:GOE327680 GOE327682:GOE393216 GOE393218:GOE458752 GOE458754:GOE524288 GOE524290:GOE589824 GOE589826:GOE655360 GOE655362:GOE720896 GOE720898:GOE786432 GOE786434:GOE851968 GOE851970:GOE917504 GOE917506:GOE983040 GOE983042:GOE1048576 GYA2:GYA65536 GYA65538:GYA131072 GYA131074:GYA196608 GYA196610:GYA262144 GYA262146:GYA327680 GYA327682:GYA393216 GYA393218:GYA458752 GYA458754:GYA524288 GYA524290:GYA589824 GYA589826:GYA655360 GYA655362:GYA720896 GYA720898:GYA786432 GYA786434:GYA851968 GYA851970:GYA917504 GYA917506:GYA983040 GYA983042:GYA1048576 HHW2:HHW65536 HHW65538:HHW131072 HHW131074:HHW196608 HHW196610:HHW262144 HHW262146:HHW327680 HHW327682:HHW393216 HHW393218:HHW458752 HHW458754:HHW524288 HHW524290:HHW589824 HHW589826:HHW655360 HHW655362:HHW720896 HHW720898:HHW786432 HHW786434:HHW851968 HHW851970:HHW917504 HHW917506:HHW983040 HHW983042:HHW1048576 HRS2:HRS65536 HRS65538:HRS131072 HRS131074:HRS196608 HRS196610:HRS262144 HRS262146:HRS327680 HRS327682:HRS393216 HRS393218:HRS458752 HRS458754:HRS524288 HRS524290:HRS589824 HRS589826:HRS655360 HRS655362:HRS720896 HRS720898:HRS786432 HRS786434:HRS851968 HRS851970:HRS917504 HRS917506:HRS983040 HRS983042:HRS1048576 IBO2:IBO65536 IBO65538:IBO131072 IBO131074:IBO196608 IBO196610:IBO262144 IBO262146:IBO327680 IBO327682:IBO393216 IBO393218:IBO458752 IBO458754:IBO524288 IBO524290:IBO589824 IBO589826:IBO655360 IBO655362:IBO720896 IBO720898:IBO786432 IBO786434:IBO851968 IBO851970:IBO917504 IBO917506:IBO983040 IBO983042:IBO1048576 ILK2:ILK65536 ILK65538:ILK131072 ILK131074:ILK196608 ILK196610:ILK262144 ILK262146:ILK327680 ILK327682:ILK393216 ILK393218:ILK458752 ILK458754:ILK524288 ILK524290:ILK589824 ILK589826:ILK655360 ILK655362:ILK720896 ILK720898:ILK786432 ILK786434:ILK851968 ILK851970:ILK917504 ILK917506:ILK983040 ILK983042:ILK1048576 IVG2:IVG65536 IVG65538:IVG131072 IVG131074:IVG196608 IVG196610:IVG262144 IVG262146:IVG327680 IVG327682:IVG393216 IVG393218:IVG458752 IVG458754:IVG524288 IVG524290:IVG589824 IVG589826:IVG655360 IVG655362:IVG720896 IVG720898:IVG786432 IVG786434:IVG851968 IVG851970:IVG917504 IVG917506:IVG983040 IVG983042:IVG1048576 JFC2:JFC65536 JFC65538:JFC131072 JFC131074:JFC196608 JFC196610:JFC262144 JFC262146:JFC327680 JFC327682:JFC393216 JFC393218:JFC458752 JFC458754:JFC524288 JFC524290:JFC589824 JFC589826:JFC655360 JFC655362:JFC720896 JFC720898:JFC786432 JFC786434:JFC851968 JFC851970:JFC917504 JFC917506:JFC983040 JFC983042:JFC1048576 JOY2:JOY65536 JOY65538:JOY131072 JOY131074:JOY196608 JOY196610:JOY262144 JOY262146:JOY327680 JOY327682:JOY393216 JOY393218:JOY458752 JOY458754:JOY524288 JOY524290:JOY589824 JOY589826:JOY655360 JOY655362:JOY720896 JOY720898:JOY786432 JOY786434:JOY851968 JOY851970:JOY917504 JOY917506:JOY983040 JOY983042:JOY1048576 JYU2:JYU65536 JYU65538:JYU131072 JYU131074:JYU196608 JYU196610:JYU262144 JYU262146:JYU327680 JYU327682:JYU393216 JYU393218:JYU458752 JYU458754:JYU524288 JYU524290:JYU589824 JYU589826:JYU655360 JYU655362:JYU720896 JYU720898:JYU786432 JYU786434:JYU851968 JYU851970:JYU917504 JYU917506:JYU983040 JYU983042:JYU1048576 KIQ2:KIQ65536 KIQ65538:KIQ131072 KIQ131074:KIQ196608 KIQ196610:KIQ262144 KIQ262146:KIQ327680 KIQ327682:KIQ393216 KIQ393218:KIQ458752 KIQ458754:KIQ524288 KIQ524290:KIQ589824 KIQ589826:KIQ655360 KIQ655362:KIQ720896 KIQ720898:KIQ786432 KIQ786434:KIQ851968 KIQ851970:KIQ917504 KIQ917506:KIQ983040 KIQ983042:KIQ1048576 KSM2:KSM65536 KSM65538:KSM131072 KSM131074:KSM196608 KSM196610:KSM262144 KSM262146:KSM327680 KSM327682:KSM393216 KSM393218:KSM458752 KSM458754:KSM524288 KSM524290:KSM589824 KSM589826:KSM655360 KSM655362:KSM720896 KSM720898:KSM786432 KSM786434:KSM851968 KSM851970:KSM917504 KSM917506:KSM983040 KSM983042:KSM1048576 LCI2:LCI65536 LCI65538:LCI131072 LCI131074:LCI196608 LCI196610:LCI262144 LCI262146:LCI327680 LCI327682:LCI393216 LCI393218:LCI458752 LCI458754:LCI524288 LCI524290:LCI589824 LCI589826:LCI655360 LCI655362:LCI720896 LCI720898:LCI786432 LCI786434:LCI851968 LCI851970:LCI917504 LCI917506:LCI983040 LCI983042:LCI1048576 LME2:LME65536 LME65538:LME131072 LME131074:LME196608 LME196610:LME262144 LME262146:LME327680 LME327682:LME393216 LME393218:LME458752 LME458754:LME524288 LME524290:LME589824 LME589826:LME655360 LME655362:LME720896 LME720898:LME786432 LME786434:LME851968 LME851970:LME917504 LME917506:LME983040 LME983042:LME1048576 LWA2:LWA65536 LWA65538:LWA131072 LWA131074:LWA196608 LWA196610:LWA262144 LWA262146:LWA327680 LWA327682:LWA393216 LWA393218:LWA458752 LWA458754:LWA524288 LWA524290:LWA589824 LWA589826:LWA655360 LWA655362:LWA720896 LWA720898:LWA786432 LWA786434:LWA851968 LWA851970:LWA917504 LWA917506:LWA983040 LWA983042:LWA1048576 MFW2:MFW65536 MFW65538:MFW131072 MFW131074:MFW196608 MFW196610:MFW262144 MFW262146:MFW327680 MFW327682:MFW393216 MFW393218:MFW458752 MFW458754:MFW524288 MFW524290:MFW589824 MFW589826:MFW655360 MFW655362:MFW720896 MFW720898:MFW786432 MFW786434:MFW851968 MFW851970:MFW917504 MFW917506:MFW983040 MFW983042:MFW1048576 MPS2:MPS65536 MPS65538:MPS131072 MPS131074:MPS196608 MPS196610:MPS262144 MPS262146:MPS327680 MPS327682:MPS393216 MPS393218:MPS458752 MPS458754:MPS524288 MPS524290:MPS589824 MPS589826:MPS655360 MPS655362:MPS720896 MPS720898:MPS786432 MPS786434:MPS851968 MPS851970:MPS917504 MPS917506:MPS983040 MPS983042:MPS1048576 MZO2:MZO65536 MZO65538:MZO131072 MZO131074:MZO196608 MZO196610:MZO262144 MZO262146:MZO327680 MZO327682:MZO393216 MZO393218:MZO458752 MZO458754:MZO524288 MZO524290:MZO589824 MZO589826:MZO655360 MZO655362:MZO720896 MZO720898:MZO786432 MZO786434:MZO851968 MZO851970:MZO917504 MZO917506:MZO983040 MZO983042:MZO1048576 NJK2:NJK65536 NJK65538:NJK131072 NJK131074:NJK196608 NJK196610:NJK262144 NJK262146:NJK327680 NJK327682:NJK393216 NJK393218:NJK458752 NJK458754:NJK524288 NJK524290:NJK589824 NJK589826:NJK655360 NJK655362:NJK720896 NJK720898:NJK786432 NJK786434:NJK851968 NJK851970:NJK917504 NJK917506:NJK983040 NJK983042:NJK1048576 NTG2:NTG65536 NTG65538:NTG131072 NTG131074:NTG196608 NTG196610:NTG262144 NTG262146:NTG327680 NTG327682:NTG393216 NTG393218:NTG458752 NTG458754:NTG524288 NTG524290:NTG589824 NTG589826:NTG655360 NTG655362:NTG720896 NTG720898:NTG786432 NTG786434:NTG851968 NTG851970:NTG917504 NTG917506:NTG983040 NTG983042:NTG1048576 ODC2:ODC65536 ODC65538:ODC131072 ODC131074:ODC196608 ODC196610:ODC262144 ODC262146:ODC327680 ODC327682:ODC393216 ODC393218:ODC458752 ODC458754:ODC524288 ODC524290:ODC589824 ODC589826:ODC655360 ODC655362:ODC720896 ODC720898:ODC786432 ODC786434:ODC851968 ODC851970:ODC917504 ODC917506:ODC983040 ODC983042:ODC1048576 OMY2:OMY65536 OMY65538:OMY131072 OMY131074:OMY196608 OMY196610:OMY262144 OMY262146:OMY327680 OMY327682:OMY393216 OMY393218:OMY458752 OMY458754:OMY524288 OMY524290:OMY589824 OMY589826:OMY655360 OMY655362:OMY720896 OMY720898:OMY786432 OMY786434:OMY851968 OMY851970:OMY917504 OMY917506:OMY983040 OMY983042:OMY1048576 OWU2:OWU65536 OWU65538:OWU131072 OWU131074:OWU196608 OWU196610:OWU262144 OWU262146:OWU327680 OWU327682:OWU393216 OWU393218:OWU458752 OWU458754:OWU524288 OWU524290:OWU589824 OWU589826:OWU655360 OWU655362:OWU720896 OWU720898:OWU786432 OWU786434:OWU851968 OWU851970:OWU917504 OWU917506:OWU983040 OWU983042:OWU1048576 PGQ2:PGQ65536 PGQ65538:PGQ131072 PGQ131074:PGQ196608 PGQ196610:PGQ262144 PGQ262146:PGQ327680 PGQ327682:PGQ393216 PGQ393218:PGQ458752 PGQ458754:PGQ524288 PGQ524290:PGQ589824 PGQ589826:PGQ655360 PGQ655362:PGQ720896 PGQ720898:PGQ786432 PGQ786434:PGQ851968 PGQ851970:PGQ917504 PGQ917506:PGQ983040 PGQ983042:PGQ1048576 PQM2:PQM65536 PQM65538:PQM131072 PQM131074:PQM196608 PQM196610:PQM262144 PQM262146:PQM327680 PQM327682:PQM393216 PQM393218:PQM458752 PQM458754:PQM524288 PQM524290:PQM589824 PQM589826:PQM655360 PQM655362:PQM720896 PQM720898:PQM786432 PQM786434:PQM851968 PQM851970:PQM917504 PQM917506:PQM983040 PQM983042:PQM1048576 QAI2:QAI65536 QAI65538:QAI131072 QAI131074:QAI196608 QAI196610:QAI262144 QAI262146:QAI327680 QAI327682:QAI393216 QAI393218:QAI458752 QAI458754:QAI524288 QAI524290:QAI589824 QAI589826:QAI655360 QAI655362:QAI720896 QAI720898:QAI786432 QAI786434:QAI851968 QAI851970:QAI917504 QAI917506:QAI983040 QAI983042:QAI1048576 QKE2:QKE65536 QKE65538:QKE131072 QKE131074:QKE196608 QKE196610:QKE262144 QKE262146:QKE327680 QKE327682:QKE393216 QKE393218:QKE458752 QKE458754:QKE524288 QKE524290:QKE589824 QKE589826:QKE655360 QKE655362:QKE720896 QKE720898:QKE786432 QKE786434:QKE851968 QKE851970:QKE917504 QKE917506:QKE983040 QKE983042:QKE1048576 QUA2:QUA65536 QUA65538:QUA131072 QUA131074:QUA196608 QUA196610:QUA262144 QUA262146:QUA327680 QUA327682:QUA393216 QUA393218:QUA458752 QUA458754:QUA524288 QUA524290:QUA589824 QUA589826:QUA655360 QUA655362:QUA720896 QUA720898:QUA786432 QUA786434:QUA851968 QUA851970:QUA917504 QUA917506:QUA983040 QUA983042:QUA1048576 RDW2:RDW65536 RDW65538:RDW131072 RDW131074:RDW196608 RDW196610:RDW262144 RDW262146:RDW327680 RDW327682:RDW393216 RDW393218:RDW458752 RDW458754:RDW524288 RDW524290:RDW589824 RDW589826:RDW655360 RDW655362:RDW720896 RDW720898:RDW786432 RDW786434:RDW851968 RDW851970:RDW917504 RDW917506:RDW983040 RDW983042:RDW1048576 RNS2:RNS65536 RNS65538:RNS131072 RNS131074:RNS196608 RNS196610:RNS262144 RNS262146:RNS327680 RNS327682:RNS393216 RNS393218:RNS458752 RNS458754:RNS524288 RNS524290:RNS589824 RNS589826:RNS655360 RNS655362:RNS720896 RNS720898:RNS786432 RNS786434:RNS851968 RNS851970:RNS917504 RNS917506:RNS983040 RNS983042:RNS1048576 RXO2:RXO65536 RXO65538:RXO131072 RXO131074:RXO196608 RXO196610:RXO262144 RXO262146:RXO327680 RXO327682:RXO393216 RXO393218:RXO458752 RXO458754:RXO524288 RXO524290:RXO589824 RXO589826:RXO655360 RXO655362:RXO720896 RXO720898:RXO786432 RXO786434:RXO851968 RXO851970:RXO917504 RXO917506:RXO983040 RXO983042:RXO1048576 SHK2:SHK65536 SHK65538:SHK131072 SHK131074:SHK196608 SHK196610:SHK262144 SHK262146:SHK327680 SHK327682:SHK393216 SHK393218:SHK458752 SHK458754:SHK524288 SHK524290:SHK589824 SHK589826:SHK655360 SHK655362:SHK720896 SHK720898:SHK786432 SHK786434:SHK851968 SHK851970:SHK917504 SHK917506:SHK983040 SHK983042:SHK1048576 SRG2:SRG65536 SRG65538:SRG131072 SRG131074:SRG196608 SRG196610:SRG262144 SRG262146:SRG327680 SRG327682:SRG393216 SRG393218:SRG458752 SRG458754:SRG524288 SRG524290:SRG589824 SRG589826:SRG655360 SRG655362:SRG720896 SRG720898:SRG786432 SRG786434:SRG851968 SRG851970:SRG917504 SRG917506:SRG983040 SRG983042:SRG1048576 TBC2:TBC65536 TBC65538:TBC131072 TBC131074:TBC196608 TBC196610:TBC262144 TBC262146:TBC327680 TBC327682:TBC393216 TBC393218:TBC458752 TBC458754:TBC524288 TBC524290:TBC589824 TBC589826:TBC655360 TBC655362:TBC720896 TBC720898:TBC786432 TBC786434:TBC851968 TBC851970:TBC917504 TBC917506:TBC983040 TBC983042:TBC1048576 TKY2:TKY65536 TKY65538:TKY131072 TKY131074:TKY196608 TKY196610:TKY262144 TKY262146:TKY327680 TKY327682:TKY393216 TKY393218:TKY458752 TKY458754:TKY524288 TKY524290:TKY589824 TKY589826:TKY655360 TKY655362:TKY720896 TKY720898:TKY786432 TKY786434:TKY851968 TKY851970:TKY917504 TKY917506:TKY983040 TKY983042:TKY1048576 TUU2:TUU65536 TUU65538:TUU131072 TUU131074:TUU196608 TUU196610:TUU262144 TUU262146:TUU327680 TUU327682:TUU393216 TUU393218:TUU458752 TUU458754:TUU524288 TUU524290:TUU589824 TUU589826:TUU655360 TUU655362:TUU720896 TUU720898:TUU786432 TUU786434:TUU851968 TUU851970:TUU917504 TUU917506:TUU983040 TUU983042:TUU1048576 UEQ2:UEQ65536 UEQ65538:UEQ131072 UEQ131074:UEQ196608 UEQ196610:UEQ262144 UEQ262146:UEQ327680 UEQ327682:UEQ393216 UEQ393218:UEQ458752 UEQ458754:UEQ524288 UEQ524290:UEQ589824 UEQ589826:UEQ655360 UEQ655362:UEQ720896 UEQ720898:UEQ786432 UEQ786434:UEQ851968 UEQ851970:UEQ917504 UEQ917506:UEQ983040 UEQ983042:UEQ1048576 UOM2:UOM65536 UOM65538:UOM131072 UOM131074:UOM196608 UOM196610:UOM262144 UOM262146:UOM327680 UOM327682:UOM393216 UOM393218:UOM458752 UOM458754:UOM524288 UOM524290:UOM589824 UOM589826:UOM655360 UOM655362:UOM720896 UOM720898:UOM786432 UOM786434:UOM851968 UOM851970:UOM917504 UOM917506:UOM983040 UOM983042:UOM1048576 UYI2:UYI65536 UYI65538:UYI131072 UYI131074:UYI196608 UYI196610:UYI262144 UYI262146:UYI327680 UYI327682:UYI393216 UYI393218:UYI458752 UYI458754:UYI524288 UYI524290:UYI589824 UYI589826:UYI655360 UYI655362:UYI720896 UYI720898:UYI786432 UYI786434:UYI851968 UYI851970:UYI917504 UYI917506:UYI983040 UYI983042:UYI1048576 VIE2:VIE65536 VIE65538:VIE131072 VIE131074:VIE196608 VIE196610:VIE262144 VIE262146:VIE327680 VIE327682:VIE393216 VIE393218:VIE458752 VIE458754:VIE524288 VIE524290:VIE589824 VIE589826:VIE655360 VIE655362:VIE720896 VIE720898:VIE786432 VIE786434:VIE851968 VIE851970:VIE917504 VIE917506:VIE983040 VIE983042:VIE1048576 VSA2:VSA65536 VSA65538:VSA131072 VSA131074:VSA196608 VSA196610:VSA262144 VSA262146:VSA327680 VSA327682:VSA393216 VSA393218:VSA458752 VSA458754:VSA524288 VSA524290:VSA589824 VSA589826:VSA655360 VSA655362:VSA720896 VSA720898:VSA786432 VSA786434:VSA851968 VSA851970:VSA917504 VSA917506:VSA983040 VSA983042:VSA1048576 WBW2:WBW65536 WBW65538:WBW131072 WBW131074:WBW196608 WBW196610:WBW262144 WBW262146:WBW327680 WBW327682:WBW393216 WBW393218:WBW458752 WBW458754:WBW524288 WBW524290:WBW589824 WBW589826:WBW655360 WBW655362:WBW720896 WBW720898:WBW786432 WBW786434:WBW851968 WBW851970:WBW917504 WBW917506:WBW983040 WBW983042:WBW1048576 WLS2:WLS65536 WLS65538:WLS131072 WLS131074:WLS196608 WLS196610:WLS262144 WLS262146:WLS327680 WLS327682:WLS393216 WLS393218:WLS458752 WLS458754:WLS524288 WLS524290:WLS589824 WLS589826:WLS655360 WLS655362:WLS720896 WLS720898:WLS786432 WLS786434:WLS851968 WLS851970:WLS917504 WLS917506:WLS983040 WLS983042:WLS1048576 WVO2:WVO65536 WVO65538:WVO131072 WVO131074:WVO196608 WVO196610:WVO262144 WVO262146:WVO327680 WVO327682:WVO393216 WVO393218:WVO458752 WVO458754:WVO524288 WVO524290:WVO589824 WVO589826:WVO655360 WVO655362:WVO720896 WVO720898:WVO786432 WVO786434:WVO851968 WVO851970:WVO917504 WVO917506:WVO983040 WVO983042:WVO1048576">
      <formula1>职务</formula1>
    </dataValidation>
    <dataValidation type="list" allowBlank="1" showInputMessage="1" showErrorMessage="1" sqref="H2:H65536 H65538:H131072 H131074:H196608 H196610:H262144 H262146:H327680 H327682:H393216 H393218:H458752 H458754:H524288 H524290:H589824 H589826:H655360 H655362:H720896 H720898:H786432 H786434:H851968 H851970:H917504 H917506:H983040 H983042:H1048576 JD2:JD65536 JD65538:JD131072 JD131074:JD196608 JD196610:JD262144 JD262146:JD327680 JD327682:JD393216 JD393218:JD458752 JD458754:JD524288 JD524290:JD589824 JD589826:JD655360 JD655362:JD720896 JD720898:JD786432 JD786434:JD851968 JD851970:JD917504 JD917506:JD983040 JD983042:JD1048576 SZ2:SZ65536 SZ65538:SZ131072 SZ131074:SZ196608 SZ196610:SZ262144 SZ262146:SZ327680 SZ327682:SZ393216 SZ393218:SZ458752 SZ458754:SZ524288 SZ524290:SZ589824 SZ589826:SZ655360 SZ655362:SZ720896 SZ720898:SZ786432 SZ786434:SZ851968 SZ851970:SZ917504 SZ917506:SZ983040 SZ983042:SZ1048576 ACV2:ACV65536 ACV65538:ACV131072 ACV131074:ACV196608 ACV196610:ACV262144 ACV262146:ACV327680 ACV327682:ACV393216 ACV393218:ACV458752 ACV458754:ACV524288 ACV524290:ACV589824 ACV589826:ACV655360 ACV655362:ACV720896 ACV720898:ACV786432 ACV786434:ACV851968 ACV851970:ACV917504 ACV917506:ACV983040 ACV983042:ACV1048576 AMR2:AMR65536 AMR65538:AMR131072 AMR131074:AMR196608 AMR196610:AMR262144 AMR262146:AMR327680 AMR327682:AMR393216 AMR393218:AMR458752 AMR458754:AMR524288 AMR524290:AMR589824 AMR589826:AMR655360 AMR655362:AMR720896 AMR720898:AMR786432 AMR786434:AMR851968 AMR851970:AMR917504 AMR917506:AMR983040 AMR983042:AMR1048576 AWN2:AWN65536 AWN65538:AWN131072 AWN131074:AWN196608 AWN196610:AWN262144 AWN262146:AWN327680 AWN327682:AWN393216 AWN393218:AWN458752 AWN458754:AWN524288 AWN524290:AWN589824 AWN589826:AWN655360 AWN655362:AWN720896 AWN720898:AWN786432 AWN786434:AWN851968 AWN851970:AWN917504 AWN917506:AWN983040 AWN983042:AWN1048576 BGJ2:BGJ65536 BGJ65538:BGJ131072 BGJ131074:BGJ196608 BGJ196610:BGJ262144 BGJ262146:BGJ327680 BGJ327682:BGJ393216 BGJ393218:BGJ458752 BGJ458754:BGJ524288 BGJ524290:BGJ589824 BGJ589826:BGJ655360 BGJ655362:BGJ720896 BGJ720898:BGJ786432 BGJ786434:BGJ851968 BGJ851970:BGJ917504 BGJ917506:BGJ983040 BGJ983042:BGJ1048576 BQF2:BQF65536 BQF65538:BQF131072 BQF131074:BQF196608 BQF196610:BQF262144 BQF262146:BQF327680 BQF327682:BQF393216 BQF393218:BQF458752 BQF458754:BQF524288 BQF524290:BQF589824 BQF589826:BQF655360 BQF655362:BQF720896 BQF720898:BQF786432 BQF786434:BQF851968 BQF851970:BQF917504 BQF917506:BQF983040 BQF983042:BQF1048576 CAB2:CAB65536 CAB65538:CAB131072 CAB131074:CAB196608 CAB196610:CAB262144 CAB262146:CAB327680 CAB327682:CAB393216 CAB393218:CAB458752 CAB458754:CAB524288 CAB524290:CAB589824 CAB589826:CAB655360 CAB655362:CAB720896 CAB720898:CAB786432 CAB786434:CAB851968 CAB851970:CAB917504 CAB917506:CAB983040 CAB983042:CAB1048576 CJX2:CJX65536 CJX65538:CJX131072 CJX131074:CJX196608 CJX196610:CJX262144 CJX262146:CJX327680 CJX327682:CJX393216 CJX393218:CJX458752 CJX458754:CJX524288 CJX524290:CJX589824 CJX589826:CJX655360 CJX655362:CJX720896 CJX720898:CJX786432 CJX786434:CJX851968 CJX851970:CJX917504 CJX917506:CJX983040 CJX983042:CJX1048576 CTT2:CTT65536 CTT65538:CTT131072 CTT131074:CTT196608 CTT196610:CTT262144 CTT262146:CTT327680 CTT327682:CTT393216 CTT393218:CTT458752 CTT458754:CTT524288 CTT524290:CTT589824 CTT589826:CTT655360 CTT655362:CTT720896 CTT720898:CTT786432 CTT786434:CTT851968 CTT851970:CTT917504 CTT917506:CTT983040 CTT983042:CTT1048576 DDP2:DDP65536 DDP65538:DDP131072 DDP131074:DDP196608 DDP196610:DDP262144 DDP262146:DDP327680 DDP327682:DDP393216 DDP393218:DDP458752 DDP458754:DDP524288 DDP524290:DDP589824 DDP589826:DDP655360 DDP655362:DDP720896 DDP720898:DDP786432 DDP786434:DDP851968 DDP851970:DDP917504 DDP917506:DDP983040 DDP983042:DDP1048576 DNL2:DNL65536 DNL65538:DNL131072 DNL131074:DNL196608 DNL196610:DNL262144 DNL262146:DNL327680 DNL327682:DNL393216 DNL393218:DNL458752 DNL458754:DNL524288 DNL524290:DNL589824 DNL589826:DNL655360 DNL655362:DNL720896 DNL720898:DNL786432 DNL786434:DNL851968 DNL851970:DNL917504 DNL917506:DNL983040 DNL983042:DNL1048576 DXH2:DXH65536 DXH65538:DXH131072 DXH131074:DXH196608 DXH196610:DXH262144 DXH262146:DXH327680 DXH327682:DXH393216 DXH393218:DXH458752 DXH458754:DXH524288 DXH524290:DXH589824 DXH589826:DXH655360 DXH655362:DXH720896 DXH720898:DXH786432 DXH786434:DXH851968 DXH851970:DXH917504 DXH917506:DXH983040 DXH983042:DXH1048576 EHD2:EHD65536 EHD65538:EHD131072 EHD131074:EHD196608 EHD196610:EHD262144 EHD262146:EHD327680 EHD327682:EHD393216 EHD393218:EHD458752 EHD458754:EHD524288 EHD524290:EHD589824 EHD589826:EHD655360 EHD655362:EHD720896 EHD720898:EHD786432 EHD786434:EHD851968 EHD851970:EHD917504 EHD917506:EHD983040 EHD983042:EHD1048576 EQZ2:EQZ65536 EQZ65538:EQZ131072 EQZ131074:EQZ196608 EQZ196610:EQZ262144 EQZ262146:EQZ327680 EQZ327682:EQZ393216 EQZ393218:EQZ458752 EQZ458754:EQZ524288 EQZ524290:EQZ589824 EQZ589826:EQZ655360 EQZ655362:EQZ720896 EQZ720898:EQZ786432 EQZ786434:EQZ851968 EQZ851970:EQZ917504 EQZ917506:EQZ983040 EQZ983042:EQZ1048576 FAV2:FAV65536 FAV65538:FAV131072 FAV131074:FAV196608 FAV196610:FAV262144 FAV262146:FAV327680 FAV327682:FAV393216 FAV393218:FAV458752 FAV458754:FAV524288 FAV524290:FAV589824 FAV589826:FAV655360 FAV655362:FAV720896 FAV720898:FAV786432 FAV786434:FAV851968 FAV851970:FAV917504 FAV917506:FAV983040 FAV983042:FAV1048576 FKR2:FKR65536 FKR65538:FKR131072 FKR131074:FKR196608 FKR196610:FKR262144 FKR262146:FKR327680 FKR327682:FKR393216 FKR393218:FKR458752 FKR458754:FKR524288 FKR524290:FKR589824 FKR589826:FKR655360 FKR655362:FKR720896 FKR720898:FKR786432 FKR786434:FKR851968 FKR851970:FKR917504 FKR917506:FKR983040 FKR983042:FKR1048576 FUN2:FUN65536 FUN65538:FUN131072 FUN131074:FUN196608 FUN196610:FUN262144 FUN262146:FUN327680 FUN327682:FUN393216 FUN393218:FUN458752 FUN458754:FUN524288 FUN524290:FUN589824 FUN589826:FUN655360 FUN655362:FUN720896 FUN720898:FUN786432 FUN786434:FUN851968 FUN851970:FUN917504 FUN917506:FUN983040 FUN983042:FUN1048576 GEJ2:GEJ65536 GEJ65538:GEJ131072 GEJ131074:GEJ196608 GEJ196610:GEJ262144 GEJ262146:GEJ327680 GEJ327682:GEJ393216 GEJ393218:GEJ458752 GEJ458754:GEJ524288 GEJ524290:GEJ589824 GEJ589826:GEJ655360 GEJ655362:GEJ720896 GEJ720898:GEJ786432 GEJ786434:GEJ851968 GEJ851970:GEJ917504 GEJ917506:GEJ983040 GEJ983042:GEJ1048576 GOF2:GOF65536 GOF65538:GOF131072 GOF131074:GOF196608 GOF196610:GOF262144 GOF262146:GOF327680 GOF327682:GOF393216 GOF393218:GOF458752 GOF458754:GOF524288 GOF524290:GOF589824 GOF589826:GOF655360 GOF655362:GOF720896 GOF720898:GOF786432 GOF786434:GOF851968 GOF851970:GOF917504 GOF917506:GOF983040 GOF983042:GOF1048576 GYB2:GYB65536 GYB65538:GYB131072 GYB131074:GYB196608 GYB196610:GYB262144 GYB262146:GYB327680 GYB327682:GYB393216 GYB393218:GYB458752 GYB458754:GYB524288 GYB524290:GYB589824 GYB589826:GYB655360 GYB655362:GYB720896 GYB720898:GYB786432 GYB786434:GYB851968 GYB851970:GYB917504 GYB917506:GYB983040 GYB983042:GYB1048576 HHX2:HHX65536 HHX65538:HHX131072 HHX131074:HHX196608 HHX196610:HHX262144 HHX262146:HHX327680 HHX327682:HHX393216 HHX393218:HHX458752 HHX458754:HHX524288 HHX524290:HHX589824 HHX589826:HHX655360 HHX655362:HHX720896 HHX720898:HHX786432 HHX786434:HHX851968 HHX851970:HHX917504 HHX917506:HHX983040 HHX983042:HHX1048576 HRT2:HRT65536 HRT65538:HRT131072 HRT131074:HRT196608 HRT196610:HRT262144 HRT262146:HRT327680 HRT327682:HRT393216 HRT393218:HRT458752 HRT458754:HRT524288 HRT524290:HRT589824 HRT589826:HRT655360 HRT655362:HRT720896 HRT720898:HRT786432 HRT786434:HRT851968 HRT851970:HRT917504 HRT917506:HRT983040 HRT983042:HRT1048576 IBP2:IBP65536 IBP65538:IBP131072 IBP131074:IBP196608 IBP196610:IBP262144 IBP262146:IBP327680 IBP327682:IBP393216 IBP393218:IBP458752 IBP458754:IBP524288 IBP524290:IBP589824 IBP589826:IBP655360 IBP655362:IBP720896 IBP720898:IBP786432 IBP786434:IBP851968 IBP851970:IBP917504 IBP917506:IBP983040 IBP983042:IBP1048576 ILL2:ILL65536 ILL65538:ILL131072 ILL131074:ILL196608 ILL196610:ILL262144 ILL262146:ILL327680 ILL327682:ILL393216 ILL393218:ILL458752 ILL458754:ILL524288 ILL524290:ILL589824 ILL589826:ILL655360 ILL655362:ILL720896 ILL720898:ILL786432 ILL786434:ILL851968 ILL851970:ILL917504 ILL917506:ILL983040 ILL983042:ILL1048576 IVH2:IVH65536 IVH65538:IVH131072 IVH131074:IVH196608 IVH196610:IVH262144 IVH262146:IVH327680 IVH327682:IVH393216 IVH393218:IVH458752 IVH458754:IVH524288 IVH524290:IVH589824 IVH589826:IVH655360 IVH655362:IVH720896 IVH720898:IVH786432 IVH786434:IVH851968 IVH851970:IVH917504 IVH917506:IVH983040 IVH983042:IVH1048576 JFD2:JFD65536 JFD65538:JFD131072 JFD131074:JFD196608 JFD196610:JFD262144 JFD262146:JFD327680 JFD327682:JFD393216 JFD393218:JFD458752 JFD458754:JFD524288 JFD524290:JFD589824 JFD589826:JFD655360 JFD655362:JFD720896 JFD720898:JFD786432 JFD786434:JFD851968 JFD851970:JFD917504 JFD917506:JFD983040 JFD983042:JFD1048576 JOZ2:JOZ65536 JOZ65538:JOZ131072 JOZ131074:JOZ196608 JOZ196610:JOZ262144 JOZ262146:JOZ327680 JOZ327682:JOZ393216 JOZ393218:JOZ458752 JOZ458754:JOZ524288 JOZ524290:JOZ589824 JOZ589826:JOZ655360 JOZ655362:JOZ720896 JOZ720898:JOZ786432 JOZ786434:JOZ851968 JOZ851970:JOZ917504 JOZ917506:JOZ983040 JOZ983042:JOZ1048576 JYV2:JYV65536 JYV65538:JYV131072 JYV131074:JYV196608 JYV196610:JYV262144 JYV262146:JYV327680 JYV327682:JYV393216 JYV393218:JYV458752 JYV458754:JYV524288 JYV524290:JYV589824 JYV589826:JYV655360 JYV655362:JYV720896 JYV720898:JYV786432 JYV786434:JYV851968 JYV851970:JYV917504 JYV917506:JYV983040 JYV983042:JYV1048576 KIR2:KIR65536 KIR65538:KIR131072 KIR131074:KIR196608 KIR196610:KIR262144 KIR262146:KIR327680 KIR327682:KIR393216 KIR393218:KIR458752 KIR458754:KIR524288 KIR524290:KIR589824 KIR589826:KIR655360 KIR655362:KIR720896 KIR720898:KIR786432 KIR786434:KIR851968 KIR851970:KIR917504 KIR917506:KIR983040 KIR983042:KIR1048576 KSN2:KSN65536 KSN65538:KSN131072 KSN131074:KSN196608 KSN196610:KSN262144 KSN262146:KSN327680 KSN327682:KSN393216 KSN393218:KSN458752 KSN458754:KSN524288 KSN524290:KSN589824 KSN589826:KSN655360 KSN655362:KSN720896 KSN720898:KSN786432 KSN786434:KSN851968 KSN851970:KSN917504 KSN917506:KSN983040 KSN983042:KSN1048576 LCJ2:LCJ65536 LCJ65538:LCJ131072 LCJ131074:LCJ196608 LCJ196610:LCJ262144 LCJ262146:LCJ327680 LCJ327682:LCJ393216 LCJ393218:LCJ458752 LCJ458754:LCJ524288 LCJ524290:LCJ589824 LCJ589826:LCJ655360 LCJ655362:LCJ720896 LCJ720898:LCJ786432 LCJ786434:LCJ851968 LCJ851970:LCJ917504 LCJ917506:LCJ983040 LCJ983042:LCJ1048576 LMF2:LMF65536 LMF65538:LMF131072 LMF131074:LMF196608 LMF196610:LMF262144 LMF262146:LMF327680 LMF327682:LMF393216 LMF393218:LMF458752 LMF458754:LMF524288 LMF524290:LMF589824 LMF589826:LMF655360 LMF655362:LMF720896 LMF720898:LMF786432 LMF786434:LMF851968 LMF851970:LMF917504 LMF917506:LMF983040 LMF983042:LMF1048576 LWB2:LWB65536 LWB65538:LWB131072 LWB131074:LWB196608 LWB196610:LWB262144 LWB262146:LWB327680 LWB327682:LWB393216 LWB393218:LWB458752 LWB458754:LWB524288 LWB524290:LWB589824 LWB589826:LWB655360 LWB655362:LWB720896 LWB720898:LWB786432 LWB786434:LWB851968 LWB851970:LWB917504 LWB917506:LWB983040 LWB983042:LWB1048576 MFX2:MFX65536 MFX65538:MFX131072 MFX131074:MFX196608 MFX196610:MFX262144 MFX262146:MFX327680 MFX327682:MFX393216 MFX393218:MFX458752 MFX458754:MFX524288 MFX524290:MFX589824 MFX589826:MFX655360 MFX655362:MFX720896 MFX720898:MFX786432 MFX786434:MFX851968 MFX851970:MFX917504 MFX917506:MFX983040 MFX983042:MFX1048576 MPT2:MPT65536 MPT65538:MPT131072 MPT131074:MPT196608 MPT196610:MPT262144 MPT262146:MPT327680 MPT327682:MPT393216 MPT393218:MPT458752 MPT458754:MPT524288 MPT524290:MPT589824 MPT589826:MPT655360 MPT655362:MPT720896 MPT720898:MPT786432 MPT786434:MPT851968 MPT851970:MPT917504 MPT917506:MPT983040 MPT983042:MPT1048576 MZP2:MZP65536 MZP65538:MZP131072 MZP131074:MZP196608 MZP196610:MZP262144 MZP262146:MZP327680 MZP327682:MZP393216 MZP393218:MZP458752 MZP458754:MZP524288 MZP524290:MZP589824 MZP589826:MZP655360 MZP655362:MZP720896 MZP720898:MZP786432 MZP786434:MZP851968 MZP851970:MZP917504 MZP917506:MZP983040 MZP983042:MZP1048576 NJL2:NJL65536 NJL65538:NJL131072 NJL131074:NJL196608 NJL196610:NJL262144 NJL262146:NJL327680 NJL327682:NJL393216 NJL393218:NJL458752 NJL458754:NJL524288 NJL524290:NJL589824 NJL589826:NJL655360 NJL655362:NJL720896 NJL720898:NJL786432 NJL786434:NJL851968 NJL851970:NJL917504 NJL917506:NJL983040 NJL983042:NJL1048576 NTH2:NTH65536 NTH65538:NTH131072 NTH131074:NTH196608 NTH196610:NTH262144 NTH262146:NTH327680 NTH327682:NTH393216 NTH393218:NTH458752 NTH458754:NTH524288 NTH524290:NTH589824 NTH589826:NTH655360 NTH655362:NTH720896 NTH720898:NTH786432 NTH786434:NTH851968 NTH851970:NTH917504 NTH917506:NTH983040 NTH983042:NTH1048576 ODD2:ODD65536 ODD65538:ODD131072 ODD131074:ODD196608 ODD196610:ODD262144 ODD262146:ODD327680 ODD327682:ODD393216 ODD393218:ODD458752 ODD458754:ODD524288 ODD524290:ODD589824 ODD589826:ODD655360 ODD655362:ODD720896 ODD720898:ODD786432 ODD786434:ODD851968 ODD851970:ODD917504 ODD917506:ODD983040 ODD983042:ODD1048576 OMZ2:OMZ65536 OMZ65538:OMZ131072 OMZ131074:OMZ196608 OMZ196610:OMZ262144 OMZ262146:OMZ327680 OMZ327682:OMZ393216 OMZ393218:OMZ458752 OMZ458754:OMZ524288 OMZ524290:OMZ589824 OMZ589826:OMZ655360 OMZ655362:OMZ720896 OMZ720898:OMZ786432 OMZ786434:OMZ851968 OMZ851970:OMZ917504 OMZ917506:OMZ983040 OMZ983042:OMZ1048576 OWV2:OWV65536 OWV65538:OWV131072 OWV131074:OWV196608 OWV196610:OWV262144 OWV262146:OWV327680 OWV327682:OWV393216 OWV393218:OWV458752 OWV458754:OWV524288 OWV524290:OWV589824 OWV589826:OWV655360 OWV655362:OWV720896 OWV720898:OWV786432 OWV786434:OWV851968 OWV851970:OWV917504 OWV917506:OWV983040 OWV983042:OWV1048576 PGR2:PGR65536 PGR65538:PGR131072 PGR131074:PGR196608 PGR196610:PGR262144 PGR262146:PGR327680 PGR327682:PGR393216 PGR393218:PGR458752 PGR458754:PGR524288 PGR524290:PGR589824 PGR589826:PGR655360 PGR655362:PGR720896 PGR720898:PGR786432 PGR786434:PGR851968 PGR851970:PGR917504 PGR917506:PGR983040 PGR983042:PGR1048576 PQN2:PQN65536 PQN65538:PQN131072 PQN131074:PQN196608 PQN196610:PQN262144 PQN262146:PQN327680 PQN327682:PQN393216 PQN393218:PQN458752 PQN458754:PQN524288 PQN524290:PQN589824 PQN589826:PQN655360 PQN655362:PQN720896 PQN720898:PQN786432 PQN786434:PQN851968 PQN851970:PQN917504 PQN917506:PQN983040 PQN983042:PQN1048576 QAJ2:QAJ65536 QAJ65538:QAJ131072 QAJ131074:QAJ196608 QAJ196610:QAJ262144 QAJ262146:QAJ327680 QAJ327682:QAJ393216 QAJ393218:QAJ458752 QAJ458754:QAJ524288 QAJ524290:QAJ589824 QAJ589826:QAJ655360 QAJ655362:QAJ720896 QAJ720898:QAJ786432 QAJ786434:QAJ851968 QAJ851970:QAJ917504 QAJ917506:QAJ983040 QAJ983042:QAJ1048576 QKF2:QKF65536 QKF65538:QKF131072 QKF131074:QKF196608 QKF196610:QKF262144 QKF262146:QKF327680 QKF327682:QKF393216 QKF393218:QKF458752 QKF458754:QKF524288 QKF524290:QKF589824 QKF589826:QKF655360 QKF655362:QKF720896 QKF720898:QKF786432 QKF786434:QKF851968 QKF851970:QKF917504 QKF917506:QKF983040 QKF983042:QKF1048576 QUB2:QUB65536 QUB65538:QUB131072 QUB131074:QUB196608 QUB196610:QUB262144 QUB262146:QUB327680 QUB327682:QUB393216 QUB393218:QUB458752 QUB458754:QUB524288 QUB524290:QUB589824 QUB589826:QUB655360 QUB655362:QUB720896 QUB720898:QUB786432 QUB786434:QUB851968 QUB851970:QUB917504 QUB917506:QUB983040 QUB983042:QUB1048576 RDX2:RDX65536 RDX65538:RDX131072 RDX131074:RDX196608 RDX196610:RDX262144 RDX262146:RDX327680 RDX327682:RDX393216 RDX393218:RDX458752 RDX458754:RDX524288 RDX524290:RDX589824 RDX589826:RDX655360 RDX655362:RDX720896 RDX720898:RDX786432 RDX786434:RDX851968 RDX851970:RDX917504 RDX917506:RDX983040 RDX983042:RDX1048576 RNT2:RNT65536 RNT65538:RNT131072 RNT131074:RNT196608 RNT196610:RNT262144 RNT262146:RNT327680 RNT327682:RNT393216 RNT393218:RNT458752 RNT458754:RNT524288 RNT524290:RNT589824 RNT589826:RNT655360 RNT655362:RNT720896 RNT720898:RNT786432 RNT786434:RNT851968 RNT851970:RNT917504 RNT917506:RNT983040 RNT983042:RNT1048576 RXP2:RXP65536 RXP65538:RXP131072 RXP131074:RXP196608 RXP196610:RXP262144 RXP262146:RXP327680 RXP327682:RXP393216 RXP393218:RXP458752 RXP458754:RXP524288 RXP524290:RXP589824 RXP589826:RXP655360 RXP655362:RXP720896 RXP720898:RXP786432 RXP786434:RXP851968 RXP851970:RXP917504 RXP917506:RXP983040 RXP983042:RXP1048576 SHL2:SHL65536 SHL65538:SHL131072 SHL131074:SHL196608 SHL196610:SHL262144 SHL262146:SHL327680 SHL327682:SHL393216 SHL393218:SHL458752 SHL458754:SHL524288 SHL524290:SHL589824 SHL589826:SHL655360 SHL655362:SHL720896 SHL720898:SHL786432 SHL786434:SHL851968 SHL851970:SHL917504 SHL917506:SHL983040 SHL983042:SHL1048576 SRH2:SRH65536 SRH65538:SRH131072 SRH131074:SRH196608 SRH196610:SRH262144 SRH262146:SRH327680 SRH327682:SRH393216 SRH393218:SRH458752 SRH458754:SRH524288 SRH524290:SRH589824 SRH589826:SRH655360 SRH655362:SRH720896 SRH720898:SRH786432 SRH786434:SRH851968 SRH851970:SRH917504 SRH917506:SRH983040 SRH983042:SRH1048576 TBD2:TBD65536 TBD65538:TBD131072 TBD131074:TBD196608 TBD196610:TBD262144 TBD262146:TBD327680 TBD327682:TBD393216 TBD393218:TBD458752 TBD458754:TBD524288 TBD524290:TBD589824 TBD589826:TBD655360 TBD655362:TBD720896 TBD720898:TBD786432 TBD786434:TBD851968 TBD851970:TBD917504 TBD917506:TBD983040 TBD983042:TBD1048576 TKZ2:TKZ65536 TKZ65538:TKZ131072 TKZ131074:TKZ196608 TKZ196610:TKZ262144 TKZ262146:TKZ327680 TKZ327682:TKZ393216 TKZ393218:TKZ458752 TKZ458754:TKZ524288 TKZ524290:TKZ589824 TKZ589826:TKZ655360 TKZ655362:TKZ720896 TKZ720898:TKZ786432 TKZ786434:TKZ851968 TKZ851970:TKZ917504 TKZ917506:TKZ983040 TKZ983042:TKZ1048576 TUV2:TUV65536 TUV65538:TUV131072 TUV131074:TUV196608 TUV196610:TUV262144 TUV262146:TUV327680 TUV327682:TUV393216 TUV393218:TUV458752 TUV458754:TUV524288 TUV524290:TUV589824 TUV589826:TUV655360 TUV655362:TUV720896 TUV720898:TUV786432 TUV786434:TUV851968 TUV851970:TUV917504 TUV917506:TUV983040 TUV983042:TUV1048576 UER2:UER65536 UER65538:UER131072 UER131074:UER196608 UER196610:UER262144 UER262146:UER327680 UER327682:UER393216 UER393218:UER458752 UER458754:UER524288 UER524290:UER589824 UER589826:UER655360 UER655362:UER720896 UER720898:UER786432 UER786434:UER851968 UER851970:UER917504 UER917506:UER983040 UER983042:UER1048576 UON2:UON65536 UON65538:UON131072 UON131074:UON196608 UON196610:UON262144 UON262146:UON327680 UON327682:UON393216 UON393218:UON458752 UON458754:UON524288 UON524290:UON589824 UON589826:UON655360 UON655362:UON720896 UON720898:UON786432 UON786434:UON851968 UON851970:UON917504 UON917506:UON983040 UON983042:UON1048576 UYJ2:UYJ65536 UYJ65538:UYJ131072 UYJ131074:UYJ196608 UYJ196610:UYJ262144 UYJ262146:UYJ327680 UYJ327682:UYJ393216 UYJ393218:UYJ458752 UYJ458754:UYJ524288 UYJ524290:UYJ589824 UYJ589826:UYJ655360 UYJ655362:UYJ720896 UYJ720898:UYJ786432 UYJ786434:UYJ851968 UYJ851970:UYJ917504 UYJ917506:UYJ983040 UYJ983042:UYJ1048576 VIF2:VIF65536 VIF65538:VIF131072 VIF131074:VIF196608 VIF196610:VIF262144 VIF262146:VIF327680 VIF327682:VIF393216 VIF393218:VIF458752 VIF458754:VIF524288 VIF524290:VIF589824 VIF589826:VIF655360 VIF655362:VIF720896 VIF720898:VIF786432 VIF786434:VIF851968 VIF851970:VIF917504 VIF917506:VIF983040 VIF983042:VIF1048576 VSB2:VSB65536 VSB65538:VSB131072 VSB131074:VSB196608 VSB196610:VSB262144 VSB262146:VSB327680 VSB327682:VSB393216 VSB393218:VSB458752 VSB458754:VSB524288 VSB524290:VSB589824 VSB589826:VSB655360 VSB655362:VSB720896 VSB720898:VSB786432 VSB786434:VSB851968 VSB851970:VSB917504 VSB917506:VSB983040 VSB983042:VSB1048576 WBX2:WBX65536 WBX65538:WBX131072 WBX131074:WBX196608 WBX196610:WBX262144 WBX262146:WBX327680 WBX327682:WBX393216 WBX393218:WBX458752 WBX458754:WBX524288 WBX524290:WBX589824 WBX589826:WBX655360 WBX655362:WBX720896 WBX720898:WBX786432 WBX786434:WBX851968 WBX851970:WBX917504 WBX917506:WBX983040 WBX983042:WBX1048576 WLT2:WLT65536 WLT65538:WLT131072 WLT131074:WLT196608 WLT196610:WLT262144 WLT262146:WLT327680 WLT327682:WLT393216 WLT393218:WLT458752 WLT458754:WLT524288 WLT524290:WLT589824 WLT589826:WLT655360 WLT655362:WLT720896 WLT720898:WLT786432 WLT786434:WLT851968 WLT851970:WLT917504 WLT917506:WLT983040 WLT983042:WLT1048576 WVP2:WVP65536 WVP65538:WVP131072 WVP131074:WVP196608 WVP196610:WVP262144 WVP262146:WVP327680 WVP327682:WVP393216 WVP393218:WVP458752 WVP458754:WVP524288 WVP524290:WVP589824 WVP589826:WVP655360 WVP655362:WVP720896 WVP720898:WVP786432 WVP786434:WVP851968 WVP851970:WVP917504 WVP917506:WVP983040 WVP983042:WVP1048576">
      <formula1>签证种类</formula1>
    </dataValidation>
    <dataValidation type="list" allowBlank="1" showInputMessage="1" showErrorMessage="1" sqref="J2:J65536 J65538:J131072 J131074:J196608 J196610:J262144 J262146:J327680 J327682:J393216 J393218:J458752 J458754:J524288 J524290:J589824 J589826:J655360 J655362:J720896 J720898:J786432 J786434:J851968 J851970:J917504 J917506:J983040 J983042:J1048576 JF2:JF65536 JF65538:JF131072 JF131074:JF196608 JF196610:JF262144 JF262146:JF327680 JF327682:JF393216 JF393218:JF458752 JF458754:JF524288 JF524290:JF589824 JF589826:JF655360 JF655362:JF720896 JF720898:JF786432 JF786434:JF851968 JF851970:JF917504 JF917506:JF983040 JF983042:JF1048576 TB2:TB65536 TB65538:TB131072 TB131074:TB196608 TB196610:TB262144 TB262146:TB327680 TB327682:TB393216 TB393218:TB458752 TB458754:TB524288 TB524290:TB589824 TB589826:TB655360 TB655362:TB720896 TB720898:TB786432 TB786434:TB851968 TB851970:TB917504 TB917506:TB983040 TB983042:TB1048576 ACX2:ACX65536 ACX65538:ACX131072 ACX131074:ACX196608 ACX196610:ACX262144 ACX262146:ACX327680 ACX327682:ACX393216 ACX393218:ACX458752 ACX458754:ACX524288 ACX524290:ACX589824 ACX589826:ACX655360 ACX655362:ACX720896 ACX720898:ACX786432 ACX786434:ACX851968 ACX851970:ACX917504 ACX917506:ACX983040 ACX983042:ACX1048576 AMT2:AMT65536 AMT65538:AMT131072 AMT131074:AMT196608 AMT196610:AMT262144 AMT262146:AMT327680 AMT327682:AMT393216 AMT393218:AMT458752 AMT458754:AMT524288 AMT524290:AMT589824 AMT589826:AMT655360 AMT655362:AMT720896 AMT720898:AMT786432 AMT786434:AMT851968 AMT851970:AMT917504 AMT917506:AMT983040 AMT983042:AMT1048576 AWP2:AWP65536 AWP65538:AWP131072 AWP131074:AWP196608 AWP196610:AWP262144 AWP262146:AWP327680 AWP327682:AWP393216 AWP393218:AWP458752 AWP458754:AWP524288 AWP524290:AWP589824 AWP589826:AWP655360 AWP655362:AWP720896 AWP720898:AWP786432 AWP786434:AWP851968 AWP851970:AWP917504 AWP917506:AWP983040 AWP983042:AWP1048576 BGL2:BGL65536 BGL65538:BGL131072 BGL131074:BGL196608 BGL196610:BGL262144 BGL262146:BGL327680 BGL327682:BGL393216 BGL393218:BGL458752 BGL458754:BGL524288 BGL524290:BGL589824 BGL589826:BGL655360 BGL655362:BGL720896 BGL720898:BGL786432 BGL786434:BGL851968 BGL851970:BGL917504 BGL917506:BGL983040 BGL983042:BGL1048576 BQH2:BQH65536 BQH65538:BQH131072 BQH131074:BQH196608 BQH196610:BQH262144 BQH262146:BQH327680 BQH327682:BQH393216 BQH393218:BQH458752 BQH458754:BQH524288 BQH524290:BQH589824 BQH589826:BQH655360 BQH655362:BQH720896 BQH720898:BQH786432 BQH786434:BQH851968 BQH851970:BQH917504 BQH917506:BQH983040 BQH983042:BQH1048576 CAD2:CAD65536 CAD65538:CAD131072 CAD131074:CAD196608 CAD196610:CAD262144 CAD262146:CAD327680 CAD327682:CAD393216 CAD393218:CAD458752 CAD458754:CAD524288 CAD524290:CAD589824 CAD589826:CAD655360 CAD655362:CAD720896 CAD720898:CAD786432 CAD786434:CAD851968 CAD851970:CAD917504 CAD917506:CAD983040 CAD983042:CAD1048576 CJZ2:CJZ65536 CJZ65538:CJZ131072 CJZ131074:CJZ196608 CJZ196610:CJZ262144 CJZ262146:CJZ327680 CJZ327682:CJZ393216 CJZ393218:CJZ458752 CJZ458754:CJZ524288 CJZ524290:CJZ589824 CJZ589826:CJZ655360 CJZ655362:CJZ720896 CJZ720898:CJZ786432 CJZ786434:CJZ851968 CJZ851970:CJZ917504 CJZ917506:CJZ983040 CJZ983042:CJZ1048576 CTV2:CTV65536 CTV65538:CTV131072 CTV131074:CTV196608 CTV196610:CTV262144 CTV262146:CTV327680 CTV327682:CTV393216 CTV393218:CTV458752 CTV458754:CTV524288 CTV524290:CTV589824 CTV589826:CTV655360 CTV655362:CTV720896 CTV720898:CTV786432 CTV786434:CTV851968 CTV851970:CTV917504 CTV917506:CTV983040 CTV983042:CTV1048576 DDR2:DDR65536 DDR65538:DDR131072 DDR131074:DDR196608 DDR196610:DDR262144 DDR262146:DDR327680 DDR327682:DDR393216 DDR393218:DDR458752 DDR458754:DDR524288 DDR524290:DDR589824 DDR589826:DDR655360 DDR655362:DDR720896 DDR720898:DDR786432 DDR786434:DDR851968 DDR851970:DDR917504 DDR917506:DDR983040 DDR983042:DDR1048576 DNN2:DNN65536 DNN65538:DNN131072 DNN131074:DNN196608 DNN196610:DNN262144 DNN262146:DNN327680 DNN327682:DNN393216 DNN393218:DNN458752 DNN458754:DNN524288 DNN524290:DNN589824 DNN589826:DNN655360 DNN655362:DNN720896 DNN720898:DNN786432 DNN786434:DNN851968 DNN851970:DNN917504 DNN917506:DNN983040 DNN983042:DNN1048576 DXJ2:DXJ65536 DXJ65538:DXJ131072 DXJ131074:DXJ196608 DXJ196610:DXJ262144 DXJ262146:DXJ327680 DXJ327682:DXJ393216 DXJ393218:DXJ458752 DXJ458754:DXJ524288 DXJ524290:DXJ589824 DXJ589826:DXJ655360 DXJ655362:DXJ720896 DXJ720898:DXJ786432 DXJ786434:DXJ851968 DXJ851970:DXJ917504 DXJ917506:DXJ983040 DXJ983042:DXJ1048576 EHF2:EHF65536 EHF65538:EHF131072 EHF131074:EHF196608 EHF196610:EHF262144 EHF262146:EHF327680 EHF327682:EHF393216 EHF393218:EHF458752 EHF458754:EHF524288 EHF524290:EHF589824 EHF589826:EHF655360 EHF655362:EHF720896 EHF720898:EHF786432 EHF786434:EHF851968 EHF851970:EHF917504 EHF917506:EHF983040 EHF983042:EHF1048576 ERB2:ERB65536 ERB65538:ERB131072 ERB131074:ERB196608 ERB196610:ERB262144 ERB262146:ERB327680 ERB327682:ERB393216 ERB393218:ERB458752 ERB458754:ERB524288 ERB524290:ERB589824 ERB589826:ERB655360 ERB655362:ERB720896 ERB720898:ERB786432 ERB786434:ERB851968 ERB851970:ERB917504 ERB917506:ERB983040 ERB983042:ERB1048576 FAX2:FAX65536 FAX65538:FAX131072 FAX131074:FAX196608 FAX196610:FAX262144 FAX262146:FAX327680 FAX327682:FAX393216 FAX393218:FAX458752 FAX458754:FAX524288 FAX524290:FAX589824 FAX589826:FAX655360 FAX655362:FAX720896 FAX720898:FAX786432 FAX786434:FAX851968 FAX851970:FAX917504 FAX917506:FAX983040 FAX983042:FAX1048576 FKT2:FKT65536 FKT65538:FKT131072 FKT131074:FKT196608 FKT196610:FKT262144 FKT262146:FKT327680 FKT327682:FKT393216 FKT393218:FKT458752 FKT458754:FKT524288 FKT524290:FKT589824 FKT589826:FKT655360 FKT655362:FKT720896 FKT720898:FKT786432 FKT786434:FKT851968 FKT851970:FKT917504 FKT917506:FKT983040 FKT983042:FKT1048576 FUP2:FUP65536 FUP65538:FUP131072 FUP131074:FUP196608 FUP196610:FUP262144 FUP262146:FUP327680 FUP327682:FUP393216 FUP393218:FUP458752 FUP458754:FUP524288 FUP524290:FUP589824 FUP589826:FUP655360 FUP655362:FUP720896 FUP720898:FUP786432 FUP786434:FUP851968 FUP851970:FUP917504 FUP917506:FUP983040 FUP983042:FUP1048576 GEL2:GEL65536 GEL65538:GEL131072 GEL131074:GEL196608 GEL196610:GEL262144 GEL262146:GEL327680 GEL327682:GEL393216 GEL393218:GEL458752 GEL458754:GEL524288 GEL524290:GEL589824 GEL589826:GEL655360 GEL655362:GEL720896 GEL720898:GEL786432 GEL786434:GEL851968 GEL851970:GEL917504 GEL917506:GEL983040 GEL983042:GEL1048576 GOH2:GOH65536 GOH65538:GOH131072 GOH131074:GOH196608 GOH196610:GOH262144 GOH262146:GOH327680 GOH327682:GOH393216 GOH393218:GOH458752 GOH458754:GOH524288 GOH524290:GOH589824 GOH589826:GOH655360 GOH655362:GOH720896 GOH720898:GOH786432 GOH786434:GOH851968 GOH851970:GOH917504 GOH917506:GOH983040 GOH983042:GOH1048576 GYD2:GYD65536 GYD65538:GYD131072 GYD131074:GYD196608 GYD196610:GYD262144 GYD262146:GYD327680 GYD327682:GYD393216 GYD393218:GYD458752 GYD458754:GYD524288 GYD524290:GYD589824 GYD589826:GYD655360 GYD655362:GYD720896 GYD720898:GYD786432 GYD786434:GYD851968 GYD851970:GYD917504 GYD917506:GYD983040 GYD983042:GYD1048576 HHZ2:HHZ65536 HHZ65538:HHZ131072 HHZ131074:HHZ196608 HHZ196610:HHZ262144 HHZ262146:HHZ327680 HHZ327682:HHZ393216 HHZ393218:HHZ458752 HHZ458754:HHZ524288 HHZ524290:HHZ589824 HHZ589826:HHZ655360 HHZ655362:HHZ720896 HHZ720898:HHZ786432 HHZ786434:HHZ851968 HHZ851970:HHZ917504 HHZ917506:HHZ983040 HHZ983042:HHZ1048576 HRV2:HRV65536 HRV65538:HRV131072 HRV131074:HRV196608 HRV196610:HRV262144 HRV262146:HRV327680 HRV327682:HRV393216 HRV393218:HRV458752 HRV458754:HRV524288 HRV524290:HRV589824 HRV589826:HRV655360 HRV655362:HRV720896 HRV720898:HRV786432 HRV786434:HRV851968 HRV851970:HRV917504 HRV917506:HRV983040 HRV983042:HRV1048576 IBR2:IBR65536 IBR65538:IBR131072 IBR131074:IBR196608 IBR196610:IBR262144 IBR262146:IBR327680 IBR327682:IBR393216 IBR393218:IBR458752 IBR458754:IBR524288 IBR524290:IBR589824 IBR589826:IBR655360 IBR655362:IBR720896 IBR720898:IBR786432 IBR786434:IBR851968 IBR851970:IBR917504 IBR917506:IBR983040 IBR983042:IBR1048576 ILN2:ILN65536 ILN65538:ILN131072 ILN131074:ILN196608 ILN196610:ILN262144 ILN262146:ILN327680 ILN327682:ILN393216 ILN393218:ILN458752 ILN458754:ILN524288 ILN524290:ILN589824 ILN589826:ILN655360 ILN655362:ILN720896 ILN720898:ILN786432 ILN786434:ILN851968 ILN851970:ILN917504 ILN917506:ILN983040 ILN983042:ILN1048576 IVJ2:IVJ65536 IVJ65538:IVJ131072 IVJ131074:IVJ196608 IVJ196610:IVJ262144 IVJ262146:IVJ327680 IVJ327682:IVJ393216 IVJ393218:IVJ458752 IVJ458754:IVJ524288 IVJ524290:IVJ589824 IVJ589826:IVJ655360 IVJ655362:IVJ720896 IVJ720898:IVJ786432 IVJ786434:IVJ851968 IVJ851970:IVJ917504 IVJ917506:IVJ983040 IVJ983042:IVJ1048576 JFF2:JFF65536 JFF65538:JFF131072 JFF131074:JFF196608 JFF196610:JFF262144 JFF262146:JFF327680 JFF327682:JFF393216 JFF393218:JFF458752 JFF458754:JFF524288 JFF524290:JFF589824 JFF589826:JFF655360 JFF655362:JFF720896 JFF720898:JFF786432 JFF786434:JFF851968 JFF851970:JFF917504 JFF917506:JFF983040 JFF983042:JFF1048576 JPB2:JPB65536 JPB65538:JPB131072 JPB131074:JPB196608 JPB196610:JPB262144 JPB262146:JPB327680 JPB327682:JPB393216 JPB393218:JPB458752 JPB458754:JPB524288 JPB524290:JPB589824 JPB589826:JPB655360 JPB655362:JPB720896 JPB720898:JPB786432 JPB786434:JPB851968 JPB851970:JPB917504 JPB917506:JPB983040 JPB983042:JPB1048576 JYX2:JYX65536 JYX65538:JYX131072 JYX131074:JYX196608 JYX196610:JYX262144 JYX262146:JYX327680 JYX327682:JYX393216 JYX393218:JYX458752 JYX458754:JYX524288 JYX524290:JYX589824 JYX589826:JYX655360 JYX655362:JYX720896 JYX720898:JYX786432 JYX786434:JYX851968 JYX851970:JYX917504 JYX917506:JYX983040 JYX983042:JYX1048576 KIT2:KIT65536 KIT65538:KIT131072 KIT131074:KIT196608 KIT196610:KIT262144 KIT262146:KIT327680 KIT327682:KIT393216 KIT393218:KIT458752 KIT458754:KIT524288 KIT524290:KIT589824 KIT589826:KIT655360 KIT655362:KIT720896 KIT720898:KIT786432 KIT786434:KIT851968 KIT851970:KIT917504 KIT917506:KIT983040 KIT983042:KIT1048576 KSP2:KSP65536 KSP65538:KSP131072 KSP131074:KSP196608 KSP196610:KSP262144 KSP262146:KSP327680 KSP327682:KSP393216 KSP393218:KSP458752 KSP458754:KSP524288 KSP524290:KSP589824 KSP589826:KSP655360 KSP655362:KSP720896 KSP720898:KSP786432 KSP786434:KSP851968 KSP851970:KSP917504 KSP917506:KSP983040 KSP983042:KSP1048576 LCL2:LCL65536 LCL65538:LCL131072 LCL131074:LCL196608 LCL196610:LCL262144 LCL262146:LCL327680 LCL327682:LCL393216 LCL393218:LCL458752 LCL458754:LCL524288 LCL524290:LCL589824 LCL589826:LCL655360 LCL655362:LCL720896 LCL720898:LCL786432 LCL786434:LCL851968 LCL851970:LCL917504 LCL917506:LCL983040 LCL983042:LCL1048576 LMH2:LMH65536 LMH65538:LMH131072 LMH131074:LMH196608 LMH196610:LMH262144 LMH262146:LMH327680 LMH327682:LMH393216 LMH393218:LMH458752 LMH458754:LMH524288 LMH524290:LMH589824 LMH589826:LMH655360 LMH655362:LMH720896 LMH720898:LMH786432 LMH786434:LMH851968 LMH851970:LMH917504 LMH917506:LMH983040 LMH983042:LMH1048576 LWD2:LWD65536 LWD65538:LWD131072 LWD131074:LWD196608 LWD196610:LWD262144 LWD262146:LWD327680 LWD327682:LWD393216 LWD393218:LWD458752 LWD458754:LWD524288 LWD524290:LWD589824 LWD589826:LWD655360 LWD655362:LWD720896 LWD720898:LWD786432 LWD786434:LWD851968 LWD851970:LWD917504 LWD917506:LWD983040 LWD983042:LWD1048576 MFZ2:MFZ65536 MFZ65538:MFZ131072 MFZ131074:MFZ196608 MFZ196610:MFZ262144 MFZ262146:MFZ327680 MFZ327682:MFZ393216 MFZ393218:MFZ458752 MFZ458754:MFZ524288 MFZ524290:MFZ589824 MFZ589826:MFZ655360 MFZ655362:MFZ720896 MFZ720898:MFZ786432 MFZ786434:MFZ851968 MFZ851970:MFZ917504 MFZ917506:MFZ983040 MFZ983042:MFZ1048576 MPV2:MPV65536 MPV65538:MPV131072 MPV131074:MPV196608 MPV196610:MPV262144 MPV262146:MPV327680 MPV327682:MPV393216 MPV393218:MPV458752 MPV458754:MPV524288 MPV524290:MPV589824 MPV589826:MPV655360 MPV655362:MPV720896 MPV720898:MPV786432 MPV786434:MPV851968 MPV851970:MPV917504 MPV917506:MPV983040 MPV983042:MPV1048576 MZR2:MZR65536 MZR65538:MZR131072 MZR131074:MZR196608 MZR196610:MZR262144 MZR262146:MZR327680 MZR327682:MZR393216 MZR393218:MZR458752 MZR458754:MZR524288 MZR524290:MZR589824 MZR589826:MZR655360 MZR655362:MZR720896 MZR720898:MZR786432 MZR786434:MZR851968 MZR851970:MZR917504 MZR917506:MZR983040 MZR983042:MZR1048576 NJN2:NJN65536 NJN65538:NJN131072 NJN131074:NJN196608 NJN196610:NJN262144 NJN262146:NJN327680 NJN327682:NJN393216 NJN393218:NJN458752 NJN458754:NJN524288 NJN524290:NJN589824 NJN589826:NJN655360 NJN655362:NJN720896 NJN720898:NJN786432 NJN786434:NJN851968 NJN851970:NJN917504 NJN917506:NJN983040 NJN983042:NJN1048576 NTJ2:NTJ65536 NTJ65538:NTJ131072 NTJ131074:NTJ196608 NTJ196610:NTJ262144 NTJ262146:NTJ327680 NTJ327682:NTJ393216 NTJ393218:NTJ458752 NTJ458754:NTJ524288 NTJ524290:NTJ589824 NTJ589826:NTJ655360 NTJ655362:NTJ720896 NTJ720898:NTJ786432 NTJ786434:NTJ851968 NTJ851970:NTJ917504 NTJ917506:NTJ983040 NTJ983042:NTJ1048576 ODF2:ODF65536 ODF65538:ODF131072 ODF131074:ODF196608 ODF196610:ODF262144 ODF262146:ODF327680 ODF327682:ODF393216 ODF393218:ODF458752 ODF458754:ODF524288 ODF524290:ODF589824 ODF589826:ODF655360 ODF655362:ODF720896 ODF720898:ODF786432 ODF786434:ODF851968 ODF851970:ODF917504 ODF917506:ODF983040 ODF983042:ODF1048576 ONB2:ONB65536 ONB65538:ONB131072 ONB131074:ONB196608 ONB196610:ONB262144 ONB262146:ONB327680 ONB327682:ONB393216 ONB393218:ONB458752 ONB458754:ONB524288 ONB524290:ONB589824 ONB589826:ONB655360 ONB655362:ONB720896 ONB720898:ONB786432 ONB786434:ONB851968 ONB851970:ONB917504 ONB917506:ONB983040 ONB983042:ONB1048576 OWX2:OWX65536 OWX65538:OWX131072 OWX131074:OWX196608 OWX196610:OWX262144 OWX262146:OWX327680 OWX327682:OWX393216 OWX393218:OWX458752 OWX458754:OWX524288 OWX524290:OWX589824 OWX589826:OWX655360 OWX655362:OWX720896 OWX720898:OWX786432 OWX786434:OWX851968 OWX851970:OWX917504 OWX917506:OWX983040 OWX983042:OWX1048576 PGT2:PGT65536 PGT65538:PGT131072 PGT131074:PGT196608 PGT196610:PGT262144 PGT262146:PGT327680 PGT327682:PGT393216 PGT393218:PGT458752 PGT458754:PGT524288 PGT524290:PGT589824 PGT589826:PGT655360 PGT655362:PGT720896 PGT720898:PGT786432 PGT786434:PGT851968 PGT851970:PGT917504 PGT917506:PGT983040 PGT983042:PGT1048576 PQP2:PQP65536 PQP65538:PQP131072 PQP131074:PQP196608 PQP196610:PQP262144 PQP262146:PQP327680 PQP327682:PQP393216 PQP393218:PQP458752 PQP458754:PQP524288 PQP524290:PQP589824 PQP589826:PQP655360 PQP655362:PQP720896 PQP720898:PQP786432 PQP786434:PQP851968 PQP851970:PQP917504 PQP917506:PQP983040 PQP983042:PQP1048576 QAL2:QAL65536 QAL65538:QAL131072 QAL131074:QAL196608 QAL196610:QAL262144 QAL262146:QAL327680 QAL327682:QAL393216 QAL393218:QAL458752 QAL458754:QAL524288 QAL524290:QAL589824 QAL589826:QAL655360 QAL655362:QAL720896 QAL720898:QAL786432 QAL786434:QAL851968 QAL851970:QAL917504 QAL917506:QAL983040 QAL983042:QAL1048576 QKH2:QKH65536 QKH65538:QKH131072 QKH131074:QKH196608 QKH196610:QKH262144 QKH262146:QKH327680 QKH327682:QKH393216 QKH393218:QKH458752 QKH458754:QKH524288 QKH524290:QKH589824 QKH589826:QKH655360 QKH655362:QKH720896 QKH720898:QKH786432 QKH786434:QKH851968 QKH851970:QKH917504 QKH917506:QKH983040 QKH983042:QKH1048576 QUD2:QUD65536 QUD65538:QUD131072 QUD131074:QUD196608 QUD196610:QUD262144 QUD262146:QUD327680 QUD327682:QUD393216 QUD393218:QUD458752 QUD458754:QUD524288 QUD524290:QUD589824 QUD589826:QUD655360 QUD655362:QUD720896 QUD720898:QUD786432 QUD786434:QUD851968 QUD851970:QUD917504 QUD917506:QUD983040 QUD983042:QUD1048576 RDZ2:RDZ65536 RDZ65538:RDZ131072 RDZ131074:RDZ196608 RDZ196610:RDZ262144 RDZ262146:RDZ327680 RDZ327682:RDZ393216 RDZ393218:RDZ458752 RDZ458754:RDZ524288 RDZ524290:RDZ589824 RDZ589826:RDZ655360 RDZ655362:RDZ720896 RDZ720898:RDZ786432 RDZ786434:RDZ851968 RDZ851970:RDZ917504 RDZ917506:RDZ983040 RDZ983042:RDZ1048576 RNV2:RNV65536 RNV65538:RNV131072 RNV131074:RNV196608 RNV196610:RNV262144 RNV262146:RNV327680 RNV327682:RNV393216 RNV393218:RNV458752 RNV458754:RNV524288 RNV524290:RNV589824 RNV589826:RNV655360 RNV655362:RNV720896 RNV720898:RNV786432 RNV786434:RNV851968 RNV851970:RNV917504 RNV917506:RNV983040 RNV983042:RNV1048576 RXR2:RXR65536 RXR65538:RXR131072 RXR131074:RXR196608 RXR196610:RXR262144 RXR262146:RXR327680 RXR327682:RXR393216 RXR393218:RXR458752 RXR458754:RXR524288 RXR524290:RXR589824 RXR589826:RXR655360 RXR655362:RXR720896 RXR720898:RXR786432 RXR786434:RXR851968 RXR851970:RXR917504 RXR917506:RXR983040 RXR983042:RXR1048576 SHN2:SHN65536 SHN65538:SHN131072 SHN131074:SHN196608 SHN196610:SHN262144 SHN262146:SHN327680 SHN327682:SHN393216 SHN393218:SHN458752 SHN458754:SHN524288 SHN524290:SHN589824 SHN589826:SHN655360 SHN655362:SHN720896 SHN720898:SHN786432 SHN786434:SHN851968 SHN851970:SHN917504 SHN917506:SHN983040 SHN983042:SHN1048576 SRJ2:SRJ65536 SRJ65538:SRJ131072 SRJ131074:SRJ196608 SRJ196610:SRJ262144 SRJ262146:SRJ327680 SRJ327682:SRJ393216 SRJ393218:SRJ458752 SRJ458754:SRJ524288 SRJ524290:SRJ589824 SRJ589826:SRJ655360 SRJ655362:SRJ720896 SRJ720898:SRJ786432 SRJ786434:SRJ851968 SRJ851970:SRJ917504 SRJ917506:SRJ983040 SRJ983042:SRJ1048576 TBF2:TBF65536 TBF65538:TBF131072 TBF131074:TBF196608 TBF196610:TBF262144 TBF262146:TBF327680 TBF327682:TBF393216 TBF393218:TBF458752 TBF458754:TBF524288 TBF524290:TBF589824 TBF589826:TBF655360 TBF655362:TBF720896 TBF720898:TBF786432 TBF786434:TBF851968 TBF851970:TBF917504 TBF917506:TBF983040 TBF983042:TBF1048576 TLB2:TLB65536 TLB65538:TLB131072 TLB131074:TLB196608 TLB196610:TLB262144 TLB262146:TLB327680 TLB327682:TLB393216 TLB393218:TLB458752 TLB458754:TLB524288 TLB524290:TLB589824 TLB589826:TLB655360 TLB655362:TLB720896 TLB720898:TLB786432 TLB786434:TLB851968 TLB851970:TLB917504 TLB917506:TLB983040 TLB983042:TLB1048576 TUX2:TUX65536 TUX65538:TUX131072 TUX131074:TUX196608 TUX196610:TUX262144 TUX262146:TUX327680 TUX327682:TUX393216 TUX393218:TUX458752 TUX458754:TUX524288 TUX524290:TUX589824 TUX589826:TUX655360 TUX655362:TUX720896 TUX720898:TUX786432 TUX786434:TUX851968 TUX851970:TUX917504 TUX917506:TUX983040 TUX983042:TUX1048576 UET2:UET65536 UET65538:UET131072 UET131074:UET196608 UET196610:UET262144 UET262146:UET327680 UET327682:UET393216 UET393218:UET458752 UET458754:UET524288 UET524290:UET589824 UET589826:UET655360 UET655362:UET720896 UET720898:UET786432 UET786434:UET851968 UET851970:UET917504 UET917506:UET983040 UET983042:UET1048576 UOP2:UOP65536 UOP65538:UOP131072 UOP131074:UOP196608 UOP196610:UOP262144 UOP262146:UOP327680 UOP327682:UOP393216 UOP393218:UOP458752 UOP458754:UOP524288 UOP524290:UOP589824 UOP589826:UOP655360 UOP655362:UOP720896 UOP720898:UOP786432 UOP786434:UOP851968 UOP851970:UOP917504 UOP917506:UOP983040 UOP983042:UOP1048576 UYL2:UYL65536 UYL65538:UYL131072 UYL131074:UYL196608 UYL196610:UYL262144 UYL262146:UYL327680 UYL327682:UYL393216 UYL393218:UYL458752 UYL458754:UYL524288 UYL524290:UYL589824 UYL589826:UYL655360 UYL655362:UYL720896 UYL720898:UYL786432 UYL786434:UYL851968 UYL851970:UYL917504 UYL917506:UYL983040 UYL983042:UYL1048576 VIH2:VIH65536 VIH65538:VIH131072 VIH131074:VIH196608 VIH196610:VIH262144 VIH262146:VIH327680 VIH327682:VIH393216 VIH393218:VIH458752 VIH458754:VIH524288 VIH524290:VIH589824 VIH589826:VIH655360 VIH655362:VIH720896 VIH720898:VIH786432 VIH786434:VIH851968 VIH851970:VIH917504 VIH917506:VIH983040 VIH983042:VIH1048576 VSD2:VSD65536 VSD65538:VSD131072 VSD131074:VSD196608 VSD196610:VSD262144 VSD262146:VSD327680 VSD327682:VSD393216 VSD393218:VSD458752 VSD458754:VSD524288 VSD524290:VSD589824 VSD589826:VSD655360 VSD655362:VSD720896 VSD720898:VSD786432 VSD786434:VSD851968 VSD851970:VSD917504 VSD917506:VSD983040 VSD983042:VSD1048576 WBZ2:WBZ65536 WBZ65538:WBZ131072 WBZ131074:WBZ196608 WBZ196610:WBZ262144 WBZ262146:WBZ327680 WBZ327682:WBZ393216 WBZ393218:WBZ458752 WBZ458754:WBZ524288 WBZ524290:WBZ589824 WBZ589826:WBZ655360 WBZ655362:WBZ720896 WBZ720898:WBZ786432 WBZ786434:WBZ851968 WBZ851970:WBZ917504 WBZ917506:WBZ983040 WBZ983042:WBZ1048576 WLV2:WLV65536 WLV65538:WLV131072 WLV131074:WLV196608 WLV196610:WLV262144 WLV262146:WLV327680 WLV327682:WLV393216 WLV393218:WLV458752 WLV458754:WLV524288 WLV524290:WLV589824 WLV589826:WLV655360 WLV655362:WLV720896 WLV720898:WLV786432 WLV786434:WLV851968 WLV851970:WLV917504 WLV917506:WLV983040 WLV983042:WLV1048576 WVR2:WVR65536 WVR65538:WVR131072 WVR131074:WVR196608 WVR196610:WVR262144 WVR262146:WVR327680 WVR327682:WVR393216 WVR393218:WVR458752 WVR458754:WVR524288 WVR524290:WVR589824 WVR589826:WVR655360 WVR655362:WVR720896 WVR720898:WVR786432 WVR786434:WVR851968 WVR851970:WVR917504 WVR917506:WVR983040 WVR983042:WVR1048576">
      <formula1>出入境事由</formula1>
    </dataValidation>
  </dataValidations>
  <pageMargins left="0.699305555555556" right="0.699305555555556"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dimension ref="A1:H20"/>
  <sheetViews>
    <sheetView view="pageBreakPreview" zoomScaleNormal="100" topLeftCell="A4" workbookViewId="0">
      <selection activeCell="B11" sqref="B11:C11"/>
    </sheetView>
  </sheetViews>
  <sheetFormatPr defaultColWidth="9" defaultRowHeight="18.75" outlineLevelCol="7"/>
  <cols>
    <col min="1" max="1" width="6.10833333333333" style="490" customWidth="1"/>
    <col min="2" max="2" width="10.4416666666667" style="491" customWidth="1"/>
    <col min="3" max="3" width="16.4416666666667" style="491" customWidth="1"/>
    <col min="4" max="4" width="11.4416666666667" style="491" customWidth="1"/>
    <col min="5" max="5" width="11.2166666666667" style="492" customWidth="1"/>
    <col min="6" max="6" width="8.66666666666667" style="491" customWidth="1"/>
    <col min="7" max="7" width="12.2166666666667" style="491" customWidth="1"/>
    <col min="8" max="8" width="13.3333333333333" style="491" customWidth="1"/>
    <col min="9" max="16384" width="9" style="491"/>
  </cols>
  <sheetData>
    <row r="1" s="488" customFormat="1" ht="33.75" customHeight="1" spans="1:8">
      <c r="A1" s="493"/>
      <c r="B1" s="494" t="s">
        <v>333</v>
      </c>
      <c r="C1" s="494"/>
      <c r="D1" s="494"/>
      <c r="E1" s="494"/>
      <c r="F1" s="494"/>
      <c r="G1" s="494"/>
      <c r="H1" s="494"/>
    </row>
    <row r="2" s="488" customFormat="1" ht="33.75" customHeight="1" spans="1:8">
      <c r="A2" s="493"/>
      <c r="B2" s="495" t="s">
        <v>334</v>
      </c>
      <c r="C2" s="495"/>
      <c r="D2" s="495"/>
      <c r="E2" s="495"/>
      <c r="F2" s="495"/>
      <c r="G2" s="495"/>
      <c r="H2" s="495"/>
    </row>
    <row r="3" s="488" customFormat="1" spans="1:8">
      <c r="A3" s="493"/>
      <c r="B3" s="496"/>
      <c r="C3" s="496"/>
      <c r="D3" s="496"/>
      <c r="E3" s="497"/>
      <c r="F3" s="496"/>
      <c r="G3" s="496"/>
      <c r="H3" s="496"/>
    </row>
    <row r="4" s="488" customFormat="1" customHeight="1" spans="1:8">
      <c r="A4" s="493"/>
      <c r="B4" s="498" t="s">
        <v>335</v>
      </c>
      <c r="C4" s="499"/>
      <c r="D4" s="500" t="str">
        <f>'Gen Inb'!I6</f>
        <v>环球01 </v>
      </c>
      <c r="E4" s="501"/>
      <c r="F4" s="502"/>
      <c r="G4" s="499" t="s">
        <v>336</v>
      </c>
      <c r="H4" s="503" t="str">
        <f>'Gen Inb'!F8</f>
        <v>利比里亚</v>
      </c>
    </row>
    <row r="5" s="488" customFormat="1" customHeight="1" spans="1:8">
      <c r="A5" s="493"/>
      <c r="B5" s="504" t="s">
        <v>337</v>
      </c>
      <c r="C5" s="505"/>
      <c r="D5" s="506" t="str">
        <f>'Gen Inb'!I7</f>
        <v>GLOBAO 01</v>
      </c>
      <c r="E5" s="507"/>
      <c r="F5" s="508"/>
      <c r="G5" s="505" t="s">
        <v>338</v>
      </c>
      <c r="H5" s="509" t="str">
        <f>'Gen Inb'!F9</f>
        <v>LIBERIA</v>
      </c>
    </row>
    <row r="6" s="664" customFormat="1" ht="31.5" customHeight="1" spans="1:8">
      <c r="A6" s="665"/>
      <c r="B6" s="510" t="s">
        <v>339</v>
      </c>
      <c r="C6" s="511"/>
      <c r="D6" s="512" t="s">
        <v>340</v>
      </c>
      <c r="E6" s="513" t="s">
        <v>303</v>
      </c>
      <c r="F6" s="514" t="s">
        <v>341</v>
      </c>
      <c r="G6" s="515" t="s">
        <v>342</v>
      </c>
      <c r="H6" s="512" t="s">
        <v>343</v>
      </c>
    </row>
    <row r="7" s="488" customFormat="1" ht="24.75" customHeight="1" spans="1:8">
      <c r="A7" s="493"/>
      <c r="B7" s="516" t="s">
        <v>344</v>
      </c>
      <c r="C7" s="517"/>
      <c r="D7" s="518" t="s">
        <v>338</v>
      </c>
      <c r="E7" s="519" t="s">
        <v>345</v>
      </c>
      <c r="F7" s="518" t="s">
        <v>346</v>
      </c>
      <c r="G7" s="520" t="s">
        <v>347</v>
      </c>
      <c r="H7" s="520" t="s">
        <v>348</v>
      </c>
    </row>
    <row r="8" s="488" customFormat="1" ht="30" customHeight="1" spans="1:8">
      <c r="A8" s="493"/>
      <c r="B8" s="666" t="s">
        <v>349</v>
      </c>
      <c r="C8" s="667"/>
      <c r="D8" s="523" t="s">
        <v>311</v>
      </c>
      <c r="E8" s="524">
        <v>29025</v>
      </c>
      <c r="F8" s="525" t="s">
        <v>350</v>
      </c>
      <c r="G8" s="526" t="s">
        <v>351</v>
      </c>
      <c r="H8" s="527" t="s">
        <v>352</v>
      </c>
    </row>
    <row r="9" s="488" customFormat="1" ht="30" customHeight="1" spans="1:8">
      <c r="A9" s="493"/>
      <c r="B9" s="668"/>
      <c r="C9" s="667"/>
      <c r="D9" s="526"/>
      <c r="E9" s="524"/>
      <c r="F9" s="529"/>
      <c r="G9" s="530"/>
      <c r="H9" s="531"/>
    </row>
    <row r="10" s="488" customFormat="1" ht="30" customHeight="1" spans="1:8">
      <c r="A10" s="493"/>
      <c r="B10" s="668"/>
      <c r="C10" s="667"/>
      <c r="D10" s="526"/>
      <c r="E10" s="524"/>
      <c r="F10" s="529"/>
      <c r="G10" s="530"/>
      <c r="H10" s="531"/>
    </row>
    <row r="11" s="488" customFormat="1" ht="30" customHeight="1" spans="1:8">
      <c r="A11" s="493"/>
      <c r="B11" s="668"/>
      <c r="C11" s="667"/>
      <c r="D11" s="526"/>
      <c r="E11" s="524"/>
      <c r="F11" s="529"/>
      <c r="G11" s="530"/>
      <c r="H11" s="531"/>
    </row>
    <row r="12" s="488" customFormat="1" ht="30" customHeight="1" spans="1:8">
      <c r="A12" s="493"/>
      <c r="B12" s="668"/>
      <c r="C12" s="667"/>
      <c r="D12" s="526"/>
      <c r="E12" s="524"/>
      <c r="F12" s="529"/>
      <c r="G12" s="530"/>
      <c r="H12" s="531"/>
    </row>
    <row r="13" s="488" customFormat="1" ht="30" customHeight="1" spans="1:8">
      <c r="A13" s="493"/>
      <c r="B13" s="668"/>
      <c r="C13" s="667"/>
      <c r="D13" s="526"/>
      <c r="E13" s="524"/>
      <c r="F13" s="529"/>
      <c r="G13" s="530"/>
      <c r="H13" s="531"/>
    </row>
    <row r="14" s="488" customFormat="1" ht="30" customHeight="1" spans="1:8">
      <c r="A14" s="493"/>
      <c r="B14" s="668"/>
      <c r="C14" s="667"/>
      <c r="D14" s="526"/>
      <c r="E14" s="524"/>
      <c r="F14" s="529"/>
      <c r="G14" s="530"/>
      <c r="H14" s="531"/>
    </row>
    <row r="15" s="488" customFormat="1" ht="30" customHeight="1" spans="1:8">
      <c r="A15" s="493"/>
      <c r="B15" s="668"/>
      <c r="C15" s="667"/>
      <c r="D15" s="526"/>
      <c r="E15" s="524"/>
      <c r="F15" s="529"/>
      <c r="G15" s="530"/>
      <c r="H15" s="531"/>
    </row>
    <row r="16" s="488" customFormat="1" ht="18" customHeight="1" spans="1:8">
      <c r="A16" s="493"/>
      <c r="B16" s="532"/>
      <c r="C16" s="532"/>
      <c r="D16" s="532"/>
      <c r="E16" s="533"/>
      <c r="F16" s="532"/>
      <c r="G16" s="534"/>
      <c r="H16" s="535"/>
    </row>
    <row r="17" s="489" customFormat="1" spans="1:8">
      <c r="A17" s="536"/>
      <c r="B17" s="537"/>
      <c r="C17" s="537"/>
      <c r="D17" s="537"/>
      <c r="E17" s="538"/>
      <c r="F17" s="539"/>
      <c r="G17" s="540" t="s">
        <v>353</v>
      </c>
      <c r="H17" s="541"/>
    </row>
    <row r="18" s="489" customFormat="1" customHeight="1" spans="1:8">
      <c r="A18" s="536"/>
      <c r="B18" s="542">
        <f>'Gen Inb'!P12</f>
        <v>0</v>
      </c>
      <c r="C18" s="542"/>
      <c r="D18" s="542"/>
      <c r="E18" s="542"/>
      <c r="F18" s="543"/>
      <c r="G18" s="669" t="s">
        <v>354</v>
      </c>
      <c r="H18" s="545"/>
    </row>
    <row r="19" s="489" customFormat="1" spans="1:8">
      <c r="A19" s="536"/>
      <c r="B19" s="546" t="s">
        <v>355</v>
      </c>
      <c r="C19" s="546"/>
      <c r="D19" s="546"/>
      <c r="E19" s="546"/>
      <c r="F19" s="547"/>
      <c r="G19" s="548" t="s">
        <v>356</v>
      </c>
      <c r="H19" s="549">
        <f>'Gen Inb'!X6</f>
        <v>46219</v>
      </c>
    </row>
    <row r="20" s="489" customFormat="1" spans="1:8">
      <c r="A20" s="536"/>
      <c r="B20" s="546"/>
      <c r="C20" s="546"/>
      <c r="D20" s="546"/>
      <c r="E20" s="546"/>
      <c r="G20" s="544" t="s">
        <v>357</v>
      </c>
      <c r="H20" s="130"/>
    </row>
  </sheetData>
  <mergeCells count="20">
    <mergeCell ref="B1:H1"/>
    <mergeCell ref="B2:H2"/>
    <mergeCell ref="B4:C4"/>
    <mergeCell ref="D4:F4"/>
    <mergeCell ref="B5:C5"/>
    <mergeCell ref="D5:F5"/>
    <mergeCell ref="B6:C6"/>
    <mergeCell ref="B7:C7"/>
    <mergeCell ref="B8:C8"/>
    <mergeCell ref="B9:C9"/>
    <mergeCell ref="B10:C10"/>
    <mergeCell ref="B11:C11"/>
    <mergeCell ref="B12:C12"/>
    <mergeCell ref="B13:C13"/>
    <mergeCell ref="B14:C14"/>
    <mergeCell ref="B15:C15"/>
    <mergeCell ref="B18:E18"/>
    <mergeCell ref="H17:H18"/>
    <mergeCell ref="H19:H20"/>
    <mergeCell ref="B19:E20"/>
  </mergeCells>
  <pageMargins left="0.707638888888889" right="0.707638888888889" top="0.747916666666667" bottom="0.747916666666667" header="0.313888888888889" footer="0.313888888888889"/>
  <pageSetup paperSize="9" orientation="portrait"/>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tabColor rgb="FFFFC000"/>
    <pageSetUpPr fitToPage="1"/>
  </sheetPr>
  <dimension ref="A1:L56"/>
  <sheetViews>
    <sheetView view="pageBreakPreview" zoomScale="70" zoomScaleNormal="100" workbookViewId="0">
      <selection activeCell="C11" sqref="C11"/>
    </sheetView>
  </sheetViews>
  <sheetFormatPr defaultColWidth="9" defaultRowHeight="18.75"/>
  <cols>
    <col min="1" max="1" width="4" style="551" customWidth="1"/>
    <col min="2" max="2" width="4.33333333333333" style="551" customWidth="1"/>
    <col min="3" max="3" width="61.4416666666667" style="552" customWidth="1"/>
    <col min="4" max="4" width="3" style="552" customWidth="1"/>
    <col min="5" max="5" width="5" style="551" customWidth="1"/>
    <col min="6" max="6" width="12" style="551" customWidth="1"/>
    <col min="7" max="7" width="12.4416666666667" style="551" customWidth="1"/>
    <col min="8" max="9" width="15" style="551" customWidth="1"/>
    <col min="10" max="10" width="3.775" style="551" customWidth="1"/>
    <col min="11" max="11" width="18.1083333333333" style="552" customWidth="1"/>
    <col min="12" max="12" width="11" style="553" customWidth="1"/>
    <col min="13" max="16384" width="9" style="554"/>
  </cols>
  <sheetData>
    <row r="1" customHeight="1" spans="1:12">
      <c r="A1" s="555" t="s">
        <v>213</v>
      </c>
      <c r="B1" s="555"/>
      <c r="C1" s="555"/>
      <c r="D1" s="555"/>
      <c r="E1" s="555"/>
      <c r="F1" s="555"/>
      <c r="G1" s="555"/>
      <c r="H1" s="555"/>
      <c r="I1" s="555"/>
      <c r="J1" s="555"/>
      <c r="K1" s="555"/>
    </row>
    <row r="2" ht="13.5" spans="1:12">
      <c r="A2" s="556"/>
      <c r="B2" s="556"/>
      <c r="C2" s="556"/>
      <c r="D2" s="556"/>
      <c r="E2" s="556"/>
      <c r="F2" s="556"/>
      <c r="G2" s="556"/>
      <c r="H2" s="556"/>
      <c r="I2" s="556"/>
      <c r="J2" s="556"/>
      <c r="K2" s="557" t="s">
        <v>214</v>
      </c>
    </row>
    <row r="3" ht="12.75" customHeight="1" spans="1:12">
      <c r="A3" s="556"/>
      <c r="B3" s="556"/>
      <c r="C3" s="556"/>
      <c r="D3" s="556"/>
      <c r="E3" s="556"/>
      <c r="F3" s="556"/>
      <c r="G3" s="558"/>
      <c r="H3" s="558"/>
      <c r="I3" s="556"/>
      <c r="J3" s="556"/>
      <c r="K3" s="559" t="s">
        <v>215</v>
      </c>
    </row>
    <row r="4" ht="5.25" customHeight="1" spans="1:12">
      <c r="A4" s="556"/>
      <c r="B4" s="556"/>
      <c r="C4" s="560"/>
      <c r="D4" s="560"/>
      <c r="E4" s="556"/>
      <c r="F4" s="556"/>
      <c r="G4" s="558"/>
      <c r="H4" s="558"/>
      <c r="I4" s="556"/>
      <c r="J4" s="556"/>
    </row>
    <row r="5" ht="20.25" customHeight="1" spans="1:12">
      <c r="A5" s="556"/>
      <c r="B5" s="561" t="s">
        <v>216</v>
      </c>
      <c r="C5" s="562"/>
      <c r="D5" s="563" t="str">
        <f>'Gen Inb'!I7</f>
        <v>GLOBAO 01</v>
      </c>
      <c r="E5" s="563"/>
      <c r="F5" s="564" t="str">
        <f>'Gen Inb'!M7</f>
        <v>Container</v>
      </c>
      <c r="G5" s="565" t="s">
        <v>217</v>
      </c>
      <c r="H5" s="565"/>
      <c r="I5" s="565"/>
      <c r="J5" s="561" t="s">
        <v>218</v>
      </c>
      <c r="K5" s="566"/>
      <c r="L5" s="567"/>
    </row>
    <row r="6" ht="20.25" customHeight="1" spans="1:12">
      <c r="A6" s="556"/>
      <c r="B6" s="568" t="s">
        <v>219</v>
      </c>
      <c r="C6" s="569"/>
      <c r="D6" s="570" t="str">
        <f>'Gen Inb'!I10</f>
        <v>IMO:1234567</v>
      </c>
      <c r="E6" s="570"/>
      <c r="F6" s="571"/>
      <c r="G6" s="572" t="str">
        <f>'Gen Inb'!S7</f>
        <v>NANSHA NEW PORT</v>
      </c>
      <c r="H6" s="572"/>
      <c r="I6" s="572"/>
      <c r="J6" s="573">
        <f>'Gen Outb'!X6</f>
        <v>44160</v>
      </c>
      <c r="K6" s="574"/>
      <c r="L6" s="575"/>
    </row>
    <row r="7" ht="20.25" customHeight="1" spans="1:12">
      <c r="A7" s="556"/>
      <c r="B7" s="576" t="s">
        <v>220</v>
      </c>
      <c r="C7" s="577"/>
      <c r="D7" s="578" t="str">
        <f>'Gen Inb'!R26</f>
        <v>3E9028</v>
      </c>
      <c r="E7" s="578"/>
      <c r="F7" s="579"/>
      <c r="G7" s="580"/>
      <c r="H7" s="580"/>
      <c r="I7" s="580"/>
      <c r="J7" s="581"/>
      <c r="K7" s="582"/>
      <c r="L7" s="583"/>
    </row>
    <row r="8" ht="12.75" customHeight="1" spans="1:12">
      <c r="A8" s="556"/>
      <c r="B8" s="584" t="s">
        <v>221</v>
      </c>
      <c r="C8" s="585"/>
      <c r="D8" s="585"/>
      <c r="E8" s="585"/>
      <c r="F8" s="586"/>
      <c r="G8" s="584" t="s">
        <v>222</v>
      </c>
      <c r="H8" s="585"/>
      <c r="I8" s="586"/>
      <c r="J8" s="561" t="s">
        <v>223</v>
      </c>
      <c r="K8" s="566"/>
      <c r="L8" s="587" t="s">
        <v>358</v>
      </c>
    </row>
    <row r="9" customHeight="1" spans="1:12">
      <c r="A9" s="556"/>
      <c r="B9" s="588" t="str">
        <f>'Gen Inb'!F9</f>
        <v>LIBERIA</v>
      </c>
      <c r="C9" s="589"/>
      <c r="D9" s="589"/>
      <c r="E9" s="589"/>
      <c r="F9" s="590"/>
      <c r="G9" s="588" t="str">
        <f>'Gen Inb'!W9</f>
        <v>VOSTOCHNIY</v>
      </c>
      <c r="H9" s="589"/>
      <c r="I9" s="590"/>
      <c r="J9" s="568"/>
      <c r="K9" s="591"/>
      <c r="L9" s="592"/>
    </row>
    <row r="10" ht="12.75" customHeight="1" spans="1:12">
      <c r="A10" s="556"/>
      <c r="B10" s="593" t="s">
        <v>224</v>
      </c>
      <c r="C10" s="561" t="s">
        <v>225</v>
      </c>
      <c r="D10" s="566"/>
      <c r="E10" s="566" t="s">
        <v>226</v>
      </c>
      <c r="F10" s="594" t="s">
        <v>227</v>
      </c>
      <c r="G10" s="595" t="s">
        <v>228</v>
      </c>
      <c r="H10" s="593" t="s">
        <v>229</v>
      </c>
      <c r="I10" s="596"/>
      <c r="J10" s="576"/>
      <c r="K10" s="597"/>
      <c r="L10" s="592"/>
    </row>
    <row r="11" ht="45" customHeight="1" spans="1:12">
      <c r="A11" s="598" t="s">
        <v>230</v>
      </c>
      <c r="B11" s="599">
        <v>1</v>
      </c>
      <c r="C11" s="600" t="s">
        <v>359</v>
      </c>
      <c r="D11" s="601"/>
      <c r="E11" s="602" t="s">
        <v>232</v>
      </c>
      <c r="F11" s="603" t="s">
        <v>233</v>
      </c>
      <c r="G11" s="604" t="s">
        <v>234</v>
      </c>
      <c r="H11" s="605">
        <v>29228</v>
      </c>
      <c r="I11" s="606" t="s">
        <v>234</v>
      </c>
      <c r="J11" s="607" t="s">
        <v>212</v>
      </c>
      <c r="K11" s="1216" t="s">
        <v>235</v>
      </c>
      <c r="L11" s="609"/>
    </row>
    <row r="12" ht="45" customHeight="1" spans="1:12">
      <c r="A12" s="598"/>
      <c r="B12" s="599">
        <v>2</v>
      </c>
      <c r="C12" s="610" t="s">
        <v>360</v>
      </c>
      <c r="D12" s="601"/>
      <c r="E12" s="602" t="s">
        <v>232</v>
      </c>
      <c r="F12" s="611" t="s">
        <v>238</v>
      </c>
      <c r="G12" s="604" t="s">
        <v>239</v>
      </c>
      <c r="H12" s="612">
        <v>24515</v>
      </c>
      <c r="I12" s="606" t="s">
        <v>239</v>
      </c>
      <c r="J12" s="607" t="s">
        <v>212</v>
      </c>
      <c r="K12" s="613" t="s">
        <v>361</v>
      </c>
      <c r="L12" s="609"/>
    </row>
    <row r="13" ht="45" customHeight="1" spans="1:12">
      <c r="A13" s="598"/>
      <c r="B13" s="599">
        <v>3</v>
      </c>
      <c r="C13" s="610" t="s">
        <v>362</v>
      </c>
      <c r="D13" s="601"/>
      <c r="E13" s="602" t="s">
        <v>232</v>
      </c>
      <c r="F13" s="611" t="s">
        <v>242</v>
      </c>
      <c r="G13" s="604" t="s">
        <v>243</v>
      </c>
      <c r="H13" s="612">
        <v>29167</v>
      </c>
      <c r="I13" s="606" t="s">
        <v>243</v>
      </c>
      <c r="J13" s="607" t="s">
        <v>212</v>
      </c>
      <c r="K13" s="613" t="s">
        <v>244</v>
      </c>
      <c r="L13" s="609"/>
    </row>
    <row r="14" ht="45" customHeight="1" spans="1:12">
      <c r="A14" s="598"/>
      <c r="B14" s="599">
        <v>4</v>
      </c>
      <c r="C14" s="610" t="s">
        <v>245</v>
      </c>
      <c r="D14" s="601"/>
      <c r="E14" s="602" t="s">
        <v>232</v>
      </c>
      <c r="F14" s="611" t="s">
        <v>246</v>
      </c>
      <c r="G14" s="604" t="s">
        <v>243</v>
      </c>
      <c r="H14" s="612">
        <v>34095</v>
      </c>
      <c r="I14" s="606" t="s">
        <v>243</v>
      </c>
      <c r="J14" s="607" t="s">
        <v>212</v>
      </c>
      <c r="K14" s="614" t="s">
        <v>247</v>
      </c>
      <c r="L14" s="609"/>
    </row>
    <row r="15" ht="45" customHeight="1" spans="1:12">
      <c r="A15" s="598"/>
      <c r="B15" s="599">
        <v>5</v>
      </c>
      <c r="C15" s="610" t="s">
        <v>363</v>
      </c>
      <c r="D15" s="601"/>
      <c r="E15" s="602" t="s">
        <v>232</v>
      </c>
      <c r="F15" s="611" t="s">
        <v>249</v>
      </c>
      <c r="G15" s="604" t="s">
        <v>239</v>
      </c>
      <c r="H15" s="612">
        <v>27961</v>
      </c>
      <c r="I15" s="615" t="s">
        <v>239</v>
      </c>
      <c r="J15" s="607" t="s">
        <v>212</v>
      </c>
      <c r="K15" s="613" t="s">
        <v>364</v>
      </c>
      <c r="L15" s="609"/>
    </row>
    <row r="16" ht="45" customHeight="1" spans="1:12">
      <c r="A16" s="598"/>
      <c r="B16" s="599">
        <v>6</v>
      </c>
      <c r="C16" s="610" t="s">
        <v>251</v>
      </c>
      <c r="D16" s="601"/>
      <c r="E16" s="602" t="s">
        <v>232</v>
      </c>
      <c r="F16" s="616" t="s">
        <v>252</v>
      </c>
      <c r="G16" s="604" t="s">
        <v>239</v>
      </c>
      <c r="H16" s="612">
        <v>24595</v>
      </c>
      <c r="I16" s="606" t="s">
        <v>239</v>
      </c>
      <c r="J16" s="607" t="s">
        <v>212</v>
      </c>
      <c r="K16" s="1218" t="s">
        <v>365</v>
      </c>
      <c r="L16" s="609"/>
    </row>
    <row r="17" ht="45" customHeight="1" spans="1:12">
      <c r="A17" s="598"/>
      <c r="B17" s="599">
        <v>7</v>
      </c>
      <c r="C17" s="610" t="s">
        <v>254</v>
      </c>
      <c r="D17" s="601"/>
      <c r="E17" s="602" t="s">
        <v>232</v>
      </c>
      <c r="F17" s="611" t="s">
        <v>255</v>
      </c>
      <c r="G17" s="604" t="s">
        <v>243</v>
      </c>
      <c r="H17" s="612">
        <v>34157</v>
      </c>
      <c r="I17" s="606" t="s">
        <v>243</v>
      </c>
      <c r="J17" s="607" t="s">
        <v>212</v>
      </c>
      <c r="K17" s="613" t="s">
        <v>256</v>
      </c>
      <c r="L17" s="609"/>
    </row>
    <row r="18" ht="45" customHeight="1" spans="1:12">
      <c r="A18" s="598"/>
      <c r="B18" s="599">
        <v>8</v>
      </c>
      <c r="C18" s="610" t="s">
        <v>257</v>
      </c>
      <c r="D18" s="601"/>
      <c r="E18" s="602" t="s">
        <v>232</v>
      </c>
      <c r="F18" s="611" t="s">
        <v>258</v>
      </c>
      <c r="G18" s="604" t="s">
        <v>243</v>
      </c>
      <c r="H18" s="612">
        <v>32956</v>
      </c>
      <c r="I18" s="606" t="s">
        <v>243</v>
      </c>
      <c r="J18" s="607" t="s">
        <v>212</v>
      </c>
      <c r="K18" s="613" t="s">
        <v>259</v>
      </c>
      <c r="L18" s="609"/>
    </row>
    <row r="19" ht="45" customHeight="1" spans="1:12">
      <c r="A19" s="598"/>
      <c r="B19" s="599">
        <v>9</v>
      </c>
      <c r="C19" s="610" t="s">
        <v>260</v>
      </c>
      <c r="D19" s="601"/>
      <c r="E19" s="602" t="s">
        <v>232</v>
      </c>
      <c r="F19" s="616" t="s">
        <v>261</v>
      </c>
      <c r="G19" s="604" t="s">
        <v>243</v>
      </c>
      <c r="H19" s="612">
        <v>25430</v>
      </c>
      <c r="I19" s="606" t="s">
        <v>243</v>
      </c>
      <c r="J19" s="607" t="s">
        <v>212</v>
      </c>
      <c r="K19" s="613" t="s">
        <v>262</v>
      </c>
      <c r="L19" s="617"/>
    </row>
    <row r="20" ht="45" customHeight="1" spans="1:12">
      <c r="A20" s="598"/>
      <c r="B20" s="599">
        <v>10</v>
      </c>
      <c r="C20" s="610" t="s">
        <v>263</v>
      </c>
      <c r="D20" s="601"/>
      <c r="E20" s="602" t="s">
        <v>232</v>
      </c>
      <c r="F20" s="616" t="s">
        <v>264</v>
      </c>
      <c r="G20" s="604" t="s">
        <v>243</v>
      </c>
      <c r="H20" s="612">
        <v>29746</v>
      </c>
      <c r="I20" s="606" t="s">
        <v>243</v>
      </c>
      <c r="J20" s="607" t="s">
        <v>212</v>
      </c>
      <c r="K20" s="613" t="s">
        <v>265</v>
      </c>
      <c r="L20" s="609"/>
    </row>
    <row r="21" ht="45" customHeight="1" spans="1:12">
      <c r="A21" s="598"/>
      <c r="B21" s="599">
        <v>11</v>
      </c>
      <c r="C21" s="610" t="s">
        <v>266</v>
      </c>
      <c r="D21" s="601"/>
      <c r="E21" s="602" t="s">
        <v>232</v>
      </c>
      <c r="F21" s="616" t="s">
        <v>264</v>
      </c>
      <c r="G21" s="604" t="s">
        <v>243</v>
      </c>
      <c r="H21" s="612">
        <v>28234</v>
      </c>
      <c r="I21" s="606" t="s">
        <v>243</v>
      </c>
      <c r="J21" s="607" t="s">
        <v>212</v>
      </c>
      <c r="K21" s="613" t="s">
        <v>267</v>
      </c>
      <c r="L21" s="609"/>
    </row>
    <row r="22" ht="45" customHeight="1" spans="1:12">
      <c r="A22" s="598"/>
      <c r="B22" s="599">
        <v>12</v>
      </c>
      <c r="C22" s="610" t="s">
        <v>268</v>
      </c>
      <c r="D22" s="601"/>
      <c r="E22" s="602" t="s">
        <v>232</v>
      </c>
      <c r="F22" s="616" t="s">
        <v>264</v>
      </c>
      <c r="G22" s="604" t="s">
        <v>243</v>
      </c>
      <c r="H22" s="612">
        <v>30471</v>
      </c>
      <c r="I22" s="606" t="s">
        <v>243</v>
      </c>
      <c r="J22" s="607" t="s">
        <v>212</v>
      </c>
      <c r="K22" s="613" t="s">
        <v>269</v>
      </c>
      <c r="L22" s="609"/>
    </row>
    <row r="23" ht="45" customHeight="1" spans="1:12">
      <c r="A23" s="598"/>
      <c r="B23" s="599">
        <v>13</v>
      </c>
      <c r="C23" s="610" t="s">
        <v>270</v>
      </c>
      <c r="D23" s="601"/>
      <c r="E23" s="602" t="s">
        <v>232</v>
      </c>
      <c r="F23" s="616" t="s">
        <v>271</v>
      </c>
      <c r="G23" s="604" t="s">
        <v>243</v>
      </c>
      <c r="H23" s="612">
        <v>30822</v>
      </c>
      <c r="I23" s="606" t="s">
        <v>243</v>
      </c>
      <c r="J23" s="607" t="s">
        <v>212</v>
      </c>
      <c r="K23" s="613" t="s">
        <v>272</v>
      </c>
      <c r="L23" s="609"/>
    </row>
    <row r="24" ht="45" customHeight="1" spans="1:12">
      <c r="A24" s="598"/>
      <c r="B24" s="599">
        <v>14</v>
      </c>
      <c r="C24" s="610" t="s">
        <v>273</v>
      </c>
      <c r="D24" s="601"/>
      <c r="E24" s="602" t="s">
        <v>232</v>
      </c>
      <c r="F24" s="611" t="s">
        <v>271</v>
      </c>
      <c r="G24" s="604" t="s">
        <v>243</v>
      </c>
      <c r="H24" s="612">
        <v>33702</v>
      </c>
      <c r="I24" s="606" t="s">
        <v>243</v>
      </c>
      <c r="J24" s="607" t="s">
        <v>212</v>
      </c>
      <c r="K24" s="613" t="s">
        <v>274</v>
      </c>
      <c r="L24" s="609"/>
    </row>
    <row r="25" ht="45" customHeight="1" spans="1:12">
      <c r="A25" s="598"/>
      <c r="B25" s="599">
        <v>15</v>
      </c>
      <c r="C25" s="610" t="s">
        <v>275</v>
      </c>
      <c r="D25" s="601"/>
      <c r="E25" s="602" t="s">
        <v>232</v>
      </c>
      <c r="F25" s="611" t="s">
        <v>276</v>
      </c>
      <c r="G25" s="604" t="s">
        <v>243</v>
      </c>
      <c r="H25" s="612">
        <v>24553</v>
      </c>
      <c r="I25" s="606" t="s">
        <v>243</v>
      </c>
      <c r="J25" s="607" t="s">
        <v>212</v>
      </c>
      <c r="K25" s="613" t="s">
        <v>277</v>
      </c>
      <c r="L25" s="609"/>
    </row>
    <row r="26" ht="45" customHeight="1" spans="1:12">
      <c r="A26" s="598"/>
      <c r="B26" s="599">
        <v>16</v>
      </c>
      <c r="C26" s="610" t="s">
        <v>278</v>
      </c>
      <c r="D26" s="601"/>
      <c r="E26" s="602" t="s">
        <v>232</v>
      </c>
      <c r="F26" s="611" t="s">
        <v>279</v>
      </c>
      <c r="G26" s="604" t="s">
        <v>243</v>
      </c>
      <c r="H26" s="612">
        <v>28098</v>
      </c>
      <c r="I26" s="606" t="s">
        <v>243</v>
      </c>
      <c r="J26" s="607" t="s">
        <v>212</v>
      </c>
      <c r="K26" s="613" t="s">
        <v>280</v>
      </c>
      <c r="L26" s="609"/>
    </row>
    <row r="27" ht="45" customHeight="1" spans="1:12">
      <c r="A27" s="598"/>
      <c r="B27" s="599">
        <v>17</v>
      </c>
      <c r="C27" s="610" t="s">
        <v>281</v>
      </c>
      <c r="D27" s="601"/>
      <c r="E27" s="602" t="s">
        <v>232</v>
      </c>
      <c r="F27" s="611" t="s">
        <v>282</v>
      </c>
      <c r="G27" s="604" t="s">
        <v>243</v>
      </c>
      <c r="H27" s="612">
        <v>34260</v>
      </c>
      <c r="I27" s="606" t="s">
        <v>243</v>
      </c>
      <c r="J27" s="607" t="s">
        <v>212</v>
      </c>
      <c r="K27" s="613" t="s">
        <v>283</v>
      </c>
      <c r="L27" s="609"/>
    </row>
    <row r="28" ht="45" customHeight="1" spans="1:12">
      <c r="A28" s="598"/>
      <c r="B28" s="599">
        <v>18</v>
      </c>
      <c r="C28" s="610" t="s">
        <v>284</v>
      </c>
      <c r="D28" s="601"/>
      <c r="E28" s="602" t="s">
        <v>232</v>
      </c>
      <c r="F28" s="611" t="s">
        <v>282</v>
      </c>
      <c r="G28" s="604" t="s">
        <v>243</v>
      </c>
      <c r="H28" s="612">
        <v>34455</v>
      </c>
      <c r="I28" s="606" t="s">
        <v>243</v>
      </c>
      <c r="J28" s="607" t="s">
        <v>212</v>
      </c>
      <c r="K28" s="613" t="s">
        <v>285</v>
      </c>
      <c r="L28" s="609"/>
    </row>
    <row r="29" ht="45" customHeight="1" spans="1:12">
      <c r="A29" s="598"/>
      <c r="B29" s="599">
        <v>19</v>
      </c>
      <c r="C29" s="610" t="s">
        <v>286</v>
      </c>
      <c r="D29" s="601"/>
      <c r="E29" s="602" t="s">
        <v>232</v>
      </c>
      <c r="F29" s="611" t="s">
        <v>287</v>
      </c>
      <c r="G29" s="604" t="s">
        <v>243</v>
      </c>
      <c r="H29" s="612">
        <v>24484</v>
      </c>
      <c r="I29" s="606" t="s">
        <v>243</v>
      </c>
      <c r="J29" s="607" t="s">
        <v>212</v>
      </c>
      <c r="K29" s="613" t="s">
        <v>288</v>
      </c>
      <c r="L29" s="617"/>
    </row>
    <row r="30" ht="45" customHeight="1" spans="1:12">
      <c r="A30" s="598"/>
      <c r="B30" s="599">
        <v>20</v>
      </c>
      <c r="C30" s="610" t="s">
        <v>289</v>
      </c>
      <c r="D30" s="601"/>
      <c r="E30" s="602" t="s">
        <v>232</v>
      </c>
      <c r="F30" s="611" t="s">
        <v>290</v>
      </c>
      <c r="G30" s="604" t="s">
        <v>243</v>
      </c>
      <c r="H30" s="612">
        <v>31563</v>
      </c>
      <c r="I30" s="606" t="s">
        <v>243</v>
      </c>
      <c r="J30" s="607" t="s">
        <v>212</v>
      </c>
      <c r="K30" s="613" t="s">
        <v>291</v>
      </c>
      <c r="L30" s="609"/>
    </row>
    <row r="31" ht="22.5" hidden="1" customHeight="1" spans="1:12">
      <c r="A31" s="598"/>
      <c r="B31" s="618">
        <f>IF(C31&lt;&gt;"",COUNTA(C$11:C31),"")</f>
        <v>21</v>
      </c>
      <c r="C31" s="619" t="s">
        <v>366</v>
      </c>
      <c r="D31" s="620"/>
      <c r="E31" s="602" t="s">
        <v>367</v>
      </c>
      <c r="F31" s="611" t="s">
        <v>368</v>
      </c>
      <c r="G31" s="604" t="s">
        <v>369</v>
      </c>
      <c r="H31" s="612">
        <v>23573</v>
      </c>
      <c r="I31" s="606" t="s">
        <v>370</v>
      </c>
      <c r="J31" s="607" t="s">
        <v>212</v>
      </c>
      <c r="K31" s="613" t="s">
        <v>371</v>
      </c>
    </row>
    <row r="32" ht="22.5" hidden="1" customHeight="1" spans="1:12">
      <c r="A32" s="598"/>
      <c r="B32" s="618" t="str">
        <f>IF(C32&lt;&gt;"",COUNTA(C$11:C32),"")</f>
        <v/>
      </c>
      <c r="C32" s="621"/>
      <c r="D32" s="622"/>
      <c r="E32" s="623"/>
      <c r="F32" s="623"/>
      <c r="G32" s="624"/>
      <c r="H32" s="625"/>
      <c r="I32" s="626"/>
      <c r="J32" s="606" t="str">
        <f t="shared" ref="J32:J43" si="0">IF(C32="","","P")</f>
        <v/>
      </c>
      <c r="K32" s="627"/>
    </row>
    <row r="33" ht="22.5" hidden="1" customHeight="1" spans="1:11">
      <c r="A33" s="598"/>
      <c r="B33" s="618" t="str">
        <f>IF(C33&lt;&gt;"",COUNTA(C$11:C33),"")</f>
        <v/>
      </c>
      <c r="C33" s="621"/>
      <c r="D33" s="622"/>
      <c r="E33" s="623"/>
      <c r="F33" s="623"/>
      <c r="G33" s="624"/>
      <c r="H33" s="625"/>
      <c r="I33" s="626"/>
      <c r="J33" s="606" t="str">
        <f t="shared" si="0"/>
        <v/>
      </c>
      <c r="K33" s="627"/>
    </row>
    <row r="34" ht="22.5" hidden="1" customHeight="1" spans="1:11">
      <c r="A34" s="598"/>
      <c r="B34" s="618" t="str">
        <f>IF(C34&lt;&gt;"",COUNTA(C$11:C34),"")</f>
        <v/>
      </c>
      <c r="C34" s="621"/>
      <c r="D34" s="622"/>
      <c r="E34" s="623"/>
      <c r="F34" s="623"/>
      <c r="G34" s="624"/>
      <c r="H34" s="625"/>
      <c r="I34" s="626"/>
      <c r="J34" s="606" t="str">
        <f t="shared" si="0"/>
        <v/>
      </c>
      <c r="K34" s="627"/>
    </row>
    <row r="35" ht="22.5" hidden="1" customHeight="1" spans="1:11">
      <c r="A35" s="598"/>
      <c r="B35" s="618" t="str">
        <f>IF(C35&lt;&gt;"",COUNTA(C$11:C35),"")</f>
        <v/>
      </c>
      <c r="C35" s="621"/>
      <c r="D35" s="622"/>
      <c r="E35" s="623"/>
      <c r="F35" s="623"/>
      <c r="G35" s="624"/>
      <c r="H35" s="625"/>
      <c r="I35" s="626"/>
      <c r="J35" s="606" t="str">
        <f t="shared" si="0"/>
        <v/>
      </c>
      <c r="K35" s="627"/>
    </row>
    <row r="36" ht="22.5" hidden="1" customHeight="1" spans="1:11">
      <c r="A36" s="598"/>
      <c r="B36" s="618" t="str">
        <f>IF(C36&lt;&gt;"",COUNTA(C$11:C36),"")</f>
        <v/>
      </c>
      <c r="C36" s="621"/>
      <c r="D36" s="622"/>
      <c r="E36" s="623"/>
      <c r="F36" s="623"/>
      <c r="G36" s="624"/>
      <c r="H36" s="625"/>
      <c r="I36" s="626"/>
      <c r="J36" s="606" t="str">
        <f t="shared" si="0"/>
        <v/>
      </c>
      <c r="K36" s="627"/>
    </row>
    <row r="37" ht="22.5" hidden="1" customHeight="1" spans="1:11">
      <c r="A37" s="598"/>
      <c r="B37" s="618" t="str">
        <f>IF(C37&lt;&gt;"",COUNTA(C$11:C37),"")</f>
        <v/>
      </c>
      <c r="C37" s="621"/>
      <c r="D37" s="622"/>
      <c r="E37" s="623"/>
      <c r="F37" s="623"/>
      <c r="G37" s="624"/>
      <c r="H37" s="625"/>
      <c r="I37" s="626"/>
      <c r="J37" s="606" t="str">
        <f t="shared" si="0"/>
        <v/>
      </c>
      <c r="K37" s="627"/>
    </row>
    <row r="38" ht="22.5" hidden="1" customHeight="1" spans="1:11">
      <c r="A38" s="598"/>
      <c r="B38" s="618" t="str">
        <f>IF(C38&lt;&gt;"",COUNTA(C$11:C38),"")</f>
        <v/>
      </c>
      <c r="C38" s="621"/>
      <c r="D38" s="622"/>
      <c r="E38" s="623"/>
      <c r="F38" s="623"/>
      <c r="G38" s="624"/>
      <c r="H38" s="625"/>
      <c r="I38" s="626"/>
      <c r="J38" s="606" t="str">
        <f t="shared" si="0"/>
        <v/>
      </c>
      <c r="K38" s="627"/>
    </row>
    <row r="39" ht="22.5" hidden="1" customHeight="1" spans="1:11">
      <c r="A39" s="598"/>
      <c r="B39" s="618" t="str">
        <f>IF(C39&lt;&gt;"",COUNTA(C$11:C39),"")</f>
        <v/>
      </c>
      <c r="C39" s="621"/>
      <c r="D39" s="622"/>
      <c r="E39" s="623"/>
      <c r="F39" s="623"/>
      <c r="G39" s="624"/>
      <c r="H39" s="625"/>
      <c r="I39" s="626"/>
      <c r="J39" s="606" t="str">
        <f t="shared" si="0"/>
        <v/>
      </c>
      <c r="K39" s="627"/>
    </row>
    <row r="40" ht="22.5" hidden="1" customHeight="1" spans="1:11">
      <c r="A40" s="628"/>
      <c r="B40" s="618" t="str">
        <f>IF(C40&lt;&gt;"",COUNTA(C$11:C40),"")</f>
        <v/>
      </c>
      <c r="C40" s="621"/>
      <c r="D40" s="622"/>
      <c r="E40" s="623"/>
      <c r="F40" s="623"/>
      <c r="G40" s="624"/>
      <c r="H40" s="625"/>
      <c r="I40" s="626"/>
      <c r="J40" s="606" t="str">
        <f t="shared" si="0"/>
        <v/>
      </c>
      <c r="K40" s="627"/>
    </row>
    <row r="41" ht="22.5" hidden="1" customHeight="1" spans="1:11">
      <c r="A41" s="628"/>
      <c r="B41" s="618" t="str">
        <f>IF(C41&lt;&gt;"",COUNTA(C$11:C41),"")</f>
        <v/>
      </c>
      <c r="C41" s="621"/>
      <c r="D41" s="622"/>
      <c r="E41" s="623"/>
      <c r="F41" s="623"/>
      <c r="G41" s="624"/>
      <c r="H41" s="625"/>
      <c r="I41" s="626"/>
      <c r="J41" s="606" t="str">
        <f t="shared" si="0"/>
        <v/>
      </c>
      <c r="K41" s="627"/>
    </row>
    <row r="42" ht="22.5" hidden="1" customHeight="1" spans="1:11">
      <c r="A42" s="628"/>
      <c r="B42" s="618" t="str">
        <f>IF(C42&lt;&gt;"",COUNTA(C$11:C42),"")</f>
        <v/>
      </c>
      <c r="C42" s="621"/>
      <c r="D42" s="622"/>
      <c r="E42" s="623"/>
      <c r="F42" s="623"/>
      <c r="G42" s="624"/>
      <c r="H42" s="625"/>
      <c r="I42" s="626"/>
      <c r="J42" s="606" t="str">
        <f t="shared" si="0"/>
        <v/>
      </c>
      <c r="K42" s="627"/>
    </row>
    <row r="43" ht="22.5" hidden="1" customHeight="1" spans="1:11">
      <c r="A43" s="628"/>
      <c r="B43" s="618" t="str">
        <f>IF(C43&lt;&gt;"",COUNTA(C$11:C43),"")</f>
        <v/>
      </c>
      <c r="C43" s="621"/>
      <c r="D43" s="622"/>
      <c r="E43" s="623"/>
      <c r="F43" s="623"/>
      <c r="G43" s="624"/>
      <c r="H43" s="625"/>
      <c r="I43" s="626"/>
      <c r="J43" s="606" t="str">
        <f t="shared" si="0"/>
        <v/>
      </c>
      <c r="K43" s="627"/>
    </row>
    <row r="44" ht="22.5" hidden="1" customHeight="1" spans="1:11">
      <c r="A44" s="628"/>
      <c r="B44" s="618" t="str">
        <f>IF(C44&lt;&gt;"",COUNTA(C$11:C44),"")</f>
        <v/>
      </c>
      <c r="C44" s="621"/>
      <c r="D44" s="622"/>
      <c r="E44" s="623"/>
      <c r="F44" s="623"/>
      <c r="G44" s="624"/>
      <c r="H44" s="625"/>
      <c r="I44" s="626"/>
      <c r="J44" s="606" t="str">
        <f t="shared" ref="J44:J45" si="1">IF(C44="","","P")</f>
        <v/>
      </c>
      <c r="K44" s="627"/>
    </row>
    <row r="45" ht="22.5" hidden="1" customHeight="1" spans="1:11">
      <c r="A45" s="629"/>
      <c r="B45" s="630" t="str">
        <f>IF(C45&lt;&gt;"",COUNTA(C$11:C45),"")</f>
        <v/>
      </c>
      <c r="C45" s="631"/>
      <c r="D45" s="632"/>
      <c r="E45" s="633"/>
      <c r="F45" s="633"/>
      <c r="G45" s="634"/>
      <c r="H45" s="635"/>
      <c r="I45" s="636"/>
      <c r="J45" s="637" t="str">
        <f t="shared" si="1"/>
        <v/>
      </c>
      <c r="K45" s="638"/>
    </row>
    <row r="46" spans="1:11">
      <c r="A46" s="639"/>
      <c r="B46" s="640" t="s">
        <v>292</v>
      </c>
      <c r="C46" s="641"/>
      <c r="D46" s="641"/>
      <c r="E46" s="641"/>
      <c r="F46" s="641"/>
      <c r="G46" s="641"/>
      <c r="H46" s="641"/>
      <c r="I46" s="641"/>
      <c r="J46" s="641"/>
      <c r="K46" s="642"/>
    </row>
    <row r="47" ht="22.5" customHeight="1" spans="1:11">
      <c r="A47" s="643"/>
      <c r="B47" s="644" t="s">
        <v>293</v>
      </c>
      <c r="C47" s="645"/>
      <c r="D47" s="646"/>
      <c r="E47" s="647"/>
      <c r="F47" s="648"/>
      <c r="G47" s="649"/>
      <c r="H47" s="650"/>
      <c r="I47" s="651" t="s">
        <v>294</v>
      </c>
      <c r="J47" s="651"/>
      <c r="K47" s="652"/>
    </row>
    <row r="48" ht="11.25" customHeight="1" spans="1:11">
      <c r="A48" s="643"/>
      <c r="B48" s="554"/>
      <c r="C48" s="653"/>
      <c r="D48" s="653"/>
      <c r="E48" s="554"/>
      <c r="F48" s="554"/>
      <c r="G48" s="554"/>
      <c r="H48" s="554"/>
      <c r="I48" s="554"/>
      <c r="J48" s="554"/>
      <c r="K48" s="653"/>
    </row>
    <row r="49" ht="11.25" customHeight="1" spans="1:11">
      <c r="B49" s="654" t="s">
        <v>295</v>
      </c>
      <c r="C49" s="655"/>
      <c r="D49" s="655"/>
      <c r="E49" s="656"/>
      <c r="F49" s="656"/>
      <c r="G49" s="656"/>
      <c r="H49" s="656"/>
      <c r="I49" s="656"/>
      <c r="J49" s="656"/>
      <c r="K49" s="655"/>
    </row>
    <row r="50" ht="11.25" customHeight="1" spans="1:11">
      <c r="B50" s="657" t="s">
        <v>296</v>
      </c>
      <c r="D50" s="658"/>
      <c r="E50" s="659"/>
      <c r="F50" s="659"/>
      <c r="G50" s="659"/>
      <c r="H50" s="659"/>
      <c r="I50" s="659"/>
      <c r="J50" s="659"/>
      <c r="K50" s="655"/>
    </row>
    <row r="51" ht="11.25" customHeight="1" spans="1:11">
      <c r="B51" s="654" t="s">
        <v>297</v>
      </c>
      <c r="C51" s="658"/>
      <c r="D51" s="658"/>
      <c r="E51" s="659"/>
      <c r="F51" s="660"/>
      <c r="G51" s="659"/>
      <c r="H51" s="659"/>
      <c r="I51" s="659"/>
      <c r="J51" s="659"/>
      <c r="K51" s="655"/>
    </row>
    <row r="52" ht="24.9" customHeight="1" spans="1:11">
      <c r="A52" s="554"/>
      <c r="B52" s="653" t="s">
        <v>372</v>
      </c>
      <c r="C52" s="653"/>
      <c r="D52" s="653" t="s">
        <v>373</v>
      </c>
      <c r="E52" s="653"/>
      <c r="F52" s="653"/>
      <c r="G52" s="653"/>
      <c r="H52" s="653" t="s">
        <v>374</v>
      </c>
      <c r="I52" s="653"/>
      <c r="J52" s="653"/>
      <c r="K52" s="653"/>
    </row>
    <row r="53" spans="1:11">
      <c r="A53" s="661"/>
      <c r="B53" s="662" t="s">
        <v>375</v>
      </c>
      <c r="D53" s="653" t="s">
        <v>376</v>
      </c>
      <c r="E53" s="653"/>
      <c r="F53" s="653"/>
      <c r="G53" s="653"/>
      <c r="H53" s="653" t="s">
        <v>377</v>
      </c>
      <c r="I53" s="653"/>
      <c r="J53" s="653"/>
      <c r="K53" s="653"/>
    </row>
    <row r="54" spans="1:11">
      <c r="A54" s="663"/>
      <c r="B54" s="663"/>
      <c r="F54" s="554"/>
      <c r="G54" s="554"/>
      <c r="H54" s="554"/>
      <c r="I54" s="554"/>
      <c r="J54" s="554"/>
      <c r="K54" s="653"/>
    </row>
    <row r="55" spans="1:11">
      <c r="A55" s="663"/>
      <c r="B55" s="663"/>
      <c r="F55" s="554"/>
      <c r="G55" s="554"/>
      <c r="H55" s="554"/>
      <c r="I55" s="554"/>
      <c r="J55" s="554"/>
      <c r="K55" s="653"/>
    </row>
    <row r="56" spans="1:11">
      <c r="A56" s="554"/>
      <c r="B56" s="554"/>
      <c r="C56" s="653"/>
      <c r="D56" s="653"/>
      <c r="E56" s="554"/>
      <c r="F56" s="554"/>
      <c r="G56" s="554"/>
      <c r="H56" s="554"/>
      <c r="I56" s="554"/>
      <c r="J56" s="554"/>
      <c r="K56" s="653"/>
    </row>
  </sheetData>
  <mergeCells count="27">
    <mergeCell ref="A1:K1"/>
    <mergeCell ref="A2:I2"/>
    <mergeCell ref="A3:F3"/>
    <mergeCell ref="B5:C5"/>
    <mergeCell ref="D5:E5"/>
    <mergeCell ref="G5:I5"/>
    <mergeCell ref="J5:K5"/>
    <mergeCell ref="B6:C6"/>
    <mergeCell ref="D6:F6"/>
    <mergeCell ref="B7:C7"/>
    <mergeCell ref="D7:F7"/>
    <mergeCell ref="B8:F8"/>
    <mergeCell ref="G8:I8"/>
    <mergeCell ref="B9:F9"/>
    <mergeCell ref="G9:I9"/>
    <mergeCell ref="C10:D10"/>
    <mergeCell ref="H10:I10"/>
    <mergeCell ref="B46:I46"/>
    <mergeCell ref="B47:C47"/>
    <mergeCell ref="A5:A7"/>
    <mergeCell ref="A8:A9"/>
    <mergeCell ref="A11:A39"/>
    <mergeCell ref="L5:L7"/>
    <mergeCell ref="L8:L10"/>
    <mergeCell ref="J8:K10"/>
    <mergeCell ref="G6:I7"/>
    <mergeCell ref="J6:K7"/>
  </mergeCells>
  <printOptions horizontalCentered="1"/>
  <pageMargins left="0.235416666666667" right="0.235416666666667" top="0.432638888888889" bottom="0.432638888888889" header="0.15625" footer="0.15625"/>
  <pageSetup paperSize="9" scale="65"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21505" name="Check Box 1" r:id="rId3">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1506" name="Check Box 2" r:id="rId4">
              <controlPr defaultSize="0">
                <anchor moveWithCells="1">
                  <from>
                    <xdr:col>7</xdr:col>
                    <xdr:colOff>60960</xdr:colOff>
                    <xdr:row>1</xdr:row>
                    <xdr:rowOff>175260</xdr:rowOff>
                  </from>
                  <to>
                    <xdr:col>7</xdr:col>
                    <xdr:colOff>922020</xdr:colOff>
                    <xdr:row>3</xdr:row>
                    <xdr:rowOff>30480</xdr:rowOff>
                  </to>
                </anchor>
              </controlPr>
            </control>
          </mc:Choice>
        </mc:AlternateContent>
        <mc:AlternateContent xmlns:mc="http://schemas.openxmlformats.org/markup-compatibility/2006">
          <mc:Choice Requires="x14">
            <control shapeId="21507" name="Check Box 3" r:id="rId5">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1508" name="Check Box 4" r:id="rId6">
              <controlPr defaultSize="0">
                <anchor moveWithCells="1">
                  <from>
                    <xdr:col>7</xdr:col>
                    <xdr:colOff>60960</xdr:colOff>
                    <xdr:row>1</xdr:row>
                    <xdr:rowOff>175260</xdr:rowOff>
                  </from>
                  <to>
                    <xdr:col>7</xdr:col>
                    <xdr:colOff>922020</xdr:colOff>
                    <xdr:row>3</xdr:row>
                    <xdr:rowOff>30480</xdr:rowOff>
                  </to>
                </anchor>
              </controlPr>
            </control>
          </mc:Choice>
        </mc:AlternateContent>
      </controls>
    </mc:Choice>
  </mc:AlternateConten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H20"/>
  <sheetViews>
    <sheetView workbookViewId="0">
      <selection activeCell="K11" sqref="K11"/>
    </sheetView>
  </sheetViews>
  <sheetFormatPr defaultColWidth="9" defaultRowHeight="18.75" outlineLevelCol="7"/>
  <cols>
    <col min="1" max="1" width="6.10833333333333" style="490" customWidth="1"/>
    <col min="2" max="2" width="10.4416666666667" style="491" customWidth="1"/>
    <col min="3" max="3" width="16.4416666666667" style="491" customWidth="1"/>
    <col min="4" max="4" width="11.4416666666667" style="491" customWidth="1"/>
    <col min="5" max="5" width="11.2166666666667" style="492" customWidth="1"/>
    <col min="6" max="6" width="8.66666666666667" style="491" customWidth="1"/>
    <col min="7" max="7" width="12.2166666666667" style="491" customWidth="1"/>
    <col min="8" max="8" width="13.3333333333333" style="491" customWidth="1"/>
    <col min="9" max="16384" width="9" style="491"/>
  </cols>
  <sheetData>
    <row r="1" s="488" customFormat="1" ht="33.75" customHeight="1" spans="1:8">
      <c r="A1" s="493"/>
      <c r="B1" s="494" t="s">
        <v>333</v>
      </c>
      <c r="C1" s="494"/>
      <c r="D1" s="494"/>
      <c r="E1" s="494"/>
      <c r="F1" s="494"/>
      <c r="G1" s="494"/>
      <c r="H1" s="494"/>
    </row>
    <row r="2" s="488" customFormat="1" ht="33.75" customHeight="1" spans="1:8">
      <c r="A2" s="493"/>
      <c r="B2" s="495" t="s">
        <v>334</v>
      </c>
      <c r="C2" s="495"/>
      <c r="D2" s="495"/>
      <c r="E2" s="495"/>
      <c r="F2" s="495"/>
      <c r="G2" s="495"/>
      <c r="H2" s="495"/>
    </row>
    <row r="3" s="488" customFormat="1" spans="1:8">
      <c r="A3" s="493"/>
      <c r="B3" s="496"/>
      <c r="C3" s="496"/>
      <c r="D3" s="496"/>
      <c r="E3" s="497"/>
      <c r="F3" s="496"/>
      <c r="G3" s="496"/>
      <c r="H3" s="496"/>
    </row>
    <row r="4" s="488" customFormat="1" customHeight="1" spans="1:8">
      <c r="A4" s="493"/>
      <c r="B4" s="498" t="s">
        <v>335</v>
      </c>
      <c r="C4" s="499"/>
      <c r="D4" s="500" t="str">
        <f>'Gen Inb'!I6</f>
        <v>环球01 </v>
      </c>
      <c r="E4" s="501"/>
      <c r="F4" s="502"/>
      <c r="G4" s="499" t="s">
        <v>336</v>
      </c>
      <c r="H4" s="503" t="str">
        <f>'Gen Inb'!F8</f>
        <v>利比里亚</v>
      </c>
    </row>
    <row r="5" s="488" customFormat="1" customHeight="1" spans="1:8">
      <c r="A5" s="493"/>
      <c r="B5" s="504" t="s">
        <v>337</v>
      </c>
      <c r="C5" s="505"/>
      <c r="D5" s="506" t="str">
        <f>'Gen Inb'!I7</f>
        <v>GLOBAO 01</v>
      </c>
      <c r="E5" s="507"/>
      <c r="F5" s="508"/>
      <c r="G5" s="505" t="s">
        <v>338</v>
      </c>
      <c r="H5" s="509" t="str">
        <f>'Gen Inb'!F9</f>
        <v>LIBERIA</v>
      </c>
    </row>
    <row r="6" s="488" customFormat="1" ht="36.75" customHeight="1" spans="1:8">
      <c r="A6" s="493"/>
      <c r="B6" s="510" t="s">
        <v>339</v>
      </c>
      <c r="C6" s="511"/>
      <c r="D6" s="512" t="s">
        <v>340</v>
      </c>
      <c r="E6" s="513" t="s">
        <v>303</v>
      </c>
      <c r="F6" s="514" t="s">
        <v>341</v>
      </c>
      <c r="G6" s="515" t="s">
        <v>342</v>
      </c>
      <c r="H6" s="512" t="s">
        <v>343</v>
      </c>
    </row>
    <row r="7" s="488" customFormat="1" ht="24.75" customHeight="1" spans="1:8">
      <c r="A7" s="493"/>
      <c r="B7" s="516" t="s">
        <v>344</v>
      </c>
      <c r="C7" s="517"/>
      <c r="D7" s="518" t="s">
        <v>338</v>
      </c>
      <c r="E7" s="519" t="s">
        <v>345</v>
      </c>
      <c r="F7" s="518" t="s">
        <v>346</v>
      </c>
      <c r="G7" s="520" t="s">
        <v>347</v>
      </c>
      <c r="H7" s="520" t="s">
        <v>348</v>
      </c>
    </row>
    <row r="8" s="488" customFormat="1" ht="30" customHeight="1" spans="1:8">
      <c r="A8" s="493"/>
      <c r="B8" s="521"/>
      <c r="C8" s="522"/>
      <c r="D8" s="523"/>
      <c r="E8" s="524"/>
      <c r="F8" s="525"/>
      <c r="G8" s="526"/>
      <c r="H8" s="527"/>
    </row>
    <row r="9" s="488" customFormat="1" ht="30" customHeight="1" spans="1:8">
      <c r="A9" s="493"/>
      <c r="B9" s="528"/>
      <c r="C9" s="522"/>
      <c r="D9" s="526"/>
      <c r="E9" s="524"/>
      <c r="F9" s="529"/>
      <c r="G9" s="530"/>
      <c r="H9" s="531"/>
    </row>
    <row r="10" s="488" customFormat="1" ht="30" customHeight="1" spans="1:8">
      <c r="A10" s="493"/>
      <c r="B10" s="528"/>
      <c r="C10" s="522"/>
      <c r="D10" s="526"/>
      <c r="E10" s="524"/>
      <c r="F10" s="529"/>
      <c r="G10" s="530"/>
      <c r="H10" s="531"/>
    </row>
    <row r="11" s="488" customFormat="1" ht="30" customHeight="1" spans="1:8">
      <c r="A11" s="493"/>
      <c r="B11" s="528"/>
      <c r="C11" s="522"/>
      <c r="D11" s="526"/>
      <c r="E11" s="524"/>
      <c r="F11" s="529"/>
      <c r="G11" s="530"/>
      <c r="H11" s="531"/>
    </row>
    <row r="12" s="488" customFormat="1" ht="30" customHeight="1" spans="1:8">
      <c r="A12" s="493"/>
      <c r="B12" s="528"/>
      <c r="C12" s="522"/>
      <c r="D12" s="526"/>
      <c r="E12" s="524"/>
      <c r="F12" s="529"/>
      <c r="G12" s="530"/>
      <c r="H12" s="531"/>
    </row>
    <row r="13" s="488" customFormat="1" ht="30" customHeight="1" spans="1:8">
      <c r="A13" s="493"/>
      <c r="B13" s="528"/>
      <c r="C13" s="522"/>
      <c r="D13" s="526"/>
      <c r="E13" s="524"/>
      <c r="F13" s="529"/>
      <c r="G13" s="530"/>
      <c r="H13" s="531"/>
    </row>
    <row r="14" s="488" customFormat="1" ht="30" customHeight="1" spans="1:8">
      <c r="A14" s="493"/>
      <c r="B14" s="528"/>
      <c r="C14" s="522"/>
      <c r="D14" s="526"/>
      <c r="E14" s="524"/>
      <c r="F14" s="529"/>
      <c r="G14" s="530"/>
      <c r="H14" s="531"/>
    </row>
    <row r="15" s="488" customFormat="1" ht="30" customHeight="1" spans="1:8">
      <c r="A15" s="493"/>
      <c r="B15" s="528"/>
      <c r="C15" s="522"/>
      <c r="D15" s="526"/>
      <c r="E15" s="524"/>
      <c r="F15" s="529"/>
      <c r="G15" s="530"/>
      <c r="H15" s="531"/>
    </row>
    <row r="16" s="488" customFormat="1" ht="18" customHeight="1" spans="1:8">
      <c r="A16" s="493"/>
      <c r="B16" s="532"/>
      <c r="C16" s="532"/>
      <c r="D16" s="532"/>
      <c r="E16" s="533"/>
      <c r="F16" s="532"/>
      <c r="G16" s="534"/>
      <c r="H16" s="535"/>
    </row>
    <row r="17" s="489" customFormat="1" spans="1:8">
      <c r="A17" s="536"/>
      <c r="B17" s="537"/>
      <c r="C17" s="537"/>
      <c r="D17" s="537"/>
      <c r="E17" s="538"/>
      <c r="F17" s="539"/>
      <c r="G17" s="540" t="s">
        <v>353</v>
      </c>
      <c r="H17" s="541"/>
    </row>
    <row r="18" s="489" customFormat="1" customHeight="1" spans="1:8">
      <c r="A18" s="536"/>
      <c r="B18" s="542">
        <f>'Gen Inb'!P12</f>
        <v>0</v>
      </c>
      <c r="C18" s="542"/>
      <c r="D18" s="542"/>
      <c r="E18" s="542"/>
      <c r="F18" s="543"/>
      <c r="G18" s="544" t="s">
        <v>354</v>
      </c>
      <c r="H18" s="545"/>
    </row>
    <row r="19" s="489" customFormat="1" spans="1:8">
      <c r="A19" s="536"/>
      <c r="B19" s="546" t="s">
        <v>355</v>
      </c>
      <c r="C19" s="546"/>
      <c r="D19" s="546"/>
      <c r="E19" s="546"/>
      <c r="F19" s="547"/>
      <c r="G19" s="548" t="s">
        <v>356</v>
      </c>
      <c r="H19" s="549">
        <f>'Gen Outb'!X6</f>
        <v>44160</v>
      </c>
    </row>
    <row r="20" s="489" customFormat="1" spans="1:8">
      <c r="A20" s="536"/>
      <c r="B20" s="546"/>
      <c r="C20" s="546"/>
      <c r="D20" s="546"/>
      <c r="E20" s="546"/>
      <c r="G20" s="544" t="s">
        <v>357</v>
      </c>
      <c r="H20" s="550"/>
    </row>
  </sheetData>
  <mergeCells count="20">
    <mergeCell ref="B1:H1"/>
    <mergeCell ref="B2:H2"/>
    <mergeCell ref="B4:C4"/>
    <mergeCell ref="D4:F4"/>
    <mergeCell ref="B5:C5"/>
    <mergeCell ref="D5:F5"/>
    <mergeCell ref="B6:C6"/>
    <mergeCell ref="B7:C7"/>
    <mergeCell ref="B8:C8"/>
    <mergeCell ref="B9:C9"/>
    <mergeCell ref="B10:C10"/>
    <mergeCell ref="B11:C11"/>
    <mergeCell ref="B12:C12"/>
    <mergeCell ref="B13:C13"/>
    <mergeCell ref="B14:C14"/>
    <mergeCell ref="B15:C15"/>
    <mergeCell ref="B18:E18"/>
    <mergeCell ref="H17:H18"/>
    <mergeCell ref="H19:H20"/>
    <mergeCell ref="B19:E20"/>
  </mergeCells>
  <pageMargins left="0.707638888888889" right="0.707638888888889" top="0.747916666666667" bottom="0.747916666666667" header="0.313888888888889" footer="0.313888888888889"/>
  <pageSetup paperSize="9" orientation="portrait"/>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4">
    <pageSetUpPr fitToPage="1"/>
  </sheetPr>
  <dimension ref="A1:N17"/>
  <sheetViews>
    <sheetView workbookViewId="0">
      <selection activeCell="R7" sqref="R7"/>
    </sheetView>
  </sheetViews>
  <sheetFormatPr defaultColWidth="9" defaultRowHeight="13.5"/>
  <cols>
    <col min="1" max="1" width="5.88333333333333" style="31" customWidth="1"/>
    <col min="2" max="2" width="12.4416666666667" style="31" customWidth="1"/>
    <col min="3" max="3" width="6.66666666666667" style="31" customWidth="1"/>
    <col min="4" max="5" width="3.21666666666667" style="31" customWidth="1"/>
    <col min="6" max="6" width="5.10833333333333" style="31" customWidth="1"/>
    <col min="7" max="7" width="1.21666666666667" style="31" customWidth="1"/>
    <col min="8" max="8" width="2.10833333333333" style="31" customWidth="1"/>
    <col min="9" max="9" width="7.21666666666667" style="31" customWidth="1"/>
    <col min="10" max="10" width="1.33333333333333" style="31" customWidth="1"/>
    <col min="11" max="11" width="4.88333333333333" style="31" customWidth="1"/>
    <col min="12" max="12" width="7.21666666666667" style="31" customWidth="1"/>
    <col min="13" max="13" width="9" style="31"/>
    <col min="14" max="14" width="9.10833333333333" style="31" customWidth="1"/>
    <col min="15" max="256" width="9" style="31"/>
    <col min="257" max="257" width="5.88333333333333" style="31" customWidth="1"/>
    <col min="258" max="258" width="10.6666666666667" style="31" customWidth="1"/>
    <col min="259" max="259" width="6.66666666666667" style="31" customWidth="1"/>
    <col min="260" max="261" width="3.21666666666667" style="31" customWidth="1"/>
    <col min="262" max="262" width="5.10833333333333" style="31" customWidth="1"/>
    <col min="263" max="263" width="1.21666666666667" style="31" customWidth="1"/>
    <col min="264" max="264" width="2.10833333333333" style="31" customWidth="1"/>
    <col min="265" max="265" width="9.10833333333333" style="31" customWidth="1"/>
    <col min="266" max="266" width="1.33333333333333" style="31" customWidth="1"/>
    <col min="267" max="267" width="4.88333333333333" style="31" customWidth="1"/>
    <col min="268" max="268" width="7.21666666666667" style="31" customWidth="1"/>
    <col min="269" max="269" width="9" style="31"/>
    <col min="270" max="270" width="9.10833333333333" style="31" customWidth="1"/>
    <col min="271" max="512" width="9" style="31"/>
    <col min="513" max="513" width="5.88333333333333" style="31" customWidth="1"/>
    <col min="514" max="514" width="10.6666666666667" style="31" customWidth="1"/>
    <col min="515" max="515" width="6.66666666666667" style="31" customWidth="1"/>
    <col min="516" max="517" width="3.21666666666667" style="31" customWidth="1"/>
    <col min="518" max="518" width="5.10833333333333" style="31" customWidth="1"/>
    <col min="519" max="519" width="1.21666666666667" style="31" customWidth="1"/>
    <col min="520" max="520" width="2.10833333333333" style="31" customWidth="1"/>
    <col min="521" max="521" width="9.10833333333333" style="31" customWidth="1"/>
    <col min="522" max="522" width="1.33333333333333" style="31" customWidth="1"/>
    <col min="523" max="523" width="4.88333333333333" style="31" customWidth="1"/>
    <col min="524" max="524" width="7.21666666666667" style="31" customWidth="1"/>
    <col min="525" max="525" width="9" style="31"/>
    <col min="526" max="526" width="9.10833333333333" style="31" customWidth="1"/>
    <col min="527" max="768" width="9" style="31"/>
    <col min="769" max="769" width="5.88333333333333" style="31" customWidth="1"/>
    <col min="770" max="770" width="10.6666666666667" style="31" customWidth="1"/>
    <col min="771" max="771" width="6.66666666666667" style="31" customWidth="1"/>
    <col min="772" max="773" width="3.21666666666667" style="31" customWidth="1"/>
    <col min="774" max="774" width="5.10833333333333" style="31" customWidth="1"/>
    <col min="775" max="775" width="1.21666666666667" style="31" customWidth="1"/>
    <col min="776" max="776" width="2.10833333333333" style="31" customWidth="1"/>
    <col min="777" max="777" width="9.10833333333333" style="31" customWidth="1"/>
    <col min="778" max="778" width="1.33333333333333" style="31" customWidth="1"/>
    <col min="779" max="779" width="4.88333333333333" style="31" customWidth="1"/>
    <col min="780" max="780" width="7.21666666666667" style="31" customWidth="1"/>
    <col min="781" max="781" width="9" style="31"/>
    <col min="782" max="782" width="9.10833333333333" style="31" customWidth="1"/>
    <col min="783" max="1024" width="9" style="31"/>
    <col min="1025" max="1025" width="5.88333333333333" style="31" customWidth="1"/>
    <col min="1026" max="1026" width="10.6666666666667" style="31" customWidth="1"/>
    <col min="1027" max="1027" width="6.66666666666667" style="31" customWidth="1"/>
    <col min="1028" max="1029" width="3.21666666666667" style="31" customWidth="1"/>
    <col min="1030" max="1030" width="5.10833333333333" style="31" customWidth="1"/>
    <col min="1031" max="1031" width="1.21666666666667" style="31" customWidth="1"/>
    <col min="1032" max="1032" width="2.10833333333333" style="31" customWidth="1"/>
    <col min="1033" max="1033" width="9.10833333333333" style="31" customWidth="1"/>
    <col min="1034" max="1034" width="1.33333333333333" style="31" customWidth="1"/>
    <col min="1035" max="1035" width="4.88333333333333" style="31" customWidth="1"/>
    <col min="1036" max="1036" width="7.21666666666667" style="31" customWidth="1"/>
    <col min="1037" max="1037" width="9" style="31"/>
    <col min="1038" max="1038" width="9.10833333333333" style="31" customWidth="1"/>
    <col min="1039" max="1280" width="9" style="31"/>
    <col min="1281" max="1281" width="5.88333333333333" style="31" customWidth="1"/>
    <col min="1282" max="1282" width="10.6666666666667" style="31" customWidth="1"/>
    <col min="1283" max="1283" width="6.66666666666667" style="31" customWidth="1"/>
    <col min="1284" max="1285" width="3.21666666666667" style="31" customWidth="1"/>
    <col min="1286" max="1286" width="5.10833333333333" style="31" customWidth="1"/>
    <col min="1287" max="1287" width="1.21666666666667" style="31" customWidth="1"/>
    <col min="1288" max="1288" width="2.10833333333333" style="31" customWidth="1"/>
    <col min="1289" max="1289" width="9.10833333333333" style="31" customWidth="1"/>
    <col min="1290" max="1290" width="1.33333333333333" style="31" customWidth="1"/>
    <col min="1291" max="1291" width="4.88333333333333" style="31" customWidth="1"/>
    <col min="1292" max="1292" width="7.21666666666667" style="31" customWidth="1"/>
    <col min="1293" max="1293" width="9" style="31"/>
    <col min="1294" max="1294" width="9.10833333333333" style="31" customWidth="1"/>
    <col min="1295" max="1536" width="9" style="31"/>
    <col min="1537" max="1537" width="5.88333333333333" style="31" customWidth="1"/>
    <col min="1538" max="1538" width="10.6666666666667" style="31" customWidth="1"/>
    <col min="1539" max="1539" width="6.66666666666667" style="31" customWidth="1"/>
    <col min="1540" max="1541" width="3.21666666666667" style="31" customWidth="1"/>
    <col min="1542" max="1542" width="5.10833333333333" style="31" customWidth="1"/>
    <col min="1543" max="1543" width="1.21666666666667" style="31" customWidth="1"/>
    <col min="1544" max="1544" width="2.10833333333333" style="31" customWidth="1"/>
    <col min="1545" max="1545" width="9.10833333333333" style="31" customWidth="1"/>
    <col min="1546" max="1546" width="1.33333333333333" style="31" customWidth="1"/>
    <col min="1547" max="1547" width="4.88333333333333" style="31" customWidth="1"/>
    <col min="1548" max="1548" width="7.21666666666667" style="31" customWidth="1"/>
    <col min="1549" max="1549" width="9" style="31"/>
    <col min="1550" max="1550" width="9.10833333333333" style="31" customWidth="1"/>
    <col min="1551" max="1792" width="9" style="31"/>
    <col min="1793" max="1793" width="5.88333333333333" style="31" customWidth="1"/>
    <col min="1794" max="1794" width="10.6666666666667" style="31" customWidth="1"/>
    <col min="1795" max="1795" width="6.66666666666667" style="31" customWidth="1"/>
    <col min="1796" max="1797" width="3.21666666666667" style="31" customWidth="1"/>
    <col min="1798" max="1798" width="5.10833333333333" style="31" customWidth="1"/>
    <col min="1799" max="1799" width="1.21666666666667" style="31" customWidth="1"/>
    <col min="1800" max="1800" width="2.10833333333333" style="31" customWidth="1"/>
    <col min="1801" max="1801" width="9.10833333333333" style="31" customWidth="1"/>
    <col min="1802" max="1802" width="1.33333333333333" style="31" customWidth="1"/>
    <col min="1803" max="1803" width="4.88333333333333" style="31" customWidth="1"/>
    <col min="1804" max="1804" width="7.21666666666667" style="31" customWidth="1"/>
    <col min="1805" max="1805" width="9" style="31"/>
    <col min="1806" max="1806" width="9.10833333333333" style="31" customWidth="1"/>
    <col min="1807" max="2048" width="9" style="31"/>
    <col min="2049" max="2049" width="5.88333333333333" style="31" customWidth="1"/>
    <col min="2050" max="2050" width="10.6666666666667" style="31" customWidth="1"/>
    <col min="2051" max="2051" width="6.66666666666667" style="31" customWidth="1"/>
    <col min="2052" max="2053" width="3.21666666666667" style="31" customWidth="1"/>
    <col min="2054" max="2054" width="5.10833333333333" style="31" customWidth="1"/>
    <col min="2055" max="2055" width="1.21666666666667" style="31" customWidth="1"/>
    <col min="2056" max="2056" width="2.10833333333333" style="31" customWidth="1"/>
    <col min="2057" max="2057" width="9.10833333333333" style="31" customWidth="1"/>
    <col min="2058" max="2058" width="1.33333333333333" style="31" customWidth="1"/>
    <col min="2059" max="2059" width="4.88333333333333" style="31" customWidth="1"/>
    <col min="2060" max="2060" width="7.21666666666667" style="31" customWidth="1"/>
    <col min="2061" max="2061" width="9" style="31"/>
    <col min="2062" max="2062" width="9.10833333333333" style="31" customWidth="1"/>
    <col min="2063" max="2304" width="9" style="31"/>
    <col min="2305" max="2305" width="5.88333333333333" style="31" customWidth="1"/>
    <col min="2306" max="2306" width="10.6666666666667" style="31" customWidth="1"/>
    <col min="2307" max="2307" width="6.66666666666667" style="31" customWidth="1"/>
    <col min="2308" max="2309" width="3.21666666666667" style="31" customWidth="1"/>
    <col min="2310" max="2310" width="5.10833333333333" style="31" customWidth="1"/>
    <col min="2311" max="2311" width="1.21666666666667" style="31" customWidth="1"/>
    <col min="2312" max="2312" width="2.10833333333333" style="31" customWidth="1"/>
    <col min="2313" max="2313" width="9.10833333333333" style="31" customWidth="1"/>
    <col min="2314" max="2314" width="1.33333333333333" style="31" customWidth="1"/>
    <col min="2315" max="2315" width="4.88333333333333" style="31" customWidth="1"/>
    <col min="2316" max="2316" width="7.21666666666667" style="31" customWidth="1"/>
    <col min="2317" max="2317" width="9" style="31"/>
    <col min="2318" max="2318" width="9.10833333333333" style="31" customWidth="1"/>
    <col min="2319" max="2560" width="9" style="31"/>
    <col min="2561" max="2561" width="5.88333333333333" style="31" customWidth="1"/>
    <col min="2562" max="2562" width="10.6666666666667" style="31" customWidth="1"/>
    <col min="2563" max="2563" width="6.66666666666667" style="31" customWidth="1"/>
    <col min="2564" max="2565" width="3.21666666666667" style="31" customWidth="1"/>
    <col min="2566" max="2566" width="5.10833333333333" style="31" customWidth="1"/>
    <col min="2567" max="2567" width="1.21666666666667" style="31" customWidth="1"/>
    <col min="2568" max="2568" width="2.10833333333333" style="31" customWidth="1"/>
    <col min="2569" max="2569" width="9.10833333333333" style="31" customWidth="1"/>
    <col min="2570" max="2570" width="1.33333333333333" style="31" customWidth="1"/>
    <col min="2571" max="2571" width="4.88333333333333" style="31" customWidth="1"/>
    <col min="2572" max="2572" width="7.21666666666667" style="31" customWidth="1"/>
    <col min="2573" max="2573" width="9" style="31"/>
    <col min="2574" max="2574" width="9.10833333333333" style="31" customWidth="1"/>
    <col min="2575" max="2816" width="9" style="31"/>
    <col min="2817" max="2817" width="5.88333333333333" style="31" customWidth="1"/>
    <col min="2818" max="2818" width="10.6666666666667" style="31" customWidth="1"/>
    <col min="2819" max="2819" width="6.66666666666667" style="31" customWidth="1"/>
    <col min="2820" max="2821" width="3.21666666666667" style="31" customWidth="1"/>
    <col min="2822" max="2822" width="5.10833333333333" style="31" customWidth="1"/>
    <col min="2823" max="2823" width="1.21666666666667" style="31" customWidth="1"/>
    <col min="2824" max="2824" width="2.10833333333333" style="31" customWidth="1"/>
    <col min="2825" max="2825" width="9.10833333333333" style="31" customWidth="1"/>
    <col min="2826" max="2826" width="1.33333333333333" style="31" customWidth="1"/>
    <col min="2827" max="2827" width="4.88333333333333" style="31" customWidth="1"/>
    <col min="2828" max="2828" width="7.21666666666667" style="31" customWidth="1"/>
    <col min="2829" max="2829" width="9" style="31"/>
    <col min="2830" max="2830" width="9.10833333333333" style="31" customWidth="1"/>
    <col min="2831" max="3072" width="9" style="31"/>
    <col min="3073" max="3073" width="5.88333333333333" style="31" customWidth="1"/>
    <col min="3074" max="3074" width="10.6666666666667" style="31" customWidth="1"/>
    <col min="3075" max="3075" width="6.66666666666667" style="31" customWidth="1"/>
    <col min="3076" max="3077" width="3.21666666666667" style="31" customWidth="1"/>
    <col min="3078" max="3078" width="5.10833333333333" style="31" customWidth="1"/>
    <col min="3079" max="3079" width="1.21666666666667" style="31" customWidth="1"/>
    <col min="3080" max="3080" width="2.10833333333333" style="31" customWidth="1"/>
    <col min="3081" max="3081" width="9.10833333333333" style="31" customWidth="1"/>
    <col min="3082" max="3082" width="1.33333333333333" style="31" customWidth="1"/>
    <col min="3083" max="3083" width="4.88333333333333" style="31" customWidth="1"/>
    <col min="3084" max="3084" width="7.21666666666667" style="31" customWidth="1"/>
    <col min="3085" max="3085" width="9" style="31"/>
    <col min="3086" max="3086" width="9.10833333333333" style="31" customWidth="1"/>
    <col min="3087" max="3328" width="9" style="31"/>
    <col min="3329" max="3329" width="5.88333333333333" style="31" customWidth="1"/>
    <col min="3330" max="3330" width="10.6666666666667" style="31" customWidth="1"/>
    <col min="3331" max="3331" width="6.66666666666667" style="31" customWidth="1"/>
    <col min="3332" max="3333" width="3.21666666666667" style="31" customWidth="1"/>
    <col min="3334" max="3334" width="5.10833333333333" style="31" customWidth="1"/>
    <col min="3335" max="3335" width="1.21666666666667" style="31" customWidth="1"/>
    <col min="3336" max="3336" width="2.10833333333333" style="31" customWidth="1"/>
    <col min="3337" max="3337" width="9.10833333333333" style="31" customWidth="1"/>
    <col min="3338" max="3338" width="1.33333333333333" style="31" customWidth="1"/>
    <col min="3339" max="3339" width="4.88333333333333" style="31" customWidth="1"/>
    <col min="3340" max="3340" width="7.21666666666667" style="31" customWidth="1"/>
    <col min="3341" max="3341" width="9" style="31"/>
    <col min="3342" max="3342" width="9.10833333333333" style="31" customWidth="1"/>
    <col min="3343" max="3584" width="9" style="31"/>
    <col min="3585" max="3585" width="5.88333333333333" style="31" customWidth="1"/>
    <col min="3586" max="3586" width="10.6666666666667" style="31" customWidth="1"/>
    <col min="3587" max="3587" width="6.66666666666667" style="31" customWidth="1"/>
    <col min="3588" max="3589" width="3.21666666666667" style="31" customWidth="1"/>
    <col min="3590" max="3590" width="5.10833333333333" style="31" customWidth="1"/>
    <col min="3591" max="3591" width="1.21666666666667" style="31" customWidth="1"/>
    <col min="3592" max="3592" width="2.10833333333333" style="31" customWidth="1"/>
    <col min="3593" max="3593" width="9.10833333333333" style="31" customWidth="1"/>
    <col min="3594" max="3594" width="1.33333333333333" style="31" customWidth="1"/>
    <col min="3595" max="3595" width="4.88333333333333" style="31" customWidth="1"/>
    <col min="3596" max="3596" width="7.21666666666667" style="31" customWidth="1"/>
    <col min="3597" max="3597" width="9" style="31"/>
    <col min="3598" max="3598" width="9.10833333333333" style="31" customWidth="1"/>
    <col min="3599" max="3840" width="9" style="31"/>
    <col min="3841" max="3841" width="5.88333333333333" style="31" customWidth="1"/>
    <col min="3842" max="3842" width="10.6666666666667" style="31" customWidth="1"/>
    <col min="3843" max="3843" width="6.66666666666667" style="31" customWidth="1"/>
    <col min="3844" max="3845" width="3.21666666666667" style="31" customWidth="1"/>
    <col min="3846" max="3846" width="5.10833333333333" style="31" customWidth="1"/>
    <col min="3847" max="3847" width="1.21666666666667" style="31" customWidth="1"/>
    <col min="3848" max="3848" width="2.10833333333333" style="31" customWidth="1"/>
    <col min="3849" max="3849" width="9.10833333333333" style="31" customWidth="1"/>
    <col min="3850" max="3850" width="1.33333333333333" style="31" customWidth="1"/>
    <col min="3851" max="3851" width="4.88333333333333" style="31" customWidth="1"/>
    <col min="3852" max="3852" width="7.21666666666667" style="31" customWidth="1"/>
    <col min="3853" max="3853" width="9" style="31"/>
    <col min="3854" max="3854" width="9.10833333333333" style="31" customWidth="1"/>
    <col min="3855" max="4096" width="9" style="31"/>
    <col min="4097" max="4097" width="5.88333333333333" style="31" customWidth="1"/>
    <col min="4098" max="4098" width="10.6666666666667" style="31" customWidth="1"/>
    <col min="4099" max="4099" width="6.66666666666667" style="31" customWidth="1"/>
    <col min="4100" max="4101" width="3.21666666666667" style="31" customWidth="1"/>
    <col min="4102" max="4102" width="5.10833333333333" style="31" customWidth="1"/>
    <col min="4103" max="4103" width="1.21666666666667" style="31" customWidth="1"/>
    <col min="4104" max="4104" width="2.10833333333333" style="31" customWidth="1"/>
    <col min="4105" max="4105" width="9.10833333333333" style="31" customWidth="1"/>
    <col min="4106" max="4106" width="1.33333333333333" style="31" customWidth="1"/>
    <col min="4107" max="4107" width="4.88333333333333" style="31" customWidth="1"/>
    <col min="4108" max="4108" width="7.21666666666667" style="31" customWidth="1"/>
    <col min="4109" max="4109" width="9" style="31"/>
    <col min="4110" max="4110" width="9.10833333333333" style="31" customWidth="1"/>
    <col min="4111" max="4352" width="9" style="31"/>
    <col min="4353" max="4353" width="5.88333333333333" style="31" customWidth="1"/>
    <col min="4354" max="4354" width="10.6666666666667" style="31" customWidth="1"/>
    <col min="4355" max="4355" width="6.66666666666667" style="31" customWidth="1"/>
    <col min="4356" max="4357" width="3.21666666666667" style="31" customWidth="1"/>
    <col min="4358" max="4358" width="5.10833333333333" style="31" customWidth="1"/>
    <col min="4359" max="4359" width="1.21666666666667" style="31" customWidth="1"/>
    <col min="4360" max="4360" width="2.10833333333333" style="31" customWidth="1"/>
    <col min="4361" max="4361" width="9.10833333333333" style="31" customWidth="1"/>
    <col min="4362" max="4362" width="1.33333333333333" style="31" customWidth="1"/>
    <col min="4363" max="4363" width="4.88333333333333" style="31" customWidth="1"/>
    <col min="4364" max="4364" width="7.21666666666667" style="31" customWidth="1"/>
    <col min="4365" max="4365" width="9" style="31"/>
    <col min="4366" max="4366" width="9.10833333333333" style="31" customWidth="1"/>
    <col min="4367" max="4608" width="9" style="31"/>
    <col min="4609" max="4609" width="5.88333333333333" style="31" customWidth="1"/>
    <col min="4610" max="4610" width="10.6666666666667" style="31" customWidth="1"/>
    <col min="4611" max="4611" width="6.66666666666667" style="31" customWidth="1"/>
    <col min="4612" max="4613" width="3.21666666666667" style="31" customWidth="1"/>
    <col min="4614" max="4614" width="5.10833333333333" style="31" customWidth="1"/>
    <col min="4615" max="4615" width="1.21666666666667" style="31" customWidth="1"/>
    <col min="4616" max="4616" width="2.10833333333333" style="31" customWidth="1"/>
    <col min="4617" max="4617" width="9.10833333333333" style="31" customWidth="1"/>
    <col min="4618" max="4618" width="1.33333333333333" style="31" customWidth="1"/>
    <col min="4619" max="4619" width="4.88333333333333" style="31" customWidth="1"/>
    <col min="4620" max="4620" width="7.21666666666667" style="31" customWidth="1"/>
    <col min="4621" max="4621" width="9" style="31"/>
    <col min="4622" max="4622" width="9.10833333333333" style="31" customWidth="1"/>
    <col min="4623" max="4864" width="9" style="31"/>
    <col min="4865" max="4865" width="5.88333333333333" style="31" customWidth="1"/>
    <col min="4866" max="4866" width="10.6666666666667" style="31" customWidth="1"/>
    <col min="4867" max="4867" width="6.66666666666667" style="31" customWidth="1"/>
    <col min="4868" max="4869" width="3.21666666666667" style="31" customWidth="1"/>
    <col min="4870" max="4870" width="5.10833333333333" style="31" customWidth="1"/>
    <col min="4871" max="4871" width="1.21666666666667" style="31" customWidth="1"/>
    <col min="4872" max="4872" width="2.10833333333333" style="31" customWidth="1"/>
    <col min="4873" max="4873" width="9.10833333333333" style="31" customWidth="1"/>
    <col min="4874" max="4874" width="1.33333333333333" style="31" customWidth="1"/>
    <col min="4875" max="4875" width="4.88333333333333" style="31" customWidth="1"/>
    <col min="4876" max="4876" width="7.21666666666667" style="31" customWidth="1"/>
    <col min="4877" max="4877" width="9" style="31"/>
    <col min="4878" max="4878" width="9.10833333333333" style="31" customWidth="1"/>
    <col min="4879" max="5120" width="9" style="31"/>
    <col min="5121" max="5121" width="5.88333333333333" style="31" customWidth="1"/>
    <col min="5122" max="5122" width="10.6666666666667" style="31" customWidth="1"/>
    <col min="5123" max="5123" width="6.66666666666667" style="31" customWidth="1"/>
    <col min="5124" max="5125" width="3.21666666666667" style="31" customWidth="1"/>
    <col min="5126" max="5126" width="5.10833333333333" style="31" customWidth="1"/>
    <col min="5127" max="5127" width="1.21666666666667" style="31" customWidth="1"/>
    <col min="5128" max="5128" width="2.10833333333333" style="31" customWidth="1"/>
    <col min="5129" max="5129" width="9.10833333333333" style="31" customWidth="1"/>
    <col min="5130" max="5130" width="1.33333333333333" style="31" customWidth="1"/>
    <col min="5131" max="5131" width="4.88333333333333" style="31" customWidth="1"/>
    <col min="5132" max="5132" width="7.21666666666667" style="31" customWidth="1"/>
    <col min="5133" max="5133" width="9" style="31"/>
    <col min="5134" max="5134" width="9.10833333333333" style="31" customWidth="1"/>
    <col min="5135" max="5376" width="9" style="31"/>
    <col min="5377" max="5377" width="5.88333333333333" style="31" customWidth="1"/>
    <col min="5378" max="5378" width="10.6666666666667" style="31" customWidth="1"/>
    <col min="5379" max="5379" width="6.66666666666667" style="31" customWidth="1"/>
    <col min="5380" max="5381" width="3.21666666666667" style="31" customWidth="1"/>
    <col min="5382" max="5382" width="5.10833333333333" style="31" customWidth="1"/>
    <col min="5383" max="5383" width="1.21666666666667" style="31" customWidth="1"/>
    <col min="5384" max="5384" width="2.10833333333333" style="31" customWidth="1"/>
    <col min="5385" max="5385" width="9.10833333333333" style="31" customWidth="1"/>
    <col min="5386" max="5386" width="1.33333333333333" style="31" customWidth="1"/>
    <col min="5387" max="5387" width="4.88333333333333" style="31" customWidth="1"/>
    <col min="5388" max="5388" width="7.21666666666667" style="31" customWidth="1"/>
    <col min="5389" max="5389" width="9" style="31"/>
    <col min="5390" max="5390" width="9.10833333333333" style="31" customWidth="1"/>
    <col min="5391" max="5632" width="9" style="31"/>
    <col min="5633" max="5633" width="5.88333333333333" style="31" customWidth="1"/>
    <col min="5634" max="5634" width="10.6666666666667" style="31" customWidth="1"/>
    <col min="5635" max="5635" width="6.66666666666667" style="31" customWidth="1"/>
    <col min="5636" max="5637" width="3.21666666666667" style="31" customWidth="1"/>
    <col min="5638" max="5638" width="5.10833333333333" style="31" customWidth="1"/>
    <col min="5639" max="5639" width="1.21666666666667" style="31" customWidth="1"/>
    <col min="5640" max="5640" width="2.10833333333333" style="31" customWidth="1"/>
    <col min="5641" max="5641" width="9.10833333333333" style="31" customWidth="1"/>
    <col min="5642" max="5642" width="1.33333333333333" style="31" customWidth="1"/>
    <col min="5643" max="5643" width="4.88333333333333" style="31" customWidth="1"/>
    <col min="5644" max="5644" width="7.21666666666667" style="31" customWidth="1"/>
    <col min="5645" max="5645" width="9" style="31"/>
    <col min="5646" max="5646" width="9.10833333333333" style="31" customWidth="1"/>
    <col min="5647" max="5888" width="9" style="31"/>
    <col min="5889" max="5889" width="5.88333333333333" style="31" customWidth="1"/>
    <col min="5890" max="5890" width="10.6666666666667" style="31" customWidth="1"/>
    <col min="5891" max="5891" width="6.66666666666667" style="31" customWidth="1"/>
    <col min="5892" max="5893" width="3.21666666666667" style="31" customWidth="1"/>
    <col min="5894" max="5894" width="5.10833333333333" style="31" customWidth="1"/>
    <col min="5895" max="5895" width="1.21666666666667" style="31" customWidth="1"/>
    <col min="5896" max="5896" width="2.10833333333333" style="31" customWidth="1"/>
    <col min="5897" max="5897" width="9.10833333333333" style="31" customWidth="1"/>
    <col min="5898" max="5898" width="1.33333333333333" style="31" customWidth="1"/>
    <col min="5899" max="5899" width="4.88333333333333" style="31" customWidth="1"/>
    <col min="5900" max="5900" width="7.21666666666667" style="31" customWidth="1"/>
    <col min="5901" max="5901" width="9" style="31"/>
    <col min="5902" max="5902" width="9.10833333333333" style="31" customWidth="1"/>
    <col min="5903" max="6144" width="9" style="31"/>
    <col min="6145" max="6145" width="5.88333333333333" style="31" customWidth="1"/>
    <col min="6146" max="6146" width="10.6666666666667" style="31" customWidth="1"/>
    <col min="6147" max="6147" width="6.66666666666667" style="31" customWidth="1"/>
    <col min="6148" max="6149" width="3.21666666666667" style="31" customWidth="1"/>
    <col min="6150" max="6150" width="5.10833333333333" style="31" customWidth="1"/>
    <col min="6151" max="6151" width="1.21666666666667" style="31" customWidth="1"/>
    <col min="6152" max="6152" width="2.10833333333333" style="31" customWidth="1"/>
    <col min="6153" max="6153" width="9.10833333333333" style="31" customWidth="1"/>
    <col min="6154" max="6154" width="1.33333333333333" style="31" customWidth="1"/>
    <col min="6155" max="6155" width="4.88333333333333" style="31" customWidth="1"/>
    <col min="6156" max="6156" width="7.21666666666667" style="31" customWidth="1"/>
    <col min="6157" max="6157" width="9" style="31"/>
    <col min="6158" max="6158" width="9.10833333333333" style="31" customWidth="1"/>
    <col min="6159" max="6400" width="9" style="31"/>
    <col min="6401" max="6401" width="5.88333333333333" style="31" customWidth="1"/>
    <col min="6402" max="6402" width="10.6666666666667" style="31" customWidth="1"/>
    <col min="6403" max="6403" width="6.66666666666667" style="31" customWidth="1"/>
    <col min="6404" max="6405" width="3.21666666666667" style="31" customWidth="1"/>
    <col min="6406" max="6406" width="5.10833333333333" style="31" customWidth="1"/>
    <col min="6407" max="6407" width="1.21666666666667" style="31" customWidth="1"/>
    <col min="6408" max="6408" width="2.10833333333333" style="31" customWidth="1"/>
    <col min="6409" max="6409" width="9.10833333333333" style="31" customWidth="1"/>
    <col min="6410" max="6410" width="1.33333333333333" style="31" customWidth="1"/>
    <col min="6411" max="6411" width="4.88333333333333" style="31" customWidth="1"/>
    <col min="6412" max="6412" width="7.21666666666667" style="31" customWidth="1"/>
    <col min="6413" max="6413" width="9" style="31"/>
    <col min="6414" max="6414" width="9.10833333333333" style="31" customWidth="1"/>
    <col min="6415" max="6656" width="9" style="31"/>
    <col min="6657" max="6657" width="5.88333333333333" style="31" customWidth="1"/>
    <col min="6658" max="6658" width="10.6666666666667" style="31" customWidth="1"/>
    <col min="6659" max="6659" width="6.66666666666667" style="31" customWidth="1"/>
    <col min="6660" max="6661" width="3.21666666666667" style="31" customWidth="1"/>
    <col min="6662" max="6662" width="5.10833333333333" style="31" customWidth="1"/>
    <col min="6663" max="6663" width="1.21666666666667" style="31" customWidth="1"/>
    <col min="6664" max="6664" width="2.10833333333333" style="31" customWidth="1"/>
    <col min="6665" max="6665" width="9.10833333333333" style="31" customWidth="1"/>
    <col min="6666" max="6666" width="1.33333333333333" style="31" customWidth="1"/>
    <col min="6667" max="6667" width="4.88333333333333" style="31" customWidth="1"/>
    <col min="6668" max="6668" width="7.21666666666667" style="31" customWidth="1"/>
    <col min="6669" max="6669" width="9" style="31"/>
    <col min="6670" max="6670" width="9.10833333333333" style="31" customWidth="1"/>
    <col min="6671" max="6912" width="9" style="31"/>
    <col min="6913" max="6913" width="5.88333333333333" style="31" customWidth="1"/>
    <col min="6914" max="6914" width="10.6666666666667" style="31" customWidth="1"/>
    <col min="6915" max="6915" width="6.66666666666667" style="31" customWidth="1"/>
    <col min="6916" max="6917" width="3.21666666666667" style="31" customWidth="1"/>
    <col min="6918" max="6918" width="5.10833333333333" style="31" customWidth="1"/>
    <col min="6919" max="6919" width="1.21666666666667" style="31" customWidth="1"/>
    <col min="6920" max="6920" width="2.10833333333333" style="31" customWidth="1"/>
    <col min="6921" max="6921" width="9.10833333333333" style="31" customWidth="1"/>
    <col min="6922" max="6922" width="1.33333333333333" style="31" customWidth="1"/>
    <col min="6923" max="6923" width="4.88333333333333" style="31" customWidth="1"/>
    <col min="6924" max="6924" width="7.21666666666667" style="31" customWidth="1"/>
    <col min="6925" max="6925" width="9" style="31"/>
    <col min="6926" max="6926" width="9.10833333333333" style="31" customWidth="1"/>
    <col min="6927" max="7168" width="9" style="31"/>
    <col min="7169" max="7169" width="5.88333333333333" style="31" customWidth="1"/>
    <col min="7170" max="7170" width="10.6666666666667" style="31" customWidth="1"/>
    <col min="7171" max="7171" width="6.66666666666667" style="31" customWidth="1"/>
    <col min="7172" max="7173" width="3.21666666666667" style="31" customWidth="1"/>
    <col min="7174" max="7174" width="5.10833333333333" style="31" customWidth="1"/>
    <col min="7175" max="7175" width="1.21666666666667" style="31" customWidth="1"/>
    <col min="7176" max="7176" width="2.10833333333333" style="31" customWidth="1"/>
    <col min="7177" max="7177" width="9.10833333333333" style="31" customWidth="1"/>
    <col min="7178" max="7178" width="1.33333333333333" style="31" customWidth="1"/>
    <col min="7179" max="7179" width="4.88333333333333" style="31" customWidth="1"/>
    <col min="7180" max="7180" width="7.21666666666667" style="31" customWidth="1"/>
    <col min="7181" max="7181" width="9" style="31"/>
    <col min="7182" max="7182" width="9.10833333333333" style="31" customWidth="1"/>
    <col min="7183" max="7424" width="9" style="31"/>
    <col min="7425" max="7425" width="5.88333333333333" style="31" customWidth="1"/>
    <col min="7426" max="7426" width="10.6666666666667" style="31" customWidth="1"/>
    <col min="7427" max="7427" width="6.66666666666667" style="31" customWidth="1"/>
    <col min="7428" max="7429" width="3.21666666666667" style="31" customWidth="1"/>
    <col min="7430" max="7430" width="5.10833333333333" style="31" customWidth="1"/>
    <col min="7431" max="7431" width="1.21666666666667" style="31" customWidth="1"/>
    <col min="7432" max="7432" width="2.10833333333333" style="31" customWidth="1"/>
    <col min="7433" max="7433" width="9.10833333333333" style="31" customWidth="1"/>
    <col min="7434" max="7434" width="1.33333333333333" style="31" customWidth="1"/>
    <col min="7435" max="7435" width="4.88333333333333" style="31" customWidth="1"/>
    <col min="7436" max="7436" width="7.21666666666667" style="31" customWidth="1"/>
    <col min="7437" max="7437" width="9" style="31"/>
    <col min="7438" max="7438" width="9.10833333333333" style="31" customWidth="1"/>
    <col min="7439" max="7680" width="9" style="31"/>
    <col min="7681" max="7681" width="5.88333333333333" style="31" customWidth="1"/>
    <col min="7682" max="7682" width="10.6666666666667" style="31" customWidth="1"/>
    <col min="7683" max="7683" width="6.66666666666667" style="31" customWidth="1"/>
    <col min="7684" max="7685" width="3.21666666666667" style="31" customWidth="1"/>
    <col min="7686" max="7686" width="5.10833333333333" style="31" customWidth="1"/>
    <col min="7687" max="7687" width="1.21666666666667" style="31" customWidth="1"/>
    <col min="7688" max="7688" width="2.10833333333333" style="31" customWidth="1"/>
    <col min="7689" max="7689" width="9.10833333333333" style="31" customWidth="1"/>
    <col min="7690" max="7690" width="1.33333333333333" style="31" customWidth="1"/>
    <col min="7691" max="7691" width="4.88333333333333" style="31" customWidth="1"/>
    <col min="7692" max="7692" width="7.21666666666667" style="31" customWidth="1"/>
    <col min="7693" max="7693" width="9" style="31"/>
    <col min="7694" max="7694" width="9.10833333333333" style="31" customWidth="1"/>
    <col min="7695" max="7936" width="9" style="31"/>
    <col min="7937" max="7937" width="5.88333333333333" style="31" customWidth="1"/>
    <col min="7938" max="7938" width="10.6666666666667" style="31" customWidth="1"/>
    <col min="7939" max="7939" width="6.66666666666667" style="31" customWidth="1"/>
    <col min="7940" max="7941" width="3.21666666666667" style="31" customWidth="1"/>
    <col min="7942" max="7942" width="5.10833333333333" style="31" customWidth="1"/>
    <col min="7943" max="7943" width="1.21666666666667" style="31" customWidth="1"/>
    <col min="7944" max="7944" width="2.10833333333333" style="31" customWidth="1"/>
    <col min="7945" max="7945" width="9.10833333333333" style="31" customWidth="1"/>
    <col min="7946" max="7946" width="1.33333333333333" style="31" customWidth="1"/>
    <col min="7947" max="7947" width="4.88333333333333" style="31" customWidth="1"/>
    <col min="7948" max="7948" width="7.21666666666667" style="31" customWidth="1"/>
    <col min="7949" max="7949" width="9" style="31"/>
    <col min="7950" max="7950" width="9.10833333333333" style="31" customWidth="1"/>
    <col min="7951" max="8192" width="9" style="31"/>
    <col min="8193" max="8193" width="5.88333333333333" style="31" customWidth="1"/>
    <col min="8194" max="8194" width="10.6666666666667" style="31" customWidth="1"/>
    <col min="8195" max="8195" width="6.66666666666667" style="31" customWidth="1"/>
    <col min="8196" max="8197" width="3.21666666666667" style="31" customWidth="1"/>
    <col min="8198" max="8198" width="5.10833333333333" style="31" customWidth="1"/>
    <col min="8199" max="8199" width="1.21666666666667" style="31" customWidth="1"/>
    <col min="8200" max="8200" width="2.10833333333333" style="31" customWidth="1"/>
    <col min="8201" max="8201" width="9.10833333333333" style="31" customWidth="1"/>
    <col min="8202" max="8202" width="1.33333333333333" style="31" customWidth="1"/>
    <col min="8203" max="8203" width="4.88333333333333" style="31" customWidth="1"/>
    <col min="8204" max="8204" width="7.21666666666667" style="31" customWidth="1"/>
    <col min="8205" max="8205" width="9" style="31"/>
    <col min="8206" max="8206" width="9.10833333333333" style="31" customWidth="1"/>
    <col min="8207" max="8448" width="9" style="31"/>
    <col min="8449" max="8449" width="5.88333333333333" style="31" customWidth="1"/>
    <col min="8450" max="8450" width="10.6666666666667" style="31" customWidth="1"/>
    <col min="8451" max="8451" width="6.66666666666667" style="31" customWidth="1"/>
    <col min="8452" max="8453" width="3.21666666666667" style="31" customWidth="1"/>
    <col min="8454" max="8454" width="5.10833333333333" style="31" customWidth="1"/>
    <col min="8455" max="8455" width="1.21666666666667" style="31" customWidth="1"/>
    <col min="8456" max="8456" width="2.10833333333333" style="31" customWidth="1"/>
    <col min="8457" max="8457" width="9.10833333333333" style="31" customWidth="1"/>
    <col min="8458" max="8458" width="1.33333333333333" style="31" customWidth="1"/>
    <col min="8459" max="8459" width="4.88333333333333" style="31" customWidth="1"/>
    <col min="8460" max="8460" width="7.21666666666667" style="31" customWidth="1"/>
    <col min="8461" max="8461" width="9" style="31"/>
    <col min="8462" max="8462" width="9.10833333333333" style="31" customWidth="1"/>
    <col min="8463" max="8704" width="9" style="31"/>
    <col min="8705" max="8705" width="5.88333333333333" style="31" customWidth="1"/>
    <col min="8706" max="8706" width="10.6666666666667" style="31" customWidth="1"/>
    <col min="8707" max="8707" width="6.66666666666667" style="31" customWidth="1"/>
    <col min="8708" max="8709" width="3.21666666666667" style="31" customWidth="1"/>
    <col min="8710" max="8710" width="5.10833333333333" style="31" customWidth="1"/>
    <col min="8711" max="8711" width="1.21666666666667" style="31" customWidth="1"/>
    <col min="8712" max="8712" width="2.10833333333333" style="31" customWidth="1"/>
    <col min="8713" max="8713" width="9.10833333333333" style="31" customWidth="1"/>
    <col min="8714" max="8714" width="1.33333333333333" style="31" customWidth="1"/>
    <col min="8715" max="8715" width="4.88333333333333" style="31" customWidth="1"/>
    <col min="8716" max="8716" width="7.21666666666667" style="31" customWidth="1"/>
    <col min="8717" max="8717" width="9" style="31"/>
    <col min="8718" max="8718" width="9.10833333333333" style="31" customWidth="1"/>
    <col min="8719" max="8960" width="9" style="31"/>
    <col min="8961" max="8961" width="5.88333333333333" style="31" customWidth="1"/>
    <col min="8962" max="8962" width="10.6666666666667" style="31" customWidth="1"/>
    <col min="8963" max="8963" width="6.66666666666667" style="31" customWidth="1"/>
    <col min="8964" max="8965" width="3.21666666666667" style="31" customWidth="1"/>
    <col min="8966" max="8966" width="5.10833333333333" style="31" customWidth="1"/>
    <col min="8967" max="8967" width="1.21666666666667" style="31" customWidth="1"/>
    <col min="8968" max="8968" width="2.10833333333333" style="31" customWidth="1"/>
    <col min="8969" max="8969" width="9.10833333333333" style="31" customWidth="1"/>
    <col min="8970" max="8970" width="1.33333333333333" style="31" customWidth="1"/>
    <col min="8971" max="8971" width="4.88333333333333" style="31" customWidth="1"/>
    <col min="8972" max="8972" width="7.21666666666667" style="31" customWidth="1"/>
    <col min="8973" max="8973" width="9" style="31"/>
    <col min="8974" max="8974" width="9.10833333333333" style="31" customWidth="1"/>
    <col min="8975" max="9216" width="9" style="31"/>
    <col min="9217" max="9217" width="5.88333333333333" style="31" customWidth="1"/>
    <col min="9218" max="9218" width="10.6666666666667" style="31" customWidth="1"/>
    <col min="9219" max="9219" width="6.66666666666667" style="31" customWidth="1"/>
    <col min="9220" max="9221" width="3.21666666666667" style="31" customWidth="1"/>
    <col min="9222" max="9222" width="5.10833333333333" style="31" customWidth="1"/>
    <col min="9223" max="9223" width="1.21666666666667" style="31" customWidth="1"/>
    <col min="9224" max="9224" width="2.10833333333333" style="31" customWidth="1"/>
    <col min="9225" max="9225" width="9.10833333333333" style="31" customWidth="1"/>
    <col min="9226" max="9226" width="1.33333333333333" style="31" customWidth="1"/>
    <col min="9227" max="9227" width="4.88333333333333" style="31" customWidth="1"/>
    <col min="9228" max="9228" width="7.21666666666667" style="31" customWidth="1"/>
    <col min="9229" max="9229" width="9" style="31"/>
    <col min="9230" max="9230" width="9.10833333333333" style="31" customWidth="1"/>
    <col min="9231" max="9472" width="9" style="31"/>
    <col min="9473" max="9473" width="5.88333333333333" style="31" customWidth="1"/>
    <col min="9474" max="9474" width="10.6666666666667" style="31" customWidth="1"/>
    <col min="9475" max="9475" width="6.66666666666667" style="31" customWidth="1"/>
    <col min="9476" max="9477" width="3.21666666666667" style="31" customWidth="1"/>
    <col min="9478" max="9478" width="5.10833333333333" style="31" customWidth="1"/>
    <col min="9479" max="9479" width="1.21666666666667" style="31" customWidth="1"/>
    <col min="9480" max="9480" width="2.10833333333333" style="31" customWidth="1"/>
    <col min="9481" max="9481" width="9.10833333333333" style="31" customWidth="1"/>
    <col min="9482" max="9482" width="1.33333333333333" style="31" customWidth="1"/>
    <col min="9483" max="9483" width="4.88333333333333" style="31" customWidth="1"/>
    <col min="9484" max="9484" width="7.21666666666667" style="31" customWidth="1"/>
    <col min="9485" max="9485" width="9" style="31"/>
    <col min="9486" max="9486" width="9.10833333333333" style="31" customWidth="1"/>
    <col min="9487" max="9728" width="9" style="31"/>
    <col min="9729" max="9729" width="5.88333333333333" style="31" customWidth="1"/>
    <col min="9730" max="9730" width="10.6666666666667" style="31" customWidth="1"/>
    <col min="9731" max="9731" width="6.66666666666667" style="31" customWidth="1"/>
    <col min="9732" max="9733" width="3.21666666666667" style="31" customWidth="1"/>
    <col min="9734" max="9734" width="5.10833333333333" style="31" customWidth="1"/>
    <col min="9735" max="9735" width="1.21666666666667" style="31" customWidth="1"/>
    <col min="9736" max="9736" width="2.10833333333333" style="31" customWidth="1"/>
    <col min="9737" max="9737" width="9.10833333333333" style="31" customWidth="1"/>
    <col min="9738" max="9738" width="1.33333333333333" style="31" customWidth="1"/>
    <col min="9739" max="9739" width="4.88333333333333" style="31" customWidth="1"/>
    <col min="9740" max="9740" width="7.21666666666667" style="31" customWidth="1"/>
    <col min="9741" max="9741" width="9" style="31"/>
    <col min="9742" max="9742" width="9.10833333333333" style="31" customWidth="1"/>
    <col min="9743" max="9984" width="9" style="31"/>
    <col min="9985" max="9985" width="5.88333333333333" style="31" customWidth="1"/>
    <col min="9986" max="9986" width="10.6666666666667" style="31" customWidth="1"/>
    <col min="9987" max="9987" width="6.66666666666667" style="31" customWidth="1"/>
    <col min="9988" max="9989" width="3.21666666666667" style="31" customWidth="1"/>
    <col min="9990" max="9990" width="5.10833333333333" style="31" customWidth="1"/>
    <col min="9991" max="9991" width="1.21666666666667" style="31" customWidth="1"/>
    <col min="9992" max="9992" width="2.10833333333333" style="31" customWidth="1"/>
    <col min="9993" max="9993" width="9.10833333333333" style="31" customWidth="1"/>
    <col min="9994" max="9994" width="1.33333333333333" style="31" customWidth="1"/>
    <col min="9995" max="9995" width="4.88333333333333" style="31" customWidth="1"/>
    <col min="9996" max="9996" width="7.21666666666667" style="31" customWidth="1"/>
    <col min="9997" max="9997" width="9" style="31"/>
    <col min="9998" max="9998" width="9.10833333333333" style="31" customWidth="1"/>
    <col min="9999" max="10240" width="9" style="31"/>
    <col min="10241" max="10241" width="5.88333333333333" style="31" customWidth="1"/>
    <col min="10242" max="10242" width="10.6666666666667" style="31" customWidth="1"/>
    <col min="10243" max="10243" width="6.66666666666667" style="31" customWidth="1"/>
    <col min="10244" max="10245" width="3.21666666666667" style="31" customWidth="1"/>
    <col min="10246" max="10246" width="5.10833333333333" style="31" customWidth="1"/>
    <col min="10247" max="10247" width="1.21666666666667" style="31" customWidth="1"/>
    <col min="10248" max="10248" width="2.10833333333333" style="31" customWidth="1"/>
    <col min="10249" max="10249" width="9.10833333333333" style="31" customWidth="1"/>
    <col min="10250" max="10250" width="1.33333333333333" style="31" customWidth="1"/>
    <col min="10251" max="10251" width="4.88333333333333" style="31" customWidth="1"/>
    <col min="10252" max="10252" width="7.21666666666667" style="31" customWidth="1"/>
    <col min="10253" max="10253" width="9" style="31"/>
    <col min="10254" max="10254" width="9.10833333333333" style="31" customWidth="1"/>
    <col min="10255" max="10496" width="9" style="31"/>
    <col min="10497" max="10497" width="5.88333333333333" style="31" customWidth="1"/>
    <col min="10498" max="10498" width="10.6666666666667" style="31" customWidth="1"/>
    <col min="10499" max="10499" width="6.66666666666667" style="31" customWidth="1"/>
    <col min="10500" max="10501" width="3.21666666666667" style="31" customWidth="1"/>
    <col min="10502" max="10502" width="5.10833333333333" style="31" customWidth="1"/>
    <col min="10503" max="10503" width="1.21666666666667" style="31" customWidth="1"/>
    <col min="10504" max="10504" width="2.10833333333333" style="31" customWidth="1"/>
    <col min="10505" max="10505" width="9.10833333333333" style="31" customWidth="1"/>
    <col min="10506" max="10506" width="1.33333333333333" style="31" customWidth="1"/>
    <col min="10507" max="10507" width="4.88333333333333" style="31" customWidth="1"/>
    <col min="10508" max="10508" width="7.21666666666667" style="31" customWidth="1"/>
    <col min="10509" max="10509" width="9" style="31"/>
    <col min="10510" max="10510" width="9.10833333333333" style="31" customWidth="1"/>
    <col min="10511" max="10752" width="9" style="31"/>
    <col min="10753" max="10753" width="5.88333333333333" style="31" customWidth="1"/>
    <col min="10754" max="10754" width="10.6666666666667" style="31" customWidth="1"/>
    <col min="10755" max="10755" width="6.66666666666667" style="31" customWidth="1"/>
    <col min="10756" max="10757" width="3.21666666666667" style="31" customWidth="1"/>
    <col min="10758" max="10758" width="5.10833333333333" style="31" customWidth="1"/>
    <col min="10759" max="10759" width="1.21666666666667" style="31" customWidth="1"/>
    <col min="10760" max="10760" width="2.10833333333333" style="31" customWidth="1"/>
    <col min="10761" max="10761" width="9.10833333333333" style="31" customWidth="1"/>
    <col min="10762" max="10762" width="1.33333333333333" style="31" customWidth="1"/>
    <col min="10763" max="10763" width="4.88333333333333" style="31" customWidth="1"/>
    <col min="10764" max="10764" width="7.21666666666667" style="31" customWidth="1"/>
    <col min="10765" max="10765" width="9" style="31"/>
    <col min="10766" max="10766" width="9.10833333333333" style="31" customWidth="1"/>
    <col min="10767" max="11008" width="9" style="31"/>
    <col min="11009" max="11009" width="5.88333333333333" style="31" customWidth="1"/>
    <col min="11010" max="11010" width="10.6666666666667" style="31" customWidth="1"/>
    <col min="11011" max="11011" width="6.66666666666667" style="31" customWidth="1"/>
    <col min="11012" max="11013" width="3.21666666666667" style="31" customWidth="1"/>
    <col min="11014" max="11014" width="5.10833333333333" style="31" customWidth="1"/>
    <col min="11015" max="11015" width="1.21666666666667" style="31" customWidth="1"/>
    <col min="11016" max="11016" width="2.10833333333333" style="31" customWidth="1"/>
    <col min="11017" max="11017" width="9.10833333333333" style="31" customWidth="1"/>
    <col min="11018" max="11018" width="1.33333333333333" style="31" customWidth="1"/>
    <col min="11019" max="11019" width="4.88333333333333" style="31" customWidth="1"/>
    <col min="11020" max="11020" width="7.21666666666667" style="31" customWidth="1"/>
    <col min="11021" max="11021" width="9" style="31"/>
    <col min="11022" max="11022" width="9.10833333333333" style="31" customWidth="1"/>
    <col min="11023" max="11264" width="9" style="31"/>
    <col min="11265" max="11265" width="5.88333333333333" style="31" customWidth="1"/>
    <col min="11266" max="11266" width="10.6666666666667" style="31" customWidth="1"/>
    <col min="11267" max="11267" width="6.66666666666667" style="31" customWidth="1"/>
    <col min="11268" max="11269" width="3.21666666666667" style="31" customWidth="1"/>
    <col min="11270" max="11270" width="5.10833333333333" style="31" customWidth="1"/>
    <col min="11271" max="11271" width="1.21666666666667" style="31" customWidth="1"/>
    <col min="11272" max="11272" width="2.10833333333333" style="31" customWidth="1"/>
    <col min="11273" max="11273" width="9.10833333333333" style="31" customWidth="1"/>
    <col min="11274" max="11274" width="1.33333333333333" style="31" customWidth="1"/>
    <col min="11275" max="11275" width="4.88333333333333" style="31" customWidth="1"/>
    <col min="11276" max="11276" width="7.21666666666667" style="31" customWidth="1"/>
    <col min="11277" max="11277" width="9" style="31"/>
    <col min="11278" max="11278" width="9.10833333333333" style="31" customWidth="1"/>
    <col min="11279" max="11520" width="9" style="31"/>
    <col min="11521" max="11521" width="5.88333333333333" style="31" customWidth="1"/>
    <col min="11522" max="11522" width="10.6666666666667" style="31" customWidth="1"/>
    <col min="11523" max="11523" width="6.66666666666667" style="31" customWidth="1"/>
    <col min="11524" max="11525" width="3.21666666666667" style="31" customWidth="1"/>
    <col min="11526" max="11526" width="5.10833333333333" style="31" customWidth="1"/>
    <col min="11527" max="11527" width="1.21666666666667" style="31" customWidth="1"/>
    <col min="11528" max="11528" width="2.10833333333333" style="31" customWidth="1"/>
    <col min="11529" max="11529" width="9.10833333333333" style="31" customWidth="1"/>
    <col min="11530" max="11530" width="1.33333333333333" style="31" customWidth="1"/>
    <col min="11531" max="11531" width="4.88333333333333" style="31" customWidth="1"/>
    <col min="11532" max="11532" width="7.21666666666667" style="31" customWidth="1"/>
    <col min="11533" max="11533" width="9" style="31"/>
    <col min="11534" max="11534" width="9.10833333333333" style="31" customWidth="1"/>
    <col min="11535" max="11776" width="9" style="31"/>
    <col min="11777" max="11777" width="5.88333333333333" style="31" customWidth="1"/>
    <col min="11778" max="11778" width="10.6666666666667" style="31" customWidth="1"/>
    <col min="11779" max="11779" width="6.66666666666667" style="31" customWidth="1"/>
    <col min="11780" max="11781" width="3.21666666666667" style="31" customWidth="1"/>
    <col min="11782" max="11782" width="5.10833333333333" style="31" customWidth="1"/>
    <col min="11783" max="11783" width="1.21666666666667" style="31" customWidth="1"/>
    <col min="11784" max="11784" width="2.10833333333333" style="31" customWidth="1"/>
    <col min="11785" max="11785" width="9.10833333333333" style="31" customWidth="1"/>
    <col min="11786" max="11786" width="1.33333333333333" style="31" customWidth="1"/>
    <col min="11787" max="11787" width="4.88333333333333" style="31" customWidth="1"/>
    <col min="11788" max="11788" width="7.21666666666667" style="31" customWidth="1"/>
    <col min="11789" max="11789" width="9" style="31"/>
    <col min="11790" max="11790" width="9.10833333333333" style="31" customWidth="1"/>
    <col min="11791" max="12032" width="9" style="31"/>
    <col min="12033" max="12033" width="5.88333333333333" style="31" customWidth="1"/>
    <col min="12034" max="12034" width="10.6666666666667" style="31" customWidth="1"/>
    <col min="12035" max="12035" width="6.66666666666667" style="31" customWidth="1"/>
    <col min="12036" max="12037" width="3.21666666666667" style="31" customWidth="1"/>
    <col min="12038" max="12038" width="5.10833333333333" style="31" customWidth="1"/>
    <col min="12039" max="12039" width="1.21666666666667" style="31" customWidth="1"/>
    <col min="12040" max="12040" width="2.10833333333333" style="31" customWidth="1"/>
    <col min="12041" max="12041" width="9.10833333333333" style="31" customWidth="1"/>
    <col min="12042" max="12042" width="1.33333333333333" style="31" customWidth="1"/>
    <col min="12043" max="12043" width="4.88333333333333" style="31" customWidth="1"/>
    <col min="12044" max="12044" width="7.21666666666667" style="31" customWidth="1"/>
    <col min="12045" max="12045" width="9" style="31"/>
    <col min="12046" max="12046" width="9.10833333333333" style="31" customWidth="1"/>
    <col min="12047" max="12288" width="9" style="31"/>
    <col min="12289" max="12289" width="5.88333333333333" style="31" customWidth="1"/>
    <col min="12290" max="12290" width="10.6666666666667" style="31" customWidth="1"/>
    <col min="12291" max="12291" width="6.66666666666667" style="31" customWidth="1"/>
    <col min="12292" max="12293" width="3.21666666666667" style="31" customWidth="1"/>
    <col min="12294" max="12294" width="5.10833333333333" style="31" customWidth="1"/>
    <col min="12295" max="12295" width="1.21666666666667" style="31" customWidth="1"/>
    <col min="12296" max="12296" width="2.10833333333333" style="31" customWidth="1"/>
    <col min="12297" max="12297" width="9.10833333333333" style="31" customWidth="1"/>
    <col min="12298" max="12298" width="1.33333333333333" style="31" customWidth="1"/>
    <col min="12299" max="12299" width="4.88333333333333" style="31" customWidth="1"/>
    <col min="12300" max="12300" width="7.21666666666667" style="31" customWidth="1"/>
    <col min="12301" max="12301" width="9" style="31"/>
    <col min="12302" max="12302" width="9.10833333333333" style="31" customWidth="1"/>
    <col min="12303" max="12544" width="9" style="31"/>
    <col min="12545" max="12545" width="5.88333333333333" style="31" customWidth="1"/>
    <col min="12546" max="12546" width="10.6666666666667" style="31" customWidth="1"/>
    <col min="12547" max="12547" width="6.66666666666667" style="31" customWidth="1"/>
    <col min="12548" max="12549" width="3.21666666666667" style="31" customWidth="1"/>
    <col min="12550" max="12550" width="5.10833333333333" style="31" customWidth="1"/>
    <col min="12551" max="12551" width="1.21666666666667" style="31" customWidth="1"/>
    <col min="12552" max="12552" width="2.10833333333333" style="31" customWidth="1"/>
    <col min="12553" max="12553" width="9.10833333333333" style="31" customWidth="1"/>
    <col min="12554" max="12554" width="1.33333333333333" style="31" customWidth="1"/>
    <col min="12555" max="12555" width="4.88333333333333" style="31" customWidth="1"/>
    <col min="12556" max="12556" width="7.21666666666667" style="31" customWidth="1"/>
    <col min="12557" max="12557" width="9" style="31"/>
    <col min="12558" max="12558" width="9.10833333333333" style="31" customWidth="1"/>
    <col min="12559" max="12800" width="9" style="31"/>
    <col min="12801" max="12801" width="5.88333333333333" style="31" customWidth="1"/>
    <col min="12802" max="12802" width="10.6666666666667" style="31" customWidth="1"/>
    <col min="12803" max="12803" width="6.66666666666667" style="31" customWidth="1"/>
    <col min="12804" max="12805" width="3.21666666666667" style="31" customWidth="1"/>
    <col min="12806" max="12806" width="5.10833333333333" style="31" customWidth="1"/>
    <col min="12807" max="12807" width="1.21666666666667" style="31" customWidth="1"/>
    <col min="12808" max="12808" width="2.10833333333333" style="31" customWidth="1"/>
    <col min="12809" max="12809" width="9.10833333333333" style="31" customWidth="1"/>
    <col min="12810" max="12810" width="1.33333333333333" style="31" customWidth="1"/>
    <col min="12811" max="12811" width="4.88333333333333" style="31" customWidth="1"/>
    <col min="12812" max="12812" width="7.21666666666667" style="31" customWidth="1"/>
    <col min="12813" max="12813" width="9" style="31"/>
    <col min="12814" max="12814" width="9.10833333333333" style="31" customWidth="1"/>
    <col min="12815" max="13056" width="9" style="31"/>
    <col min="13057" max="13057" width="5.88333333333333" style="31" customWidth="1"/>
    <col min="13058" max="13058" width="10.6666666666667" style="31" customWidth="1"/>
    <col min="13059" max="13059" width="6.66666666666667" style="31" customWidth="1"/>
    <col min="13060" max="13061" width="3.21666666666667" style="31" customWidth="1"/>
    <col min="13062" max="13062" width="5.10833333333333" style="31" customWidth="1"/>
    <col min="13063" max="13063" width="1.21666666666667" style="31" customWidth="1"/>
    <col min="13064" max="13064" width="2.10833333333333" style="31" customWidth="1"/>
    <col min="13065" max="13065" width="9.10833333333333" style="31" customWidth="1"/>
    <col min="13066" max="13066" width="1.33333333333333" style="31" customWidth="1"/>
    <col min="13067" max="13067" width="4.88333333333333" style="31" customWidth="1"/>
    <col min="13068" max="13068" width="7.21666666666667" style="31" customWidth="1"/>
    <col min="13069" max="13069" width="9" style="31"/>
    <col min="13070" max="13070" width="9.10833333333333" style="31" customWidth="1"/>
    <col min="13071" max="13312" width="9" style="31"/>
    <col min="13313" max="13313" width="5.88333333333333" style="31" customWidth="1"/>
    <col min="13314" max="13314" width="10.6666666666667" style="31" customWidth="1"/>
    <col min="13315" max="13315" width="6.66666666666667" style="31" customWidth="1"/>
    <col min="13316" max="13317" width="3.21666666666667" style="31" customWidth="1"/>
    <col min="13318" max="13318" width="5.10833333333333" style="31" customWidth="1"/>
    <col min="13319" max="13319" width="1.21666666666667" style="31" customWidth="1"/>
    <col min="13320" max="13320" width="2.10833333333333" style="31" customWidth="1"/>
    <col min="13321" max="13321" width="9.10833333333333" style="31" customWidth="1"/>
    <col min="13322" max="13322" width="1.33333333333333" style="31" customWidth="1"/>
    <col min="13323" max="13323" width="4.88333333333333" style="31" customWidth="1"/>
    <col min="13324" max="13324" width="7.21666666666667" style="31" customWidth="1"/>
    <col min="13325" max="13325" width="9" style="31"/>
    <col min="13326" max="13326" width="9.10833333333333" style="31" customWidth="1"/>
    <col min="13327" max="13568" width="9" style="31"/>
    <col min="13569" max="13569" width="5.88333333333333" style="31" customWidth="1"/>
    <col min="13570" max="13570" width="10.6666666666667" style="31" customWidth="1"/>
    <col min="13571" max="13571" width="6.66666666666667" style="31" customWidth="1"/>
    <col min="13572" max="13573" width="3.21666666666667" style="31" customWidth="1"/>
    <col min="13574" max="13574" width="5.10833333333333" style="31" customWidth="1"/>
    <col min="13575" max="13575" width="1.21666666666667" style="31" customWidth="1"/>
    <col min="13576" max="13576" width="2.10833333333333" style="31" customWidth="1"/>
    <col min="13577" max="13577" width="9.10833333333333" style="31" customWidth="1"/>
    <col min="13578" max="13578" width="1.33333333333333" style="31" customWidth="1"/>
    <col min="13579" max="13579" width="4.88333333333333" style="31" customWidth="1"/>
    <col min="13580" max="13580" width="7.21666666666667" style="31" customWidth="1"/>
    <col min="13581" max="13581" width="9" style="31"/>
    <col min="13582" max="13582" width="9.10833333333333" style="31" customWidth="1"/>
    <col min="13583" max="13824" width="9" style="31"/>
    <col min="13825" max="13825" width="5.88333333333333" style="31" customWidth="1"/>
    <col min="13826" max="13826" width="10.6666666666667" style="31" customWidth="1"/>
    <col min="13827" max="13827" width="6.66666666666667" style="31" customWidth="1"/>
    <col min="13828" max="13829" width="3.21666666666667" style="31" customWidth="1"/>
    <col min="13830" max="13830" width="5.10833333333333" style="31" customWidth="1"/>
    <col min="13831" max="13831" width="1.21666666666667" style="31" customWidth="1"/>
    <col min="13832" max="13832" width="2.10833333333333" style="31" customWidth="1"/>
    <col min="13833" max="13833" width="9.10833333333333" style="31" customWidth="1"/>
    <col min="13834" max="13834" width="1.33333333333333" style="31" customWidth="1"/>
    <col min="13835" max="13835" width="4.88333333333333" style="31" customWidth="1"/>
    <col min="13836" max="13836" width="7.21666666666667" style="31" customWidth="1"/>
    <col min="13837" max="13837" width="9" style="31"/>
    <col min="13838" max="13838" width="9.10833333333333" style="31" customWidth="1"/>
    <col min="13839" max="14080" width="9" style="31"/>
    <col min="14081" max="14081" width="5.88333333333333" style="31" customWidth="1"/>
    <col min="14082" max="14082" width="10.6666666666667" style="31" customWidth="1"/>
    <col min="14083" max="14083" width="6.66666666666667" style="31" customWidth="1"/>
    <col min="14084" max="14085" width="3.21666666666667" style="31" customWidth="1"/>
    <col min="14086" max="14086" width="5.10833333333333" style="31" customWidth="1"/>
    <col min="14087" max="14087" width="1.21666666666667" style="31" customWidth="1"/>
    <col min="14088" max="14088" width="2.10833333333333" style="31" customWidth="1"/>
    <col min="14089" max="14089" width="9.10833333333333" style="31" customWidth="1"/>
    <col min="14090" max="14090" width="1.33333333333333" style="31" customWidth="1"/>
    <col min="14091" max="14091" width="4.88333333333333" style="31" customWidth="1"/>
    <col min="14092" max="14092" width="7.21666666666667" style="31" customWidth="1"/>
    <col min="14093" max="14093" width="9" style="31"/>
    <col min="14094" max="14094" width="9.10833333333333" style="31" customWidth="1"/>
    <col min="14095" max="14336" width="9" style="31"/>
    <col min="14337" max="14337" width="5.88333333333333" style="31" customWidth="1"/>
    <col min="14338" max="14338" width="10.6666666666667" style="31" customWidth="1"/>
    <col min="14339" max="14339" width="6.66666666666667" style="31" customWidth="1"/>
    <col min="14340" max="14341" width="3.21666666666667" style="31" customWidth="1"/>
    <col min="14342" max="14342" width="5.10833333333333" style="31" customWidth="1"/>
    <col min="14343" max="14343" width="1.21666666666667" style="31" customWidth="1"/>
    <col min="14344" max="14344" width="2.10833333333333" style="31" customWidth="1"/>
    <col min="14345" max="14345" width="9.10833333333333" style="31" customWidth="1"/>
    <col min="14346" max="14346" width="1.33333333333333" style="31" customWidth="1"/>
    <col min="14347" max="14347" width="4.88333333333333" style="31" customWidth="1"/>
    <col min="14348" max="14348" width="7.21666666666667" style="31" customWidth="1"/>
    <col min="14349" max="14349" width="9" style="31"/>
    <col min="14350" max="14350" width="9.10833333333333" style="31" customWidth="1"/>
    <col min="14351" max="14592" width="9" style="31"/>
    <col min="14593" max="14593" width="5.88333333333333" style="31" customWidth="1"/>
    <col min="14594" max="14594" width="10.6666666666667" style="31" customWidth="1"/>
    <col min="14595" max="14595" width="6.66666666666667" style="31" customWidth="1"/>
    <col min="14596" max="14597" width="3.21666666666667" style="31" customWidth="1"/>
    <col min="14598" max="14598" width="5.10833333333333" style="31" customWidth="1"/>
    <col min="14599" max="14599" width="1.21666666666667" style="31" customWidth="1"/>
    <col min="14600" max="14600" width="2.10833333333333" style="31" customWidth="1"/>
    <col min="14601" max="14601" width="9.10833333333333" style="31" customWidth="1"/>
    <col min="14602" max="14602" width="1.33333333333333" style="31" customWidth="1"/>
    <col min="14603" max="14603" width="4.88333333333333" style="31" customWidth="1"/>
    <col min="14604" max="14604" width="7.21666666666667" style="31" customWidth="1"/>
    <col min="14605" max="14605" width="9" style="31"/>
    <col min="14606" max="14606" width="9.10833333333333" style="31" customWidth="1"/>
    <col min="14607" max="14848" width="9" style="31"/>
    <col min="14849" max="14849" width="5.88333333333333" style="31" customWidth="1"/>
    <col min="14850" max="14850" width="10.6666666666667" style="31" customWidth="1"/>
    <col min="14851" max="14851" width="6.66666666666667" style="31" customWidth="1"/>
    <col min="14852" max="14853" width="3.21666666666667" style="31" customWidth="1"/>
    <col min="14854" max="14854" width="5.10833333333333" style="31" customWidth="1"/>
    <col min="14855" max="14855" width="1.21666666666667" style="31" customWidth="1"/>
    <col min="14856" max="14856" width="2.10833333333333" style="31" customWidth="1"/>
    <col min="14857" max="14857" width="9.10833333333333" style="31" customWidth="1"/>
    <col min="14858" max="14858" width="1.33333333333333" style="31" customWidth="1"/>
    <col min="14859" max="14859" width="4.88333333333333" style="31" customWidth="1"/>
    <col min="14860" max="14860" width="7.21666666666667" style="31" customWidth="1"/>
    <col min="14861" max="14861" width="9" style="31"/>
    <col min="14862" max="14862" width="9.10833333333333" style="31" customWidth="1"/>
    <col min="14863" max="15104" width="9" style="31"/>
    <col min="15105" max="15105" width="5.88333333333333" style="31" customWidth="1"/>
    <col min="15106" max="15106" width="10.6666666666667" style="31" customWidth="1"/>
    <col min="15107" max="15107" width="6.66666666666667" style="31" customWidth="1"/>
    <col min="15108" max="15109" width="3.21666666666667" style="31" customWidth="1"/>
    <col min="15110" max="15110" width="5.10833333333333" style="31" customWidth="1"/>
    <col min="15111" max="15111" width="1.21666666666667" style="31" customWidth="1"/>
    <col min="15112" max="15112" width="2.10833333333333" style="31" customWidth="1"/>
    <col min="15113" max="15113" width="9.10833333333333" style="31" customWidth="1"/>
    <col min="15114" max="15114" width="1.33333333333333" style="31" customWidth="1"/>
    <col min="15115" max="15115" width="4.88333333333333" style="31" customWidth="1"/>
    <col min="15116" max="15116" width="7.21666666666667" style="31" customWidth="1"/>
    <col min="15117" max="15117" width="9" style="31"/>
    <col min="15118" max="15118" width="9.10833333333333" style="31" customWidth="1"/>
    <col min="15119" max="15360" width="9" style="31"/>
    <col min="15361" max="15361" width="5.88333333333333" style="31" customWidth="1"/>
    <col min="15362" max="15362" width="10.6666666666667" style="31" customWidth="1"/>
    <col min="15363" max="15363" width="6.66666666666667" style="31" customWidth="1"/>
    <col min="15364" max="15365" width="3.21666666666667" style="31" customWidth="1"/>
    <col min="15366" max="15366" width="5.10833333333333" style="31" customWidth="1"/>
    <col min="15367" max="15367" width="1.21666666666667" style="31" customWidth="1"/>
    <col min="15368" max="15368" width="2.10833333333333" style="31" customWidth="1"/>
    <col min="15369" max="15369" width="9.10833333333333" style="31" customWidth="1"/>
    <col min="15370" max="15370" width="1.33333333333333" style="31" customWidth="1"/>
    <col min="15371" max="15371" width="4.88333333333333" style="31" customWidth="1"/>
    <col min="15372" max="15372" width="7.21666666666667" style="31" customWidth="1"/>
    <col min="15373" max="15373" width="9" style="31"/>
    <col min="15374" max="15374" width="9.10833333333333" style="31" customWidth="1"/>
    <col min="15375" max="15616" width="9" style="31"/>
    <col min="15617" max="15617" width="5.88333333333333" style="31" customWidth="1"/>
    <col min="15618" max="15618" width="10.6666666666667" style="31" customWidth="1"/>
    <col min="15619" max="15619" width="6.66666666666667" style="31" customWidth="1"/>
    <col min="15620" max="15621" width="3.21666666666667" style="31" customWidth="1"/>
    <col min="15622" max="15622" width="5.10833333333333" style="31" customWidth="1"/>
    <col min="15623" max="15623" width="1.21666666666667" style="31" customWidth="1"/>
    <col min="15624" max="15624" width="2.10833333333333" style="31" customWidth="1"/>
    <col min="15625" max="15625" width="9.10833333333333" style="31" customWidth="1"/>
    <col min="15626" max="15626" width="1.33333333333333" style="31" customWidth="1"/>
    <col min="15627" max="15627" width="4.88333333333333" style="31" customWidth="1"/>
    <col min="15628" max="15628" width="7.21666666666667" style="31" customWidth="1"/>
    <col min="15629" max="15629" width="9" style="31"/>
    <col min="15630" max="15630" width="9.10833333333333" style="31" customWidth="1"/>
    <col min="15631" max="15872" width="9" style="31"/>
    <col min="15873" max="15873" width="5.88333333333333" style="31" customWidth="1"/>
    <col min="15874" max="15874" width="10.6666666666667" style="31" customWidth="1"/>
    <col min="15875" max="15875" width="6.66666666666667" style="31" customWidth="1"/>
    <col min="15876" max="15877" width="3.21666666666667" style="31" customWidth="1"/>
    <col min="15878" max="15878" width="5.10833333333333" style="31" customWidth="1"/>
    <col min="15879" max="15879" width="1.21666666666667" style="31" customWidth="1"/>
    <col min="15880" max="15880" width="2.10833333333333" style="31" customWidth="1"/>
    <col min="15881" max="15881" width="9.10833333333333" style="31" customWidth="1"/>
    <col min="15882" max="15882" width="1.33333333333333" style="31" customWidth="1"/>
    <col min="15883" max="15883" width="4.88333333333333" style="31" customWidth="1"/>
    <col min="15884" max="15884" width="7.21666666666667" style="31" customWidth="1"/>
    <col min="15885" max="15885" width="9" style="31"/>
    <col min="15886" max="15886" width="9.10833333333333" style="31" customWidth="1"/>
    <col min="15887" max="16128" width="9" style="31"/>
    <col min="16129" max="16129" width="5.88333333333333" style="31" customWidth="1"/>
    <col min="16130" max="16130" width="10.6666666666667" style="31" customWidth="1"/>
    <col min="16131" max="16131" width="6.66666666666667" style="31" customWidth="1"/>
    <col min="16132" max="16133" width="3.21666666666667" style="31" customWidth="1"/>
    <col min="16134" max="16134" width="5.10833333333333" style="31" customWidth="1"/>
    <col min="16135" max="16135" width="1.21666666666667" style="31" customWidth="1"/>
    <col min="16136" max="16136" width="2.10833333333333" style="31" customWidth="1"/>
    <col min="16137" max="16137" width="9.10833333333333" style="31" customWidth="1"/>
    <col min="16138" max="16138" width="1.33333333333333" style="31" customWidth="1"/>
    <col min="16139" max="16139" width="4.88333333333333" style="31" customWidth="1"/>
    <col min="16140" max="16140" width="7.21666666666667" style="31" customWidth="1"/>
    <col min="16141" max="16141" width="9" style="31"/>
    <col min="16142" max="16142" width="9.10833333333333" style="31" customWidth="1"/>
    <col min="16143" max="16384" width="9" style="31"/>
  </cols>
  <sheetData>
    <row r="1" ht="26.25" spans="1:14">
      <c r="A1" s="475" t="s">
        <v>378</v>
      </c>
      <c r="B1" s="476"/>
      <c r="C1" s="476"/>
      <c r="D1" s="476"/>
      <c r="E1" s="476"/>
      <c r="F1" s="476"/>
      <c r="G1" s="476"/>
      <c r="H1" s="476"/>
      <c r="I1" s="476"/>
      <c r="J1" s="476"/>
      <c r="K1" s="476"/>
      <c r="L1" s="476"/>
      <c r="M1" s="476"/>
      <c r="N1" s="476"/>
    </row>
    <row r="2" ht="29.25" customHeight="1" spans="1:14">
      <c r="A2" s="144"/>
      <c r="B2" s="144"/>
      <c r="C2" s="144"/>
      <c r="D2" s="144"/>
      <c r="E2" s="144"/>
      <c r="F2" s="144"/>
      <c r="G2" s="144"/>
      <c r="H2" s="144"/>
      <c r="I2" s="144"/>
      <c r="J2" s="144"/>
      <c r="K2" s="144"/>
      <c r="L2" s="144"/>
      <c r="M2" s="144"/>
      <c r="N2" s="144"/>
    </row>
    <row r="3" ht="21.9" customHeight="1" spans="1:14">
      <c r="A3" s="477" t="s">
        <v>379</v>
      </c>
      <c r="B3" s="478" t="s">
        <v>380</v>
      </c>
      <c r="C3" s="479"/>
      <c r="D3" s="479"/>
      <c r="E3" s="479"/>
      <c r="F3" s="477" t="s">
        <v>381</v>
      </c>
      <c r="G3" s="477"/>
      <c r="H3" s="477"/>
      <c r="I3" s="480"/>
      <c r="J3" s="480"/>
      <c r="K3" s="480"/>
      <c r="L3" s="480"/>
      <c r="M3" s="480"/>
      <c r="N3" s="480"/>
    </row>
    <row r="4" ht="20.25" spans="1:14">
      <c r="A4" s="480"/>
      <c r="B4" s="480"/>
      <c r="C4" s="480"/>
      <c r="D4" s="480"/>
      <c r="E4" s="480"/>
      <c r="F4" s="480"/>
      <c r="G4" s="480"/>
      <c r="H4" s="480"/>
      <c r="I4" s="480"/>
      <c r="J4" s="480"/>
      <c r="K4" s="480"/>
      <c r="L4" s="480"/>
      <c r="M4" s="480"/>
      <c r="N4" s="480"/>
    </row>
    <row r="5" ht="21.9" customHeight="1" spans="1:14">
      <c r="A5" s="480"/>
      <c r="B5" s="477" t="s">
        <v>382</v>
      </c>
      <c r="C5" s="479"/>
      <c r="D5" s="479"/>
      <c r="E5" s="479"/>
      <c r="F5" s="479"/>
      <c r="G5" s="477" t="s">
        <v>383</v>
      </c>
      <c r="H5" s="477"/>
      <c r="I5" s="477"/>
      <c r="J5" s="477"/>
      <c r="K5" s="480"/>
      <c r="L5" s="480"/>
      <c r="M5" s="480"/>
      <c r="N5" s="480"/>
    </row>
    <row r="6" ht="17.25" customHeight="1" spans="1:14">
      <c r="A6" s="480"/>
      <c r="B6" s="480"/>
      <c r="C6" s="480"/>
      <c r="D6" s="480"/>
      <c r="E6" s="480"/>
      <c r="F6" s="480"/>
      <c r="G6" s="480"/>
      <c r="H6" s="480"/>
      <c r="I6" s="480"/>
      <c r="J6" s="480"/>
      <c r="K6" s="480"/>
      <c r="L6" s="480"/>
      <c r="M6" s="480"/>
      <c r="N6" s="480"/>
    </row>
    <row r="7" ht="21.9" customHeight="1" spans="1:14">
      <c r="A7" s="477" t="s">
        <v>384</v>
      </c>
      <c r="B7" s="480"/>
      <c r="C7" s="480"/>
      <c r="D7" s="481"/>
      <c r="E7" s="481"/>
      <c r="F7" s="481"/>
      <c r="G7" s="481"/>
      <c r="H7" s="481"/>
      <c r="I7" s="477" t="s">
        <v>385</v>
      </c>
      <c r="J7" s="480"/>
      <c r="K7" s="477"/>
      <c r="L7" s="477"/>
      <c r="M7" s="480"/>
      <c r="N7" s="480"/>
    </row>
    <row r="8" ht="17.25" customHeight="1" spans="1:14">
      <c r="A8" s="480"/>
      <c r="B8" s="480"/>
      <c r="C8" s="480"/>
      <c r="D8" s="480"/>
      <c r="E8" s="480"/>
      <c r="F8" s="480"/>
      <c r="G8" s="480"/>
      <c r="H8" s="480"/>
      <c r="I8" s="480"/>
      <c r="J8" s="480"/>
      <c r="K8" s="480"/>
      <c r="L8" s="480"/>
      <c r="M8" s="480"/>
      <c r="N8" s="480"/>
    </row>
    <row r="9" ht="21.9" customHeight="1" spans="1:14">
      <c r="A9" s="477" t="s">
        <v>386</v>
      </c>
      <c r="B9" s="480"/>
      <c r="C9" s="480"/>
      <c r="D9" s="480"/>
      <c r="E9" s="480"/>
      <c r="F9" s="480"/>
      <c r="G9" s="480"/>
      <c r="H9" s="480"/>
      <c r="I9" s="480"/>
      <c r="J9" s="480"/>
      <c r="K9" s="480"/>
      <c r="L9" s="480"/>
      <c r="M9" s="480"/>
      <c r="N9" s="480"/>
    </row>
    <row r="10" ht="20.25" spans="1:14">
      <c r="A10" s="480"/>
      <c r="B10" s="480"/>
      <c r="C10" s="480"/>
      <c r="D10" s="480"/>
      <c r="E10" s="480"/>
      <c r="F10" s="480"/>
      <c r="G10" s="480"/>
      <c r="H10" s="480"/>
      <c r="I10" s="480"/>
      <c r="J10" s="480"/>
      <c r="K10" s="480"/>
      <c r="L10" s="480"/>
      <c r="M10" s="480"/>
      <c r="N10" s="480"/>
    </row>
    <row r="11" ht="21.9" customHeight="1" spans="1:14">
      <c r="A11" s="480"/>
      <c r="B11" s="477" t="s">
        <v>387</v>
      </c>
      <c r="C11" s="480"/>
      <c r="D11" s="480"/>
      <c r="E11" s="480"/>
      <c r="F11" s="480"/>
      <c r="G11" s="480"/>
      <c r="H11" s="480"/>
      <c r="I11" s="480"/>
      <c r="J11" s="477" t="s">
        <v>388</v>
      </c>
      <c r="K11" s="480"/>
      <c r="L11" s="480"/>
      <c r="M11" s="477"/>
      <c r="N11" s="480"/>
    </row>
    <row r="12" ht="20.25" spans="1:14">
      <c r="A12" s="480"/>
      <c r="B12" s="480"/>
      <c r="C12" s="480"/>
      <c r="D12" s="480"/>
      <c r="E12" s="480"/>
      <c r="F12" s="480"/>
      <c r="G12" s="480"/>
      <c r="H12" s="480"/>
      <c r="I12" s="480"/>
      <c r="J12" s="480"/>
      <c r="K12" s="480"/>
      <c r="L12" s="480"/>
      <c r="M12" s="480"/>
      <c r="N12" s="480"/>
    </row>
    <row r="13" ht="21" customHeight="1" spans="1:14">
      <c r="A13" s="482" t="str">
        <f>'Parts A'!B4</f>
        <v>GLOBAO 01</v>
      </c>
      <c r="B13" s="52"/>
      <c r="C13" s="52"/>
      <c r="D13" s="52"/>
      <c r="E13" s="480"/>
      <c r="F13" s="480"/>
      <c r="G13" s="480"/>
      <c r="H13" s="480"/>
      <c r="I13" s="480"/>
      <c r="J13" s="480"/>
      <c r="K13" s="480"/>
      <c r="L13" s="480"/>
      <c r="M13" s="480"/>
      <c r="N13" s="480"/>
    </row>
    <row r="14" ht="20.25" spans="1:14">
      <c r="A14" s="121"/>
      <c r="B14" s="121"/>
      <c r="C14" s="121"/>
      <c r="D14" s="121"/>
      <c r="E14" s="480"/>
      <c r="F14" s="480"/>
      <c r="G14" s="480"/>
      <c r="H14" s="480"/>
      <c r="I14" s="480"/>
      <c r="J14" s="483"/>
      <c r="K14" s="484"/>
      <c r="L14" s="484"/>
      <c r="M14" s="484"/>
      <c r="N14" s="484"/>
    </row>
    <row r="15" ht="20.25" spans="1:14">
      <c r="A15" s="480"/>
      <c r="B15" s="480"/>
      <c r="C15" s="480"/>
      <c r="D15" s="480"/>
      <c r="E15" s="480"/>
      <c r="F15" s="480"/>
      <c r="G15" s="480"/>
      <c r="H15" s="480"/>
      <c r="I15" s="480"/>
      <c r="J15" s="480"/>
      <c r="K15" s="480"/>
      <c r="L15" s="480"/>
      <c r="M15" s="480"/>
      <c r="N15" s="480"/>
    </row>
    <row r="16" ht="20.25" spans="1:14">
      <c r="A16" s="480"/>
      <c r="B16" s="480"/>
      <c r="C16" s="480"/>
      <c r="D16" s="480"/>
      <c r="E16" s="480"/>
      <c r="F16" s="480"/>
      <c r="G16" s="480"/>
      <c r="H16" s="480"/>
      <c r="I16" s="480"/>
      <c r="J16" s="480"/>
      <c r="K16" s="480"/>
      <c r="L16" s="485">
        <f>'Gen Inb'!X6</f>
        <v>46219</v>
      </c>
      <c r="M16" s="486"/>
      <c r="N16" s="486"/>
    </row>
    <row r="17" ht="20.25" spans="1:14">
      <c r="A17" s="480">
        <f>'Gen Inb'!P12</f>
        <v>0</v>
      </c>
      <c r="B17" s="480"/>
      <c r="C17" s="480"/>
      <c r="D17" s="480"/>
      <c r="E17" s="480"/>
      <c r="F17" s="480"/>
      <c r="G17" s="480"/>
      <c r="H17" s="480"/>
      <c r="I17" s="480"/>
      <c r="J17" s="477" t="s">
        <v>294</v>
      </c>
      <c r="K17" s="480"/>
      <c r="L17" s="487"/>
      <c r="M17" s="487"/>
      <c r="N17" s="487"/>
    </row>
  </sheetData>
  <mergeCells count="7">
    <mergeCell ref="A1:N1"/>
    <mergeCell ref="B3:E3"/>
    <mergeCell ref="C5:F5"/>
    <mergeCell ref="D7:H7"/>
    <mergeCell ref="J14:N14"/>
    <mergeCell ref="L16:N17"/>
    <mergeCell ref="A13:D14"/>
  </mergeCells>
  <pageMargins left="0.699305555555556" right="0.699305555555556" top="0.75" bottom="0.75" header="0.3" footer="0.3"/>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5">
    <pageSetUpPr fitToPage="1"/>
  </sheetPr>
  <dimension ref="A1:AO197"/>
  <sheetViews>
    <sheetView view="pageBreakPreview" zoomScale="115" zoomScaleNormal="100" topLeftCell="A28" workbookViewId="0">
      <selection activeCell="AI9" sqref="AI9:AO9"/>
    </sheetView>
  </sheetViews>
  <sheetFormatPr defaultColWidth="9" defaultRowHeight="13.5"/>
  <cols>
    <col min="1" max="1" width="2.33333333333333" style="410" customWidth="1"/>
    <col min="2" max="2" width="0.666666666666667" style="410" customWidth="1"/>
    <col min="3" max="3" width="3.44166666666667" style="410" customWidth="1"/>
    <col min="4" max="4" width="5.10833333333333" style="410" customWidth="1"/>
    <col min="5" max="5" width="1.775" style="410" customWidth="1"/>
    <col min="6" max="6" width="2" style="410" customWidth="1"/>
    <col min="7" max="7" width="2.44166666666667" style="410" customWidth="1"/>
    <col min="8" max="8" width="1.66666666666667" style="410" customWidth="1"/>
    <col min="9" max="9" width="2.10833333333333" style="410" customWidth="1"/>
    <col min="10" max="10" width="2.33333333333333" style="410" customWidth="1"/>
    <col min="11" max="11" width="1.21666666666667" style="410" customWidth="1"/>
    <col min="12" max="12" width="4.10833333333333" style="410" customWidth="1"/>
    <col min="13" max="13" width="6.66666666666667" style="410" customWidth="1"/>
    <col min="14" max="14" width="1.44166666666667" style="410" customWidth="1"/>
    <col min="15" max="15" width="2" style="410" customWidth="1"/>
    <col min="16" max="16" width="0.883333333333333" style="410" customWidth="1"/>
    <col min="17" max="17" width="2.88333333333333" style="410" customWidth="1"/>
    <col min="18" max="18" width="0.775" style="410" customWidth="1"/>
    <col min="19" max="19" width="0.333333333333333" style="410" customWidth="1"/>
    <col min="20" max="20" width="0.441666666666667" style="410" hidden="1" customWidth="1"/>
    <col min="21" max="21" width="1.44166666666667" style="410" customWidth="1"/>
    <col min="22" max="22" width="2.44166666666667" style="410" customWidth="1"/>
    <col min="23" max="23" width="1.44166666666667" style="410" customWidth="1"/>
    <col min="24" max="24" width="2" style="410" customWidth="1"/>
    <col min="25" max="25" width="2.44166666666667" style="410" customWidth="1"/>
    <col min="26" max="27" width="1.44166666666667" style="410" customWidth="1"/>
    <col min="28" max="28" width="1.21666666666667" style="410" customWidth="1"/>
    <col min="29" max="29" width="1.33333333333333" style="410" customWidth="1"/>
    <col min="30" max="30" width="1.66666666666667" style="410" customWidth="1"/>
    <col min="31" max="31" width="1.44166666666667" style="410" hidden="1" customWidth="1"/>
    <col min="32" max="32" width="0.775" style="410" customWidth="1"/>
    <col min="33" max="33" width="7" style="410" customWidth="1"/>
    <col min="34" max="34" width="2.10833333333333" style="410" customWidth="1"/>
    <col min="35" max="35" width="2" style="410" customWidth="1"/>
    <col min="36" max="37" width="1.44166666666667" style="410" customWidth="1"/>
    <col min="38" max="38" width="2.775" style="410" customWidth="1"/>
    <col min="39" max="39" width="1.44166666666667" style="410" customWidth="1"/>
    <col min="40" max="40" width="0.775" style="410" customWidth="1"/>
    <col min="41" max="41" width="8" style="411" customWidth="1"/>
    <col min="42" max="42" width="1.775" style="410" customWidth="1"/>
    <col min="43" max="16384" width="9" style="410"/>
  </cols>
  <sheetData>
    <row r="1" s="405" customFormat="1" customHeight="1" spans="1:41">
      <c r="C1" s="412" t="s">
        <v>389</v>
      </c>
      <c r="D1" s="412"/>
      <c r="E1" s="412"/>
      <c r="F1" s="412"/>
      <c r="G1" s="412"/>
      <c r="H1" s="412"/>
      <c r="I1" s="412"/>
      <c r="J1" s="412"/>
      <c r="K1" s="412"/>
      <c r="L1" s="412"/>
      <c r="M1" s="412"/>
      <c r="N1" s="412"/>
      <c r="O1" s="412"/>
      <c r="P1" s="412"/>
      <c r="Q1" s="412"/>
      <c r="R1" s="412"/>
      <c r="S1" s="412"/>
      <c r="T1" s="412"/>
      <c r="U1" s="412"/>
      <c r="V1" s="412"/>
      <c r="W1" s="412"/>
      <c r="X1" s="412"/>
      <c r="Y1" s="412"/>
      <c r="Z1" s="412"/>
      <c r="AA1" s="412"/>
      <c r="AB1" s="412"/>
      <c r="AC1" s="412"/>
      <c r="AD1" s="412"/>
      <c r="AE1" s="412"/>
      <c r="AF1" s="412"/>
      <c r="AG1" s="412"/>
      <c r="AH1" s="412"/>
      <c r="AI1" s="412"/>
      <c r="AJ1" s="412"/>
      <c r="AK1" s="412"/>
      <c r="AL1" s="412"/>
      <c r="AM1" s="412"/>
      <c r="AN1" s="412"/>
      <c r="AO1" s="412"/>
    </row>
    <row r="2" s="405" customFormat="1" ht="12" customHeight="1" spans="1:41">
      <c r="C2" s="412"/>
      <c r="D2" s="412"/>
      <c r="E2" s="412"/>
      <c r="F2" s="412"/>
      <c r="G2" s="412"/>
      <c r="H2" s="412"/>
      <c r="I2" s="412"/>
      <c r="J2" s="412"/>
      <c r="K2" s="412"/>
      <c r="L2" s="412"/>
      <c r="M2" s="412"/>
      <c r="N2" s="412"/>
      <c r="O2" s="412"/>
      <c r="P2" s="412"/>
      <c r="Q2" s="412"/>
      <c r="R2" s="412"/>
      <c r="S2" s="412"/>
      <c r="T2" s="412"/>
      <c r="U2" s="412"/>
      <c r="V2" s="412"/>
      <c r="W2" s="412"/>
      <c r="X2" s="412"/>
      <c r="Y2" s="412"/>
      <c r="Z2" s="412"/>
      <c r="AA2" s="412"/>
      <c r="AB2" s="412"/>
      <c r="AC2" s="412"/>
      <c r="AD2" s="412"/>
      <c r="AE2" s="412"/>
      <c r="AF2" s="412"/>
      <c r="AG2" s="412"/>
      <c r="AH2" s="412"/>
      <c r="AI2" s="412"/>
      <c r="AJ2" s="412"/>
      <c r="AK2" s="412"/>
      <c r="AL2" s="412"/>
      <c r="AM2" s="412"/>
      <c r="AN2" s="412"/>
      <c r="AO2" s="412"/>
    </row>
    <row r="3" s="405" customFormat="1" ht="6.75" customHeight="1" spans="1:41">
      <c r="C3" s="412"/>
      <c r="D3" s="412"/>
      <c r="E3" s="412"/>
      <c r="F3" s="412"/>
      <c r="G3" s="412"/>
      <c r="H3" s="412"/>
      <c r="I3" s="412"/>
      <c r="J3" s="412"/>
      <c r="K3" s="412"/>
      <c r="L3" s="412"/>
      <c r="M3" s="412"/>
      <c r="N3" s="412"/>
      <c r="O3" s="412"/>
      <c r="P3" s="412"/>
      <c r="Q3" s="412"/>
      <c r="R3" s="412"/>
      <c r="S3" s="412"/>
      <c r="T3" s="412"/>
      <c r="U3" s="412"/>
      <c r="V3" s="412"/>
      <c r="W3" s="412"/>
      <c r="X3" s="412"/>
      <c r="Y3" s="412"/>
      <c r="Z3" s="412"/>
      <c r="AA3" s="412"/>
      <c r="AB3" s="412"/>
      <c r="AC3" s="412"/>
      <c r="AD3" s="412"/>
      <c r="AE3" s="412"/>
      <c r="AF3" s="412"/>
      <c r="AG3" s="412"/>
      <c r="AH3" s="412"/>
      <c r="AI3" s="412"/>
      <c r="AJ3" s="412"/>
      <c r="AK3" s="412"/>
      <c r="AL3" s="412"/>
      <c r="AM3" s="412"/>
      <c r="AN3" s="412"/>
      <c r="AO3" s="412"/>
    </row>
    <row r="4" s="405" customFormat="1" ht="15" customHeight="1" spans="1:41">
      <c r="C4" s="412"/>
      <c r="D4" s="412"/>
      <c r="E4" s="412"/>
      <c r="F4" s="412"/>
      <c r="G4" s="412"/>
      <c r="H4" s="412"/>
      <c r="I4" s="412"/>
      <c r="J4" s="412"/>
      <c r="K4" s="412"/>
      <c r="L4" s="412"/>
      <c r="M4" s="412"/>
      <c r="N4" s="412"/>
      <c r="O4" s="412"/>
      <c r="P4" s="412"/>
      <c r="Q4" s="412"/>
      <c r="R4" s="412"/>
      <c r="S4" s="412"/>
      <c r="T4" s="412"/>
      <c r="U4" s="412"/>
      <c r="V4" s="412"/>
      <c r="W4" s="412"/>
      <c r="X4" s="412"/>
      <c r="Y4" s="412"/>
      <c r="Z4" s="412"/>
      <c r="AA4" s="412"/>
      <c r="AB4" s="412"/>
      <c r="AC4" s="412"/>
      <c r="AD4" s="412"/>
      <c r="AE4" s="412"/>
      <c r="AF4" s="412"/>
      <c r="AG4" s="412"/>
      <c r="AH4" s="412"/>
      <c r="AI4" s="412"/>
      <c r="AJ4" s="412"/>
      <c r="AK4" s="412"/>
      <c r="AL4" s="412"/>
      <c r="AM4" s="412"/>
      <c r="AN4" s="412"/>
      <c r="AO4" s="412"/>
    </row>
    <row r="5" s="405" customFormat="1" ht="9" customHeight="1" spans="1:41">
      <c r="C5" s="412"/>
      <c r="D5" s="412"/>
      <c r="E5" s="412"/>
      <c r="F5" s="412"/>
      <c r="G5" s="412"/>
      <c r="H5" s="412"/>
      <c r="I5" s="412"/>
      <c r="J5" s="412"/>
      <c r="K5" s="412"/>
      <c r="L5" s="412"/>
      <c r="M5" s="412"/>
      <c r="N5" s="412"/>
      <c r="O5" s="412"/>
      <c r="P5" s="412"/>
      <c r="Q5" s="412"/>
      <c r="R5" s="412"/>
      <c r="S5" s="412"/>
      <c r="T5" s="412"/>
      <c r="U5" s="412"/>
      <c r="V5" s="412"/>
      <c r="W5" s="412"/>
      <c r="X5" s="412"/>
      <c r="Y5" s="412"/>
      <c r="Z5" s="412"/>
      <c r="AA5" s="412"/>
      <c r="AB5" s="412"/>
      <c r="AC5" s="412"/>
      <c r="AD5" s="412"/>
      <c r="AE5" s="412"/>
      <c r="AF5" s="412"/>
      <c r="AG5" s="412"/>
      <c r="AH5" s="412"/>
      <c r="AI5" s="412"/>
      <c r="AJ5" s="412"/>
      <c r="AK5" s="412"/>
      <c r="AL5" s="412"/>
      <c r="AM5" s="412"/>
      <c r="AN5" s="412"/>
      <c r="AO5" s="412"/>
    </row>
    <row r="6" s="405" customFormat="1" ht="9" customHeight="1" spans="1:41">
      <c r="C6" s="412"/>
      <c r="D6" s="412"/>
      <c r="E6" s="412"/>
      <c r="F6" s="412"/>
      <c r="G6" s="412"/>
      <c r="H6" s="412"/>
      <c r="I6" s="412"/>
      <c r="J6" s="412"/>
      <c r="K6" s="412"/>
      <c r="L6" s="412"/>
      <c r="M6" s="412"/>
      <c r="N6" s="412"/>
      <c r="O6" s="412"/>
      <c r="P6" s="412"/>
      <c r="Q6" s="412"/>
      <c r="R6" s="412"/>
      <c r="S6" s="412"/>
      <c r="T6" s="412"/>
      <c r="U6" s="412"/>
      <c r="V6" s="412"/>
      <c r="W6" s="412"/>
      <c r="X6" s="412"/>
      <c r="Y6" s="412"/>
      <c r="Z6" s="412"/>
      <c r="AA6" s="412"/>
      <c r="AB6" s="412"/>
      <c r="AC6" s="412"/>
      <c r="AD6" s="412"/>
      <c r="AE6" s="412"/>
      <c r="AF6" s="412"/>
      <c r="AG6" s="412"/>
      <c r="AH6" s="412"/>
      <c r="AI6" s="412"/>
      <c r="AJ6" s="412"/>
      <c r="AK6" s="412"/>
      <c r="AL6" s="412"/>
      <c r="AM6" s="412"/>
      <c r="AN6" s="412"/>
      <c r="AO6" s="412"/>
    </row>
    <row r="7" s="405" customFormat="1" ht="10.5" customHeight="1" spans="1:41">
      <c r="AO7" s="413"/>
    </row>
    <row r="8" s="406" customFormat="1" ht="12" customHeight="1" spans="1:41">
      <c r="A8" s="406" t="s">
        <v>390</v>
      </c>
      <c r="G8" s="414" t="str">
        <f>'Gen Inb'!S7</f>
        <v>NANSHA NEW PORT</v>
      </c>
      <c r="H8" s="414"/>
      <c r="I8" s="414"/>
      <c r="J8" s="414"/>
      <c r="K8" s="414"/>
      <c r="L8" s="414"/>
      <c r="M8" s="414"/>
      <c r="N8" s="406" t="s">
        <v>294</v>
      </c>
      <c r="P8" s="415">
        <f>'Gen Inb'!X6</f>
        <v>46219</v>
      </c>
      <c r="Q8" s="415"/>
      <c r="R8" s="415"/>
      <c r="S8" s="415"/>
      <c r="T8" s="415"/>
      <c r="U8" s="415"/>
      <c r="V8" s="415"/>
      <c r="W8" s="415"/>
      <c r="X8" s="415"/>
      <c r="Y8" s="415"/>
      <c r="Z8" s="415"/>
      <c r="AO8" s="407"/>
    </row>
    <row r="9" s="406" customFormat="1" ht="12" customHeight="1" spans="1:41">
      <c r="A9" s="406" t="s">
        <v>391</v>
      </c>
      <c r="L9" s="416" t="str">
        <f>'Gen Inb'!I7</f>
        <v>GLOBAO 01</v>
      </c>
      <c r="M9" s="416"/>
      <c r="N9" s="417"/>
      <c r="O9" s="406" t="s">
        <v>392</v>
      </c>
      <c r="R9" s="418" t="str">
        <f>'Gen Inb'!I10</f>
        <v>IMO:1234567</v>
      </c>
      <c r="S9" s="418"/>
      <c r="T9" s="418"/>
      <c r="U9" s="418"/>
      <c r="V9" s="418"/>
      <c r="W9" s="418"/>
      <c r="X9" s="406" t="s">
        <v>338</v>
      </c>
      <c r="AB9" s="416" t="str">
        <f>'Gen Inb'!F9</f>
        <v>LIBERIA</v>
      </c>
      <c r="AC9" s="416"/>
      <c r="AD9" s="416"/>
      <c r="AE9" s="416"/>
      <c r="AF9" s="416"/>
      <c r="AG9" s="406" t="s">
        <v>393</v>
      </c>
      <c r="AI9" s="416" t="str">
        <f>'Gen Inb'!M8</f>
        <v>张宏</v>
      </c>
      <c r="AJ9" s="416"/>
      <c r="AK9" s="416"/>
      <c r="AL9" s="416"/>
      <c r="AM9" s="416"/>
      <c r="AN9" s="416"/>
      <c r="AO9" s="416"/>
    </row>
    <row r="10" s="406" customFormat="1" ht="12" customHeight="1" spans="1:41">
      <c r="A10" s="406" t="s">
        <v>394</v>
      </c>
      <c r="G10" s="419" t="str">
        <f>'Gen Inb'!W9</f>
        <v>VOSTOCHNIY</v>
      </c>
      <c r="H10" s="419"/>
      <c r="I10" s="419"/>
      <c r="J10" s="419"/>
      <c r="K10" s="419"/>
      <c r="L10" s="419"/>
      <c r="M10" s="419"/>
      <c r="N10" s="419"/>
      <c r="O10" s="419"/>
      <c r="P10" s="419"/>
      <c r="Q10" s="420" t="s">
        <v>395</v>
      </c>
      <c r="R10" s="420"/>
      <c r="S10" s="420"/>
      <c r="T10" s="420"/>
      <c r="U10" s="420"/>
      <c r="V10" s="420"/>
      <c r="W10" s="420"/>
      <c r="X10" s="420"/>
      <c r="Y10" s="415">
        <f>'Gen Inb'!X6</f>
        <v>46219</v>
      </c>
      <c r="Z10" s="415"/>
      <c r="AA10" s="415"/>
      <c r="AB10" s="415"/>
      <c r="AC10" s="415"/>
      <c r="AD10" s="415"/>
      <c r="AE10" s="415"/>
      <c r="AF10" s="415"/>
      <c r="AG10" s="415"/>
      <c r="AH10" s="415"/>
      <c r="AI10" s="415"/>
      <c r="AJ10" s="415"/>
      <c r="AK10" s="415"/>
      <c r="AL10" s="421"/>
      <c r="AM10" s="421"/>
      <c r="AN10" s="422"/>
      <c r="AO10" s="422"/>
    </row>
    <row r="11" s="406" customFormat="1" ht="12" customHeight="1" spans="1:41">
      <c r="A11" s="406" t="s">
        <v>396</v>
      </c>
      <c r="E11" s="419" t="str">
        <f>'Gen Outb'!W9</f>
        <v>HONGKONG</v>
      </c>
      <c r="F11" s="423"/>
      <c r="G11" s="423"/>
      <c r="H11" s="423"/>
      <c r="I11" s="423"/>
      <c r="J11" s="423"/>
      <c r="K11" s="423"/>
      <c r="L11" s="423"/>
      <c r="M11" s="423"/>
      <c r="N11" s="423"/>
      <c r="O11" s="423"/>
      <c r="P11" s="423"/>
      <c r="Q11" s="406" t="s">
        <v>397</v>
      </c>
      <c r="Z11" s="415">
        <v>43783</v>
      </c>
      <c r="AA11" s="419"/>
      <c r="AB11" s="419"/>
      <c r="AC11" s="419"/>
      <c r="AD11" s="419"/>
      <c r="AE11" s="419"/>
      <c r="AF11" s="419"/>
      <c r="AG11" s="419"/>
      <c r="AH11" s="419"/>
      <c r="AI11" s="419"/>
      <c r="AJ11" s="419"/>
      <c r="AK11" s="419"/>
      <c r="AO11" s="407"/>
    </row>
    <row r="12" s="406" customFormat="1" ht="2.1" customHeight="1" spans="1:41">
      <c r="A12" s="406" t="s">
        <v>398</v>
      </c>
      <c r="B12" s="424"/>
      <c r="C12" s="424"/>
      <c r="D12" s="424"/>
      <c r="E12" s="424"/>
      <c r="F12" s="425">
        <f>'Gen Inb'!E12</f>
        <v>15257</v>
      </c>
      <c r="G12" s="425"/>
      <c r="H12" s="406" t="s">
        <v>399</v>
      </c>
      <c r="I12" s="424"/>
      <c r="J12" s="424"/>
      <c r="K12" s="424"/>
      <c r="L12" s="424"/>
      <c r="M12" s="424"/>
      <c r="N12" s="424"/>
      <c r="O12" s="424"/>
      <c r="P12" s="424"/>
      <c r="Q12" s="424"/>
      <c r="R12" s="424"/>
      <c r="Y12" s="406" t="s">
        <v>400</v>
      </c>
      <c r="Z12" s="424"/>
      <c r="AA12" s="424"/>
      <c r="AB12" s="424"/>
      <c r="AC12" s="424"/>
      <c r="AD12" s="424"/>
      <c r="AE12" s="424"/>
      <c r="AF12" s="424"/>
      <c r="AG12" s="424"/>
      <c r="AH12" s="424"/>
      <c r="AI12" s="424"/>
      <c r="AJ12" s="426"/>
      <c r="AK12" s="427"/>
      <c r="AO12" s="407"/>
    </row>
    <row r="13" s="406" customFormat="1" ht="8.1" customHeight="1" spans="1:41">
      <c r="A13" s="424"/>
      <c r="B13" s="424"/>
      <c r="C13" s="424"/>
      <c r="D13" s="424"/>
      <c r="E13" s="424"/>
      <c r="F13" s="428"/>
      <c r="G13" s="428"/>
      <c r="H13" s="424"/>
      <c r="I13" s="424"/>
      <c r="J13" s="424"/>
      <c r="K13" s="424"/>
      <c r="L13" s="424"/>
      <c r="M13" s="424"/>
      <c r="N13" s="424"/>
      <c r="O13" s="424"/>
      <c r="P13" s="424"/>
      <c r="Q13" s="424"/>
      <c r="R13" s="424"/>
      <c r="S13" s="429" t="s">
        <v>401</v>
      </c>
      <c r="V13" s="406" t="s">
        <v>402</v>
      </c>
      <c r="W13" s="430"/>
      <c r="Y13" s="424"/>
      <c r="Z13" s="424"/>
      <c r="AA13" s="424"/>
      <c r="AB13" s="424"/>
      <c r="AC13" s="424"/>
      <c r="AD13" s="424"/>
      <c r="AE13" s="424"/>
      <c r="AF13" s="424"/>
      <c r="AG13" s="424"/>
      <c r="AH13" s="424"/>
      <c r="AI13" s="424"/>
      <c r="AJ13" s="431"/>
      <c r="AL13" s="406" t="s">
        <v>402</v>
      </c>
      <c r="AM13" s="430" t="s">
        <v>401</v>
      </c>
      <c r="AO13" s="407"/>
    </row>
    <row r="14" s="406" customFormat="1" ht="2.1" customHeight="1" spans="1:41">
      <c r="A14" s="424"/>
      <c r="B14" s="424"/>
      <c r="C14" s="424"/>
      <c r="D14" s="424"/>
      <c r="E14" s="424"/>
      <c r="F14" s="427"/>
      <c r="G14" s="427"/>
      <c r="H14" s="424"/>
      <c r="I14" s="424"/>
      <c r="J14" s="424"/>
      <c r="K14" s="424"/>
      <c r="L14" s="424"/>
      <c r="M14" s="424"/>
      <c r="N14" s="424"/>
      <c r="O14" s="424"/>
      <c r="P14" s="424"/>
      <c r="Q14" s="424"/>
      <c r="R14" s="424"/>
      <c r="S14" s="432"/>
      <c r="W14" s="432"/>
      <c r="Y14" s="424"/>
      <c r="Z14" s="424"/>
      <c r="AA14" s="424"/>
      <c r="AB14" s="424"/>
      <c r="AC14" s="424"/>
      <c r="AD14" s="424"/>
      <c r="AE14" s="424"/>
      <c r="AF14" s="424"/>
      <c r="AG14" s="424"/>
      <c r="AH14" s="424"/>
      <c r="AI14" s="424"/>
      <c r="AJ14" s="427"/>
      <c r="AM14" s="427"/>
      <c r="AO14" s="407"/>
    </row>
    <row r="15" s="406" customFormat="1" ht="12" customHeight="1" spans="1:41">
      <c r="A15" s="406" t="s">
        <v>403</v>
      </c>
      <c r="K15" s="433"/>
      <c r="L15" s="433"/>
      <c r="M15" s="434"/>
      <c r="N15" s="433" t="s">
        <v>404</v>
      </c>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row>
    <row r="16" s="406" customFormat="1" ht="2.1" customHeight="1" spans="1:41">
      <c r="A16" s="406" t="s">
        <v>405</v>
      </c>
      <c r="B16" s="424"/>
      <c r="C16" s="424"/>
      <c r="D16" s="424"/>
      <c r="E16" s="424"/>
      <c r="F16" s="424"/>
      <c r="G16" s="424"/>
      <c r="H16" s="424"/>
      <c r="I16" s="424"/>
      <c r="J16" s="424"/>
      <c r="K16" s="424"/>
      <c r="L16" s="424"/>
      <c r="M16" s="424"/>
      <c r="N16" s="424"/>
      <c r="O16" s="424"/>
      <c r="P16" s="424"/>
      <c r="Q16" s="424"/>
      <c r="R16" s="424"/>
      <c r="S16" s="424"/>
      <c r="T16" s="424"/>
      <c r="U16" s="424"/>
      <c r="V16" s="424"/>
      <c r="W16" s="426"/>
      <c r="X16" s="427"/>
      <c r="Y16" s="432" t="s">
        <v>402</v>
      </c>
      <c r="Z16" s="426"/>
      <c r="AA16" s="427"/>
      <c r="AB16" s="427" t="s">
        <v>406</v>
      </c>
      <c r="AC16" s="435"/>
      <c r="AD16" s="435"/>
      <c r="AE16" s="435"/>
      <c r="AF16" s="436"/>
      <c r="AG16" s="436"/>
      <c r="AH16" s="436"/>
      <c r="AI16" s="406" t="s">
        <v>407</v>
      </c>
      <c r="AJ16" s="424"/>
      <c r="AK16" s="437"/>
      <c r="AL16" s="438"/>
      <c r="AM16" s="438"/>
      <c r="AN16" s="438"/>
      <c r="AO16" s="438"/>
    </row>
    <row r="17" s="406" customFormat="1" ht="8.1" customHeight="1" spans="1:41">
      <c r="A17" s="424"/>
      <c r="B17" s="424"/>
      <c r="C17" s="424"/>
      <c r="D17" s="424"/>
      <c r="E17" s="424"/>
      <c r="F17" s="424"/>
      <c r="G17" s="424"/>
      <c r="H17" s="424"/>
      <c r="I17" s="424"/>
      <c r="J17" s="424"/>
      <c r="K17" s="424"/>
      <c r="L17" s="424"/>
      <c r="M17" s="424"/>
      <c r="N17" s="424"/>
      <c r="O17" s="424"/>
      <c r="P17" s="424"/>
      <c r="Q17" s="424"/>
      <c r="R17" s="424"/>
      <c r="S17" s="424"/>
      <c r="T17" s="424"/>
      <c r="U17" s="424"/>
      <c r="V17" s="424"/>
      <c r="W17" s="439" t="s">
        <v>401</v>
      </c>
      <c r="X17" s="424"/>
      <c r="Y17" s="440"/>
      <c r="Z17" s="441"/>
      <c r="AA17" s="424"/>
      <c r="AB17" s="424"/>
      <c r="AC17" s="424"/>
      <c r="AD17" s="424"/>
      <c r="AE17" s="424"/>
      <c r="AF17" s="417"/>
      <c r="AG17" s="417"/>
      <c r="AH17" s="417"/>
      <c r="AI17" s="424"/>
      <c r="AJ17" s="424"/>
      <c r="AK17" s="442"/>
      <c r="AL17" s="442"/>
      <c r="AM17" s="442"/>
      <c r="AN17" s="442"/>
      <c r="AO17" s="442"/>
    </row>
    <row r="18" s="406" customFormat="1" ht="2.1" customHeight="1" spans="1:41">
      <c r="A18" s="424"/>
      <c r="B18" s="424"/>
      <c r="C18" s="424"/>
      <c r="D18" s="424"/>
      <c r="E18" s="424"/>
      <c r="F18" s="424"/>
      <c r="G18" s="424"/>
      <c r="H18" s="424"/>
      <c r="I18" s="424"/>
      <c r="J18" s="424"/>
      <c r="K18" s="424"/>
      <c r="L18" s="424"/>
      <c r="M18" s="424"/>
      <c r="N18" s="424"/>
      <c r="O18" s="424"/>
      <c r="P18" s="424"/>
      <c r="Q18" s="424"/>
      <c r="R18" s="424"/>
      <c r="S18" s="424"/>
      <c r="T18" s="424"/>
      <c r="U18" s="424"/>
      <c r="V18" s="424"/>
      <c r="W18" s="427"/>
      <c r="X18" s="424"/>
      <c r="Y18" s="440"/>
      <c r="Z18" s="427"/>
      <c r="AA18" s="435"/>
      <c r="AB18" s="424"/>
      <c r="AC18" s="424"/>
      <c r="AD18" s="424"/>
      <c r="AE18" s="424"/>
      <c r="AF18" s="427"/>
      <c r="AG18" s="427"/>
      <c r="AI18" s="424"/>
      <c r="AJ18" s="424"/>
      <c r="AK18" s="427"/>
      <c r="AL18" s="427"/>
      <c r="AM18" s="427"/>
      <c r="AO18" s="407"/>
    </row>
    <row r="19" s="406" customFormat="1" ht="2.1" customHeight="1" spans="1:41">
      <c r="A19" s="406" t="s">
        <v>408</v>
      </c>
      <c r="AA19" s="443"/>
      <c r="AB19" s="424"/>
      <c r="AC19" s="444" t="s">
        <v>402</v>
      </c>
      <c r="AD19" s="444"/>
      <c r="AE19" s="424"/>
      <c r="AF19" s="427"/>
      <c r="AG19" s="445" t="s">
        <v>409</v>
      </c>
      <c r="AH19" s="445"/>
      <c r="AI19" s="445"/>
      <c r="AJ19" s="445"/>
      <c r="AK19" s="445"/>
      <c r="AL19" s="445"/>
      <c r="AM19" s="445"/>
      <c r="AN19" s="445"/>
      <c r="AO19" s="445"/>
    </row>
    <row r="20" s="406" customFormat="1" ht="8.1" customHeight="1" spans="1:41">
      <c r="AA20" s="431"/>
      <c r="AC20" s="444"/>
      <c r="AD20" s="444"/>
      <c r="AE20" s="446" t="s">
        <v>401</v>
      </c>
      <c r="AG20" s="445"/>
      <c r="AH20" s="445"/>
      <c r="AI20" s="445"/>
      <c r="AJ20" s="445"/>
      <c r="AK20" s="445"/>
      <c r="AL20" s="445"/>
      <c r="AM20" s="445"/>
      <c r="AN20" s="445"/>
      <c r="AO20" s="445"/>
    </row>
    <row r="21" s="406" customFormat="1" ht="2.1" customHeight="1" spans="1:41">
      <c r="AA21" s="427"/>
      <c r="AC21" s="444"/>
      <c r="AD21" s="444"/>
      <c r="AE21" s="427"/>
      <c r="AG21" s="445"/>
      <c r="AH21" s="445"/>
      <c r="AI21" s="445"/>
      <c r="AJ21" s="445"/>
      <c r="AK21" s="445"/>
      <c r="AL21" s="445"/>
      <c r="AM21" s="445"/>
      <c r="AN21" s="445"/>
      <c r="AO21" s="445"/>
    </row>
    <row r="22" s="406" customFormat="1" ht="12" customHeight="1" spans="1:41">
      <c r="A22" s="447"/>
      <c r="B22" s="130"/>
      <c r="C22" s="130"/>
      <c r="D22" s="130"/>
      <c r="E22" s="130"/>
      <c r="F22" s="130"/>
      <c r="G22" s="130"/>
      <c r="H22" s="130"/>
      <c r="I22" s="130"/>
      <c r="J22" s="130"/>
      <c r="K22" s="130"/>
      <c r="L22" s="130"/>
      <c r="M22" s="130"/>
      <c r="N22" s="130"/>
      <c r="O22" s="130"/>
      <c r="P22" s="130"/>
      <c r="Q22" s="130"/>
      <c r="R22" s="130"/>
      <c r="S22" s="130"/>
      <c r="T22" s="130"/>
      <c r="U22" s="130"/>
      <c r="V22" s="130"/>
      <c r="W22" s="130"/>
      <c r="X22" s="130"/>
      <c r="Y22" s="130"/>
      <c r="Z22" s="130"/>
      <c r="AA22" s="130"/>
      <c r="AB22" s="130"/>
      <c r="AC22" s="130"/>
      <c r="AD22" s="130"/>
      <c r="AE22" s="130"/>
      <c r="AF22" s="130"/>
      <c r="AG22" s="130"/>
      <c r="AH22" s="130"/>
      <c r="AI22" s="130"/>
      <c r="AJ22" s="130"/>
      <c r="AK22" s="130"/>
      <c r="AL22" s="130"/>
      <c r="AM22" s="130"/>
      <c r="AN22" s="130"/>
      <c r="AO22" s="130"/>
    </row>
    <row r="23" s="406" customFormat="1" ht="12" customHeight="1" spans="1:41">
      <c r="A23" s="432" t="s">
        <v>410</v>
      </c>
      <c r="B23" s="432"/>
      <c r="C23" s="432"/>
      <c r="D23" s="432"/>
      <c r="E23" s="432"/>
      <c r="F23" s="432"/>
      <c r="G23" s="432"/>
      <c r="H23" s="432"/>
      <c r="I23" s="432"/>
      <c r="J23" s="432"/>
      <c r="K23" s="432"/>
      <c r="L23" s="432"/>
      <c r="M23" s="432"/>
      <c r="N23" s="432"/>
      <c r="O23" s="432"/>
      <c r="P23" s="432"/>
      <c r="Q23" s="432"/>
      <c r="R23" s="432"/>
      <c r="S23" s="432"/>
      <c r="T23" s="432"/>
      <c r="U23" s="432"/>
      <c r="V23" s="432"/>
      <c r="W23" s="432"/>
      <c r="X23" s="432"/>
      <c r="Y23" s="432"/>
      <c r="Z23" s="432"/>
      <c r="AA23" s="432"/>
      <c r="AB23" s="432"/>
      <c r="AC23" s="432"/>
      <c r="AD23" s="432"/>
      <c r="AE23" s="432"/>
      <c r="AF23" s="432"/>
      <c r="AG23" s="432"/>
      <c r="AH23" s="432"/>
      <c r="AI23" s="432"/>
      <c r="AJ23" s="432"/>
      <c r="AK23" s="432"/>
      <c r="AL23" s="432"/>
      <c r="AM23" s="448"/>
      <c r="AN23" s="448"/>
      <c r="AO23" s="448"/>
    </row>
    <row r="24" s="406" customFormat="1" ht="12" customHeight="1" spans="1:41">
      <c r="A24" s="426" t="s">
        <v>411</v>
      </c>
      <c r="B24" s="426"/>
      <c r="C24" s="426"/>
      <c r="D24" s="426"/>
      <c r="E24" s="426"/>
      <c r="F24" s="426"/>
      <c r="G24" s="426"/>
      <c r="H24" s="426"/>
      <c r="I24" s="426"/>
      <c r="J24" s="426"/>
      <c r="K24" s="426"/>
      <c r="L24" s="426"/>
      <c r="M24" s="426"/>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43"/>
      <c r="AN24" s="449"/>
      <c r="AO24" s="449"/>
    </row>
    <row r="25" s="406" customFormat="1" ht="12" customHeight="1" spans="1:41">
      <c r="A25" s="450"/>
      <c r="B25" s="450"/>
      <c r="C25" s="450"/>
      <c r="D25" s="450"/>
      <c r="E25" s="450"/>
      <c r="F25" s="450"/>
      <c r="G25" s="450"/>
      <c r="H25" s="450"/>
      <c r="I25" s="450"/>
      <c r="J25" s="450"/>
      <c r="K25" s="450"/>
      <c r="L25" s="450"/>
      <c r="M25" s="450"/>
      <c r="N25" s="450"/>
      <c r="O25" s="450"/>
      <c r="P25" s="450"/>
      <c r="Q25" s="450"/>
      <c r="R25" s="450"/>
      <c r="S25" s="450"/>
      <c r="T25" s="450"/>
      <c r="U25" s="450"/>
      <c r="V25" s="450"/>
      <c r="W25" s="450"/>
      <c r="X25" s="450"/>
      <c r="Y25" s="450"/>
      <c r="Z25" s="450"/>
      <c r="AA25" s="450"/>
      <c r="AB25" s="450"/>
      <c r="AC25" s="450"/>
      <c r="AD25" s="450"/>
      <c r="AE25" s="450"/>
      <c r="AF25" s="450"/>
      <c r="AG25" s="450"/>
      <c r="AH25" s="450"/>
      <c r="AI25" s="450"/>
      <c r="AJ25" s="450"/>
      <c r="AK25" s="450"/>
      <c r="AL25" s="450"/>
      <c r="AM25" s="451"/>
      <c r="AN25" s="452"/>
      <c r="AO25" s="452"/>
    </row>
    <row r="26" s="406" customFormat="1" ht="12" customHeight="1" spans="1:41">
      <c r="A26" s="453" t="s">
        <v>412</v>
      </c>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4"/>
      <c r="AN26" s="455"/>
      <c r="AO26" s="455"/>
    </row>
    <row r="27" s="406" customFormat="1" ht="12" customHeight="1" spans="1:41">
      <c r="A27" s="456" t="s">
        <v>413</v>
      </c>
      <c r="B27" s="456"/>
      <c r="C27" s="456"/>
      <c r="D27" s="456"/>
      <c r="E27" s="456"/>
      <c r="F27" s="456"/>
      <c r="G27" s="456"/>
      <c r="H27" s="456"/>
      <c r="I27" s="456"/>
      <c r="J27" s="456"/>
      <c r="K27" s="456"/>
      <c r="L27" s="456"/>
      <c r="M27" s="456"/>
      <c r="N27" s="456"/>
      <c r="O27" s="456"/>
      <c r="P27" s="456"/>
      <c r="Q27" s="456"/>
      <c r="R27" s="456"/>
      <c r="S27" s="456"/>
      <c r="T27" s="456"/>
      <c r="U27" s="456"/>
      <c r="V27" s="456"/>
      <c r="W27" s="456"/>
      <c r="X27" s="456"/>
      <c r="Y27" s="456"/>
      <c r="Z27" s="456"/>
      <c r="AA27" s="456"/>
      <c r="AB27" s="456"/>
      <c r="AC27" s="456"/>
      <c r="AD27" s="456"/>
      <c r="AE27" s="456"/>
      <c r="AF27" s="456"/>
      <c r="AG27" s="456"/>
      <c r="AH27" s="456"/>
      <c r="AI27" s="456"/>
      <c r="AJ27" s="456"/>
      <c r="AK27" s="456"/>
      <c r="AL27" s="456"/>
      <c r="AM27" s="457"/>
      <c r="AN27" s="458"/>
      <c r="AO27" s="458"/>
    </row>
    <row r="28" s="406" customFormat="1" ht="12" customHeight="1" spans="1:41">
      <c r="A28" s="406" t="s">
        <v>414</v>
      </c>
      <c r="AO28" s="407"/>
    </row>
    <row r="29" s="406" customFormat="1" ht="12" customHeight="1" spans="1:41">
      <c r="A29" s="459" t="s">
        <v>415</v>
      </c>
      <c r="B29" s="406" t="s">
        <v>416</v>
      </c>
      <c r="D29" s="460" t="s">
        <v>417</v>
      </c>
      <c r="E29" s="460"/>
      <c r="F29" s="460"/>
      <c r="G29" s="460"/>
      <c r="H29" s="460"/>
      <c r="I29" s="406" t="s">
        <v>418</v>
      </c>
      <c r="M29" s="460" t="s">
        <v>417</v>
      </c>
      <c r="N29" s="460"/>
      <c r="O29" s="460"/>
      <c r="P29" s="460"/>
      <c r="Q29" s="460"/>
      <c r="R29" s="424" t="s">
        <v>419</v>
      </c>
      <c r="T29" s="460" t="s">
        <v>417</v>
      </c>
      <c r="U29" s="460"/>
      <c r="V29" s="460"/>
      <c r="W29" s="460"/>
      <c r="X29" s="460"/>
      <c r="Y29" s="460"/>
      <c r="Z29" s="461" t="s">
        <v>420</v>
      </c>
      <c r="AA29" s="385"/>
      <c r="AB29" s="460" t="s">
        <v>417</v>
      </c>
      <c r="AC29" s="460"/>
      <c r="AD29" s="460"/>
      <c r="AE29" s="460"/>
      <c r="AF29" s="460"/>
      <c r="AG29" s="460"/>
      <c r="AO29" s="407"/>
    </row>
    <row r="30" s="406" customFormat="1" ht="12" customHeight="1" spans="1:41">
      <c r="A30" s="459" t="s">
        <v>421</v>
      </c>
      <c r="B30" s="406" t="s">
        <v>416</v>
      </c>
      <c r="D30" s="460" t="s">
        <v>417</v>
      </c>
      <c r="E30" s="460"/>
      <c r="F30" s="460"/>
      <c r="G30" s="460"/>
      <c r="H30" s="460"/>
      <c r="I30" s="406" t="s">
        <v>418</v>
      </c>
      <c r="M30" s="462" t="s">
        <v>417</v>
      </c>
      <c r="N30" s="462"/>
      <c r="O30" s="462"/>
      <c r="P30" s="462"/>
      <c r="Q30" s="462"/>
      <c r="R30" s="424" t="s">
        <v>419</v>
      </c>
      <c r="T30" s="460" t="s">
        <v>417</v>
      </c>
      <c r="U30" s="460"/>
      <c r="V30" s="460"/>
      <c r="W30" s="460"/>
      <c r="X30" s="460"/>
      <c r="Y30" s="460"/>
      <c r="Z30" s="461" t="s">
        <v>420</v>
      </c>
      <c r="AA30" s="385"/>
      <c r="AB30" s="460" t="s">
        <v>417</v>
      </c>
      <c r="AC30" s="460"/>
      <c r="AD30" s="460"/>
      <c r="AE30" s="460"/>
      <c r="AF30" s="460"/>
      <c r="AG30" s="460"/>
      <c r="AO30" s="407"/>
    </row>
    <row r="31" s="406" customFormat="1" ht="12" customHeight="1" spans="1:41">
      <c r="A31" s="459" t="s">
        <v>422</v>
      </c>
      <c r="B31" s="406" t="s">
        <v>416</v>
      </c>
      <c r="D31" s="460" t="s">
        <v>417</v>
      </c>
      <c r="E31" s="460"/>
      <c r="F31" s="460"/>
      <c r="G31" s="460"/>
      <c r="H31" s="460"/>
      <c r="I31" s="406" t="s">
        <v>418</v>
      </c>
      <c r="M31" s="462" t="s">
        <v>417</v>
      </c>
      <c r="N31" s="462"/>
      <c r="O31" s="462"/>
      <c r="P31" s="462"/>
      <c r="Q31" s="462"/>
      <c r="R31" s="424" t="s">
        <v>419</v>
      </c>
      <c r="T31" s="460" t="s">
        <v>417</v>
      </c>
      <c r="U31" s="460"/>
      <c r="V31" s="460"/>
      <c r="W31" s="460"/>
      <c r="X31" s="460"/>
      <c r="Y31" s="460"/>
      <c r="Z31" s="461" t="s">
        <v>420</v>
      </c>
      <c r="AA31" s="385"/>
      <c r="AB31" s="460" t="s">
        <v>417</v>
      </c>
      <c r="AC31" s="460"/>
      <c r="AD31" s="460"/>
      <c r="AE31" s="460"/>
      <c r="AF31" s="460"/>
      <c r="AG31" s="460"/>
      <c r="AO31" s="407"/>
    </row>
    <row r="32" s="406" customFormat="1" ht="9.75" customHeight="1" spans="1:41">
      <c r="A32" s="406" t="s">
        <v>423</v>
      </c>
      <c r="J32" s="419">
        <f>'Gen Outb'!H24</f>
        <v>17</v>
      </c>
      <c r="K32" s="419"/>
      <c r="M32" s="406" t="s">
        <v>424</v>
      </c>
      <c r="V32" s="432"/>
      <c r="W32" s="432"/>
      <c r="X32" s="462" t="s">
        <v>417</v>
      </c>
      <c r="Y32" s="462"/>
      <c r="AO32" s="407"/>
    </row>
    <row r="33" s="406" customFormat="1" ht="7.5" customHeight="1" spans="1:41">
      <c r="AO33" s="407"/>
    </row>
    <row r="34" s="406" customFormat="1" ht="9.75" customHeight="1" spans="1:41">
      <c r="A34" s="463" t="s">
        <v>425</v>
      </c>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c r="AB34" s="463"/>
      <c r="AC34" s="463"/>
      <c r="AD34" s="463"/>
      <c r="AE34" s="463"/>
      <c r="AF34" s="463"/>
      <c r="AG34" s="463"/>
      <c r="AH34" s="463"/>
      <c r="AI34" s="463"/>
      <c r="AJ34" s="463"/>
      <c r="AK34" s="463"/>
      <c r="AL34" s="463"/>
      <c r="AM34" s="463"/>
      <c r="AN34" s="463"/>
      <c r="AO34" s="463"/>
    </row>
    <row r="35" s="406" customFormat="1" ht="7.5" customHeight="1" spans="1:41">
      <c r="AO35" s="407"/>
    </row>
    <row r="36" s="406" customFormat="1" ht="2.1" customHeight="1" spans="1:41">
      <c r="A36" s="464" t="s">
        <v>415</v>
      </c>
      <c r="B36" s="406" t="s">
        <v>426</v>
      </c>
      <c r="AI36" s="444" t="s">
        <v>427</v>
      </c>
      <c r="AJ36" s="204"/>
      <c r="AM36" s="444" t="s">
        <v>402</v>
      </c>
      <c r="AN36" s="444"/>
      <c r="AO36" s="407"/>
    </row>
    <row r="37" s="406" customFormat="1" ht="8.1" customHeight="1" spans="1:41">
      <c r="A37" s="465"/>
      <c r="B37" s="406"/>
      <c r="C37" s="406"/>
      <c r="D37" s="406"/>
      <c r="E37" s="406"/>
      <c r="F37" s="406"/>
      <c r="G37" s="406"/>
      <c r="H37" s="406"/>
      <c r="I37" s="406"/>
      <c r="J37" s="406"/>
      <c r="K37" s="406"/>
      <c r="L37" s="406"/>
      <c r="M37" s="406"/>
      <c r="N37" s="406"/>
      <c r="O37" s="406"/>
      <c r="P37" s="406"/>
      <c r="Q37" s="406"/>
      <c r="R37" s="406"/>
      <c r="S37" s="406"/>
      <c r="T37" s="406"/>
      <c r="U37" s="406"/>
      <c r="V37" s="406"/>
      <c r="W37" s="406"/>
      <c r="X37" s="406"/>
      <c r="Y37" s="406"/>
      <c r="Z37" s="406"/>
      <c r="AA37" s="406"/>
      <c r="AI37" s="204"/>
      <c r="AJ37" s="204"/>
      <c r="AK37" s="431"/>
      <c r="AM37" s="444"/>
      <c r="AN37" s="444"/>
      <c r="AO37" s="430" t="s">
        <v>401</v>
      </c>
    </row>
    <row r="38" s="406" customFormat="1" ht="2.1" customHeight="1" spans="1:41">
      <c r="A38" s="465"/>
      <c r="B38" s="406"/>
      <c r="C38" s="406"/>
      <c r="D38" s="406"/>
      <c r="E38" s="406"/>
      <c r="F38" s="406"/>
      <c r="G38" s="406"/>
      <c r="H38" s="406"/>
      <c r="I38" s="406"/>
      <c r="J38" s="406"/>
      <c r="K38" s="406"/>
      <c r="L38" s="406"/>
      <c r="M38" s="406"/>
      <c r="N38" s="406"/>
      <c r="O38" s="406"/>
      <c r="P38" s="406"/>
      <c r="Q38" s="406"/>
      <c r="R38" s="406"/>
      <c r="S38" s="406"/>
      <c r="T38" s="406"/>
      <c r="U38" s="406"/>
      <c r="V38" s="406"/>
      <c r="W38" s="406"/>
      <c r="X38" s="406"/>
      <c r="Y38" s="406"/>
      <c r="Z38" s="406"/>
      <c r="AA38" s="406"/>
      <c r="AI38" s="204"/>
      <c r="AJ38" s="204"/>
      <c r="AK38" s="427"/>
      <c r="AM38" s="444"/>
      <c r="AN38" s="444"/>
      <c r="AO38" s="466"/>
    </row>
    <row r="39" s="406" customFormat="1" ht="12" spans="1:41">
      <c r="B39" s="406" t="s">
        <v>428</v>
      </c>
      <c r="S39" s="426"/>
      <c r="T39" s="426"/>
      <c r="U39" s="426"/>
      <c r="V39" s="426"/>
      <c r="W39" s="426"/>
      <c r="X39" s="426"/>
      <c r="Y39" s="426"/>
      <c r="Z39" s="467" t="s">
        <v>429</v>
      </c>
      <c r="AI39" s="444"/>
      <c r="AJ39" s="444"/>
      <c r="AM39" s="444"/>
      <c r="AN39" s="444"/>
      <c r="AO39" s="407"/>
    </row>
    <row r="40" s="406" customFormat="1" ht="2.1" customHeight="1" spans="1:41">
      <c r="A40" s="464" t="s">
        <v>421</v>
      </c>
      <c r="B40" s="406" t="s">
        <v>430</v>
      </c>
      <c r="C40" s="440"/>
      <c r="D40" s="440"/>
      <c r="E40" s="440"/>
      <c r="F40" s="440"/>
      <c r="G40" s="440"/>
      <c r="H40" s="440"/>
      <c r="I40" s="440"/>
      <c r="J40" s="440"/>
      <c r="K40" s="440"/>
      <c r="L40" s="440"/>
      <c r="M40" s="440"/>
      <c r="N40" s="440"/>
      <c r="O40" s="440"/>
      <c r="P40" s="440"/>
      <c r="Q40" s="440"/>
      <c r="R40" s="440"/>
      <c r="S40" s="440"/>
      <c r="T40" s="440"/>
      <c r="U40" s="440"/>
      <c r="V40" s="440"/>
      <c r="W40" s="440"/>
      <c r="X40" s="440"/>
      <c r="Y40" s="440"/>
      <c r="Z40" s="440"/>
      <c r="AA40" s="440"/>
      <c r="AI40" s="444" t="s">
        <v>427</v>
      </c>
      <c r="AJ40" s="204"/>
      <c r="AM40" s="444" t="s">
        <v>402</v>
      </c>
      <c r="AN40" s="444"/>
      <c r="AO40" s="407"/>
    </row>
    <row r="41" s="406" customFormat="1" ht="8.1" customHeight="1" spans="1:41">
      <c r="A41" s="465"/>
      <c r="B41" s="440"/>
      <c r="C41" s="440"/>
      <c r="D41" s="440"/>
      <c r="E41" s="440"/>
      <c r="F41" s="440"/>
      <c r="G41" s="440"/>
      <c r="H41" s="440"/>
      <c r="I41" s="440"/>
      <c r="J41" s="440"/>
      <c r="K41" s="440"/>
      <c r="L41" s="440"/>
      <c r="M41" s="440"/>
      <c r="N41" s="440"/>
      <c r="O41" s="440"/>
      <c r="P41" s="440"/>
      <c r="Q41" s="440"/>
      <c r="R41" s="440"/>
      <c r="S41" s="440"/>
      <c r="T41" s="440"/>
      <c r="U41" s="440"/>
      <c r="V41" s="440"/>
      <c r="W41" s="440"/>
      <c r="X41" s="440"/>
      <c r="Y41" s="440"/>
      <c r="Z41" s="440"/>
      <c r="AA41" s="440"/>
      <c r="AI41" s="204"/>
      <c r="AJ41" s="204"/>
      <c r="AK41" s="431"/>
      <c r="AM41" s="444"/>
      <c r="AN41" s="444"/>
      <c r="AO41" s="430" t="s">
        <v>401</v>
      </c>
    </row>
    <row r="42" s="406" customFormat="1" ht="2.1" customHeight="1" spans="1:41">
      <c r="A42" s="465"/>
      <c r="B42" s="440"/>
      <c r="C42" s="440"/>
      <c r="D42" s="440"/>
      <c r="E42" s="440"/>
      <c r="F42" s="440"/>
      <c r="G42" s="440"/>
      <c r="H42" s="440"/>
      <c r="I42" s="440"/>
      <c r="J42" s="440"/>
      <c r="K42" s="440"/>
      <c r="L42" s="440"/>
      <c r="M42" s="440"/>
      <c r="N42" s="440"/>
      <c r="O42" s="440"/>
      <c r="P42" s="440"/>
      <c r="Q42" s="440"/>
      <c r="R42" s="440"/>
      <c r="S42" s="440"/>
      <c r="T42" s="440"/>
      <c r="U42" s="440"/>
      <c r="V42" s="440"/>
      <c r="W42" s="440"/>
      <c r="X42" s="440"/>
      <c r="Y42" s="440"/>
      <c r="Z42" s="440"/>
      <c r="AA42" s="440"/>
      <c r="AI42" s="204"/>
      <c r="AJ42" s="204"/>
      <c r="AK42" s="427"/>
      <c r="AM42" s="444"/>
      <c r="AN42" s="444"/>
      <c r="AO42" s="466"/>
    </row>
    <row r="43" s="406" customFormat="1" ht="12" spans="1:41">
      <c r="B43" s="406" t="s">
        <v>431</v>
      </c>
      <c r="AI43" s="444"/>
      <c r="AJ43" s="444"/>
      <c r="AM43" s="444"/>
      <c r="AN43" s="444"/>
      <c r="AO43" s="407"/>
    </row>
    <row r="44" s="406" customFormat="1" ht="12" spans="1:41">
      <c r="B44" s="406" t="s">
        <v>432</v>
      </c>
      <c r="AI44" s="444"/>
      <c r="AJ44" s="444"/>
      <c r="AM44" s="444"/>
      <c r="AN44" s="444"/>
      <c r="AO44" s="407"/>
    </row>
    <row r="45" s="406" customFormat="1" ht="2.1" customHeight="1" spans="1:41">
      <c r="A45" s="464" t="s">
        <v>422</v>
      </c>
      <c r="B45" s="406" t="s">
        <v>433</v>
      </c>
      <c r="AI45" s="444" t="s">
        <v>427</v>
      </c>
      <c r="AJ45" s="204"/>
      <c r="AM45" s="444" t="s">
        <v>402</v>
      </c>
      <c r="AN45" s="444"/>
      <c r="AO45" s="407"/>
    </row>
    <row r="46" s="406" customFormat="1" ht="8.1" customHeight="1" spans="1:41">
      <c r="A46" s="465"/>
      <c r="B46" s="406"/>
      <c r="C46" s="406"/>
      <c r="D46" s="406"/>
      <c r="E46" s="406"/>
      <c r="F46" s="406"/>
      <c r="G46" s="406"/>
      <c r="H46" s="406"/>
      <c r="I46" s="406"/>
      <c r="J46" s="406"/>
      <c r="K46" s="406"/>
      <c r="L46" s="406"/>
      <c r="M46" s="406"/>
      <c r="N46" s="406"/>
      <c r="O46" s="406"/>
      <c r="P46" s="406"/>
      <c r="Q46" s="406"/>
      <c r="R46" s="406"/>
      <c r="S46" s="406"/>
      <c r="T46" s="406"/>
      <c r="U46" s="406"/>
      <c r="V46" s="406"/>
      <c r="W46" s="406"/>
      <c r="X46" s="406"/>
      <c r="Y46" s="406"/>
      <c r="Z46" s="406"/>
      <c r="AA46" s="406"/>
      <c r="AB46" s="406"/>
      <c r="AC46" s="406"/>
      <c r="AI46" s="204"/>
      <c r="AJ46" s="204"/>
      <c r="AK46" s="431"/>
      <c r="AM46" s="444"/>
      <c r="AN46" s="444"/>
      <c r="AO46" s="430" t="s">
        <v>401</v>
      </c>
    </row>
    <row r="47" s="406" customFormat="1" ht="2.1" customHeight="1" spans="1:41">
      <c r="A47" s="465"/>
      <c r="B47" s="406"/>
      <c r="C47" s="406"/>
      <c r="D47" s="406"/>
      <c r="E47" s="406"/>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I47" s="204"/>
      <c r="AJ47" s="204"/>
      <c r="AK47" s="427"/>
      <c r="AM47" s="444"/>
      <c r="AN47" s="444"/>
      <c r="AO47" s="466"/>
    </row>
    <row r="48" s="406" customFormat="1" ht="12" spans="1:41">
      <c r="B48" s="406" t="s">
        <v>434</v>
      </c>
      <c r="H48" s="426"/>
      <c r="I48" s="426"/>
      <c r="J48" s="426"/>
      <c r="K48" s="426"/>
      <c r="L48" s="426"/>
      <c r="M48" s="406" t="s">
        <v>435</v>
      </c>
      <c r="AI48" s="444"/>
      <c r="AJ48" s="444"/>
      <c r="AM48" s="444"/>
      <c r="AN48" s="444"/>
      <c r="AO48" s="407"/>
    </row>
    <row r="49" s="406" customFormat="1" ht="2.1" customHeight="1" spans="1:41">
      <c r="A49" s="464" t="s">
        <v>436</v>
      </c>
      <c r="B49" s="406" t="s">
        <v>437</v>
      </c>
      <c r="C49" s="440"/>
      <c r="D49" s="440"/>
      <c r="E49" s="440"/>
      <c r="F49" s="440"/>
      <c r="G49" s="440"/>
      <c r="H49" s="440"/>
      <c r="I49" s="440"/>
      <c r="J49" s="440"/>
      <c r="K49" s="440"/>
      <c r="L49" s="440"/>
      <c r="M49" s="440"/>
      <c r="N49" s="440"/>
      <c r="O49" s="440"/>
      <c r="P49" s="440"/>
      <c r="Q49" s="440"/>
      <c r="R49" s="440"/>
      <c r="S49" s="440"/>
      <c r="T49" s="440"/>
      <c r="U49" s="440"/>
      <c r="V49" s="440"/>
      <c r="AI49" s="444" t="s">
        <v>427</v>
      </c>
      <c r="AJ49" s="204"/>
      <c r="AM49" s="444" t="s">
        <v>402</v>
      </c>
      <c r="AN49" s="444"/>
      <c r="AO49" s="407"/>
    </row>
    <row r="50" s="406" customFormat="1" ht="8.1" customHeight="1" spans="1:41">
      <c r="A50" s="465"/>
      <c r="B50" s="440"/>
      <c r="C50" s="440"/>
      <c r="D50" s="440"/>
      <c r="E50" s="440"/>
      <c r="F50" s="440"/>
      <c r="G50" s="440"/>
      <c r="H50" s="440"/>
      <c r="I50" s="440"/>
      <c r="J50" s="440"/>
      <c r="K50" s="440"/>
      <c r="L50" s="440"/>
      <c r="M50" s="440"/>
      <c r="N50" s="440"/>
      <c r="O50" s="440"/>
      <c r="P50" s="440"/>
      <c r="Q50" s="440"/>
      <c r="R50" s="440"/>
      <c r="S50" s="440"/>
      <c r="T50" s="440"/>
      <c r="U50" s="440"/>
      <c r="V50" s="440"/>
      <c r="AI50" s="204"/>
      <c r="AJ50" s="204"/>
      <c r="AK50" s="431"/>
      <c r="AM50" s="444"/>
      <c r="AN50" s="444"/>
      <c r="AO50" s="430" t="s">
        <v>401</v>
      </c>
    </row>
    <row r="51" s="406" customFormat="1" ht="2.1" customHeight="1" spans="1:41">
      <c r="A51" s="465"/>
      <c r="B51" s="440"/>
      <c r="C51" s="440"/>
      <c r="D51" s="440"/>
      <c r="E51" s="440"/>
      <c r="F51" s="440"/>
      <c r="G51" s="440"/>
      <c r="H51" s="440"/>
      <c r="I51" s="440"/>
      <c r="J51" s="440"/>
      <c r="K51" s="440"/>
      <c r="L51" s="440"/>
      <c r="M51" s="440"/>
      <c r="N51" s="440"/>
      <c r="O51" s="440"/>
      <c r="P51" s="440"/>
      <c r="Q51" s="440"/>
      <c r="R51" s="440"/>
      <c r="S51" s="440"/>
      <c r="T51" s="440"/>
      <c r="U51" s="440"/>
      <c r="V51" s="440"/>
      <c r="AI51" s="204"/>
      <c r="AJ51" s="204"/>
      <c r="AK51" s="427"/>
      <c r="AM51" s="444"/>
      <c r="AN51" s="444"/>
      <c r="AO51" s="466"/>
    </row>
    <row r="52" s="406" customFormat="1" ht="12" spans="1:41">
      <c r="B52" s="406" t="s">
        <v>432</v>
      </c>
      <c r="AI52" s="444"/>
      <c r="AJ52" s="444"/>
      <c r="AM52" s="444"/>
      <c r="AN52" s="444"/>
      <c r="AO52" s="407"/>
    </row>
    <row r="53" s="406" customFormat="1" ht="2.1" customHeight="1" spans="1:41">
      <c r="A53" s="464" t="s">
        <v>438</v>
      </c>
      <c r="B53" s="406" t="s">
        <v>439</v>
      </c>
      <c r="AI53" s="444" t="s">
        <v>427</v>
      </c>
      <c r="AJ53" s="204"/>
      <c r="AM53" s="444" t="s">
        <v>402</v>
      </c>
      <c r="AN53" s="444"/>
      <c r="AO53" s="407"/>
    </row>
    <row r="54" s="406" customFormat="1" ht="8.1" customHeight="1" spans="1:41">
      <c r="A54" s="465"/>
      <c r="B54" s="406"/>
      <c r="C54" s="406"/>
      <c r="D54" s="406"/>
      <c r="E54" s="406"/>
      <c r="F54" s="406"/>
      <c r="G54" s="406"/>
      <c r="H54" s="406"/>
      <c r="I54" s="406"/>
      <c r="J54" s="406"/>
      <c r="K54" s="406"/>
      <c r="L54" s="406"/>
      <c r="M54" s="406"/>
      <c r="N54" s="406"/>
      <c r="O54" s="406"/>
      <c r="P54" s="406"/>
      <c r="Q54" s="406"/>
      <c r="R54" s="406"/>
      <c r="S54" s="406"/>
      <c r="T54" s="406"/>
      <c r="U54" s="406"/>
      <c r="AI54" s="204"/>
      <c r="AJ54" s="204"/>
      <c r="AK54" s="431"/>
      <c r="AM54" s="444"/>
      <c r="AN54" s="444"/>
      <c r="AO54" s="430" t="s">
        <v>401</v>
      </c>
    </row>
    <row r="55" s="406" customFormat="1" ht="2.1" customHeight="1" spans="1:41">
      <c r="A55" s="465"/>
      <c r="B55" s="406"/>
      <c r="C55" s="406"/>
      <c r="D55" s="406"/>
      <c r="E55" s="406"/>
      <c r="F55" s="406"/>
      <c r="G55" s="406"/>
      <c r="H55" s="406"/>
      <c r="I55" s="406"/>
      <c r="J55" s="406"/>
      <c r="K55" s="406"/>
      <c r="L55" s="406"/>
      <c r="M55" s="406"/>
      <c r="N55" s="406"/>
      <c r="O55" s="406"/>
      <c r="P55" s="406"/>
      <c r="Q55" s="406"/>
      <c r="R55" s="406"/>
      <c r="S55" s="406"/>
      <c r="T55" s="406"/>
      <c r="U55" s="406"/>
      <c r="AI55" s="204"/>
      <c r="AJ55" s="204"/>
      <c r="AK55" s="427"/>
      <c r="AM55" s="444"/>
      <c r="AN55" s="444"/>
      <c r="AO55" s="466"/>
    </row>
    <row r="56" s="406" customFormat="1" ht="12" spans="1:41">
      <c r="A56" s="464" t="s">
        <v>440</v>
      </c>
      <c r="B56" s="406" t="s">
        <v>441</v>
      </c>
      <c r="AI56" s="444"/>
      <c r="AJ56" s="444"/>
      <c r="AM56" s="444"/>
      <c r="AN56" s="444"/>
      <c r="AO56" s="407"/>
    </row>
    <row r="57" s="406" customFormat="1" ht="2.1" customHeight="1" spans="1:41">
      <c r="A57" s="464"/>
      <c r="B57" s="406" t="s">
        <v>442</v>
      </c>
      <c r="AI57" s="444" t="s">
        <v>427</v>
      </c>
      <c r="AJ57" s="204"/>
      <c r="AM57" s="444" t="s">
        <v>402</v>
      </c>
      <c r="AN57" s="444"/>
      <c r="AO57" s="407"/>
    </row>
    <row r="58" s="406" customFormat="1" ht="8.1" customHeight="1" spans="1:41">
      <c r="A58" s="420"/>
      <c r="B58" s="406"/>
      <c r="C58" s="406"/>
      <c r="D58" s="406"/>
      <c r="E58" s="406"/>
      <c r="F58" s="406"/>
      <c r="G58" s="406"/>
      <c r="H58" s="406"/>
      <c r="I58" s="406"/>
      <c r="J58" s="406"/>
      <c r="K58" s="406"/>
      <c r="L58" s="406"/>
      <c r="M58" s="406"/>
      <c r="N58" s="406"/>
      <c r="O58" s="406"/>
      <c r="P58" s="406"/>
      <c r="Q58" s="406"/>
      <c r="R58" s="406"/>
      <c r="S58" s="406"/>
      <c r="T58" s="406"/>
      <c r="U58" s="406"/>
      <c r="V58" s="406"/>
      <c r="W58" s="406"/>
      <c r="X58" s="406"/>
      <c r="Y58" s="406"/>
      <c r="Z58" s="406"/>
      <c r="AA58" s="406"/>
      <c r="AB58" s="406"/>
      <c r="AI58" s="204"/>
      <c r="AJ58" s="204"/>
      <c r="AK58" s="431"/>
      <c r="AM58" s="444"/>
      <c r="AN58" s="444"/>
      <c r="AO58" s="430" t="s">
        <v>401</v>
      </c>
    </row>
    <row r="59" s="406" customFormat="1" ht="2.1" customHeight="1" spans="1:41">
      <c r="A59" s="420"/>
      <c r="B59" s="406"/>
      <c r="C59" s="406"/>
      <c r="D59" s="406"/>
      <c r="E59" s="406"/>
      <c r="F59" s="406"/>
      <c r="G59" s="406"/>
      <c r="H59" s="406"/>
      <c r="I59" s="406"/>
      <c r="J59" s="406"/>
      <c r="K59" s="406"/>
      <c r="L59" s="406"/>
      <c r="M59" s="406"/>
      <c r="N59" s="406"/>
      <c r="O59" s="406"/>
      <c r="P59" s="406"/>
      <c r="Q59" s="406"/>
      <c r="R59" s="406"/>
      <c r="S59" s="406"/>
      <c r="T59" s="406"/>
      <c r="U59" s="406"/>
      <c r="V59" s="406"/>
      <c r="W59" s="406"/>
      <c r="X59" s="406"/>
      <c r="Y59" s="406"/>
      <c r="Z59" s="406"/>
      <c r="AA59" s="406"/>
      <c r="AB59" s="406"/>
      <c r="AI59" s="204"/>
      <c r="AJ59" s="204"/>
      <c r="AK59" s="427"/>
      <c r="AM59" s="444"/>
      <c r="AN59" s="444"/>
      <c r="AO59" s="466"/>
    </row>
    <row r="60" s="406" customFormat="1" ht="12" spans="1:41">
      <c r="A60" s="464"/>
      <c r="B60" s="406" t="s">
        <v>432</v>
      </c>
      <c r="AI60" s="444"/>
      <c r="AJ60" s="444"/>
      <c r="AM60" s="444"/>
      <c r="AN60" s="444"/>
      <c r="AO60" s="407"/>
    </row>
    <row r="61" s="406" customFormat="1" ht="2.1" customHeight="1" spans="1:41">
      <c r="A61" s="459" t="s">
        <v>443</v>
      </c>
      <c r="B61" s="406" t="s">
        <v>444</v>
      </c>
      <c r="AI61" s="444" t="s">
        <v>427</v>
      </c>
      <c r="AJ61" s="204"/>
      <c r="AM61" s="444" t="s">
        <v>402</v>
      </c>
      <c r="AN61" s="444"/>
      <c r="AO61" s="407"/>
    </row>
    <row r="62" s="406" customFormat="1" ht="8.1" customHeight="1" spans="1:41">
      <c r="A62" s="440"/>
      <c r="B62" s="406"/>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I62" s="204"/>
      <c r="AJ62" s="204"/>
      <c r="AK62" s="431"/>
      <c r="AM62" s="444"/>
      <c r="AN62" s="444"/>
      <c r="AO62" s="430" t="s">
        <v>401</v>
      </c>
    </row>
    <row r="63" s="406" customFormat="1" ht="2.1" customHeight="1" spans="1:41">
      <c r="A63" s="440"/>
      <c r="B63" s="406"/>
      <c r="C63" s="406"/>
      <c r="D63" s="406"/>
      <c r="E63" s="406"/>
      <c r="F63" s="406"/>
      <c r="G63" s="406"/>
      <c r="H63" s="406"/>
      <c r="I63" s="406"/>
      <c r="J63" s="406"/>
      <c r="K63" s="406"/>
      <c r="L63" s="406"/>
      <c r="M63" s="406"/>
      <c r="N63" s="406"/>
      <c r="O63" s="406"/>
      <c r="P63" s="406"/>
      <c r="Q63" s="406"/>
      <c r="R63" s="406"/>
      <c r="S63" s="406"/>
      <c r="T63" s="406"/>
      <c r="U63" s="406"/>
      <c r="V63" s="406"/>
      <c r="W63" s="406"/>
      <c r="X63" s="406"/>
      <c r="Y63" s="406"/>
      <c r="Z63" s="406"/>
      <c r="AA63" s="406"/>
      <c r="AB63" s="406"/>
      <c r="AC63" s="406"/>
      <c r="AD63" s="406"/>
      <c r="AE63" s="406"/>
      <c r="AF63" s="406"/>
      <c r="AG63" s="406"/>
      <c r="AI63" s="204"/>
      <c r="AJ63" s="204"/>
      <c r="AK63" s="427"/>
      <c r="AM63" s="444"/>
      <c r="AN63" s="444"/>
      <c r="AO63" s="466"/>
    </row>
    <row r="64" s="406" customFormat="1" ht="12" spans="1:41">
      <c r="A64" s="459"/>
      <c r="B64" s="406" t="s">
        <v>445</v>
      </c>
      <c r="K64" s="426"/>
      <c r="L64" s="426"/>
      <c r="M64" s="426"/>
      <c r="N64" s="426"/>
      <c r="O64" s="426"/>
      <c r="P64" s="426"/>
      <c r="Q64" s="426"/>
      <c r="AI64" s="444"/>
      <c r="AJ64" s="444"/>
      <c r="AM64" s="444"/>
      <c r="AN64" s="444"/>
      <c r="AO64" s="407"/>
    </row>
    <row r="65" s="406" customFormat="1" ht="2.1" customHeight="1" spans="1:41">
      <c r="A65" s="459" t="s">
        <v>446</v>
      </c>
      <c r="B65" s="406" t="s">
        <v>447</v>
      </c>
      <c r="AI65" s="444" t="s">
        <v>427</v>
      </c>
      <c r="AJ65" s="204"/>
      <c r="AM65" s="444" t="s">
        <v>402</v>
      </c>
      <c r="AN65" s="444"/>
      <c r="AO65" s="407"/>
    </row>
    <row r="66" s="406" customFormat="1" ht="8.1" customHeight="1" spans="1:41">
      <c r="AI66" s="204"/>
      <c r="AJ66" s="204"/>
      <c r="AK66" s="431"/>
      <c r="AM66" s="444"/>
      <c r="AN66" s="444"/>
      <c r="AO66" s="430" t="s">
        <v>401</v>
      </c>
    </row>
    <row r="67" s="406" customFormat="1" ht="2.1" customHeight="1" spans="1:41">
      <c r="A67" s="459"/>
      <c r="B67" s="406"/>
      <c r="C67" s="406"/>
      <c r="D67" s="406"/>
      <c r="E67" s="406"/>
      <c r="F67" s="406"/>
      <c r="G67" s="406"/>
      <c r="H67" s="406"/>
      <c r="I67" s="406"/>
      <c r="J67" s="406"/>
      <c r="K67" s="406"/>
      <c r="L67" s="406"/>
      <c r="M67" s="406"/>
      <c r="N67" s="406"/>
      <c r="O67" s="406"/>
      <c r="P67" s="406"/>
      <c r="Q67" s="406"/>
      <c r="R67" s="406"/>
      <c r="S67" s="406"/>
      <c r="T67" s="406"/>
      <c r="AI67" s="204"/>
      <c r="AJ67" s="204"/>
      <c r="AK67" s="427"/>
      <c r="AM67" s="444"/>
      <c r="AN67" s="444"/>
      <c r="AO67" s="466"/>
    </row>
    <row r="68" s="406" customFormat="1" ht="12" customHeight="1" spans="1:41">
      <c r="A68" s="459"/>
      <c r="B68" s="445" t="s">
        <v>448</v>
      </c>
      <c r="C68" s="458"/>
      <c r="D68" s="458"/>
      <c r="E68" s="458"/>
      <c r="F68" s="458"/>
      <c r="G68" s="458"/>
      <c r="H68" s="458"/>
      <c r="I68" s="458"/>
      <c r="J68" s="458"/>
      <c r="K68" s="458"/>
      <c r="L68" s="458"/>
      <c r="M68" s="458"/>
      <c r="N68" s="458"/>
      <c r="O68" s="426"/>
      <c r="P68" s="426"/>
      <c r="Q68" s="426"/>
      <c r="R68" s="426"/>
      <c r="S68" s="426"/>
      <c r="T68" s="426"/>
      <c r="U68" s="426"/>
      <c r="V68" s="426"/>
      <c r="W68" s="426"/>
      <c r="AI68" s="444"/>
      <c r="AJ68" s="444"/>
      <c r="AM68" s="444"/>
      <c r="AN68" s="444"/>
      <c r="AO68" s="407"/>
    </row>
    <row r="69" s="406" customFormat="1" ht="2.1" customHeight="1" spans="1:41">
      <c r="A69" s="459" t="s">
        <v>449</v>
      </c>
      <c r="B69" s="406" t="s">
        <v>450</v>
      </c>
      <c r="AI69" s="444" t="s">
        <v>427</v>
      </c>
      <c r="AJ69" s="204"/>
      <c r="AM69" s="444" t="s">
        <v>402</v>
      </c>
      <c r="AN69" s="444"/>
      <c r="AO69" s="407"/>
    </row>
    <row r="70" s="406" customFormat="1" ht="8.1" customHeight="1" spans="1:41">
      <c r="AI70" s="204"/>
      <c r="AJ70" s="204"/>
      <c r="AK70" s="431"/>
      <c r="AM70" s="444"/>
      <c r="AN70" s="444"/>
      <c r="AO70" s="430" t="s">
        <v>401</v>
      </c>
    </row>
    <row r="71" s="406" customFormat="1" ht="2.1" customHeight="1" spans="1:41">
      <c r="A71" s="459"/>
      <c r="B71" s="406"/>
      <c r="C71" s="406"/>
      <c r="D71" s="406"/>
      <c r="E71" s="406"/>
      <c r="F71" s="406"/>
      <c r="G71" s="406"/>
      <c r="H71" s="406"/>
      <c r="I71" s="406"/>
      <c r="J71" s="406"/>
      <c r="K71" s="406"/>
      <c r="L71" s="406"/>
      <c r="M71" s="406"/>
      <c r="N71" s="406"/>
      <c r="O71" s="406"/>
      <c r="P71" s="406"/>
      <c r="Q71" s="406"/>
      <c r="AI71" s="204"/>
      <c r="AJ71" s="204"/>
      <c r="AK71" s="432"/>
      <c r="AM71" s="444"/>
      <c r="AN71" s="444"/>
      <c r="AO71" s="468"/>
    </row>
    <row r="72" s="406" customFormat="1" ht="2.1" customHeight="1" spans="1:41">
      <c r="A72" s="459" t="s">
        <v>451</v>
      </c>
      <c r="B72" s="440"/>
      <c r="C72" s="406" t="s">
        <v>452</v>
      </c>
      <c r="AI72" s="444" t="s">
        <v>427</v>
      </c>
      <c r="AJ72" s="204"/>
      <c r="AK72" s="426"/>
      <c r="AM72" s="444" t="s">
        <v>402</v>
      </c>
      <c r="AN72" s="444"/>
      <c r="AO72" s="469"/>
    </row>
    <row r="73" s="406" customFormat="1" ht="8.1" customHeight="1" spans="1:41">
      <c r="A73" s="440"/>
      <c r="B73" s="440"/>
      <c r="C73" s="406"/>
      <c r="D73" s="406"/>
      <c r="E73" s="406"/>
      <c r="F73" s="406"/>
      <c r="G73" s="406"/>
      <c r="H73" s="406"/>
      <c r="I73" s="406"/>
      <c r="J73" s="406"/>
      <c r="K73" s="406"/>
      <c r="L73" s="406"/>
      <c r="M73" s="406"/>
      <c r="N73" s="406"/>
      <c r="O73" s="406"/>
      <c r="P73" s="406"/>
      <c r="Q73" s="406"/>
      <c r="R73" s="406"/>
      <c r="S73" s="406"/>
      <c r="T73" s="406"/>
      <c r="U73" s="406"/>
      <c r="V73" s="406"/>
      <c r="W73" s="406"/>
      <c r="AI73" s="204"/>
      <c r="AJ73" s="204"/>
      <c r="AK73" s="430" t="s">
        <v>401</v>
      </c>
      <c r="AM73" s="444"/>
      <c r="AN73" s="444"/>
      <c r="AO73" s="470"/>
    </row>
    <row r="74" s="406" customFormat="1" ht="2.1" customHeight="1" spans="1:41">
      <c r="A74" s="440"/>
      <c r="B74" s="440"/>
      <c r="C74" s="406"/>
      <c r="D74" s="406"/>
      <c r="E74" s="406"/>
      <c r="F74" s="406"/>
      <c r="G74" s="406"/>
      <c r="H74" s="406"/>
      <c r="I74" s="406"/>
      <c r="J74" s="406"/>
      <c r="K74" s="406"/>
      <c r="L74" s="406"/>
      <c r="M74" s="406"/>
      <c r="N74" s="406"/>
      <c r="O74" s="406"/>
      <c r="P74" s="406"/>
      <c r="Q74" s="406"/>
      <c r="R74" s="406"/>
      <c r="S74" s="406"/>
      <c r="T74" s="406"/>
      <c r="U74" s="406"/>
      <c r="V74" s="406"/>
      <c r="W74" s="406"/>
      <c r="AI74" s="204"/>
      <c r="AJ74" s="204"/>
      <c r="AK74" s="427"/>
      <c r="AM74" s="444"/>
      <c r="AN74" s="444"/>
      <c r="AO74" s="466"/>
    </row>
    <row r="75" s="406" customFormat="1" ht="12" spans="1:41">
      <c r="A75" s="459"/>
      <c r="C75" s="406" t="s">
        <v>453</v>
      </c>
      <c r="G75" s="460">
        <f>J32</f>
        <v>17</v>
      </c>
      <c r="H75" s="460"/>
      <c r="I75" s="460"/>
      <c r="J75" s="460"/>
      <c r="K75" s="460"/>
      <c r="L75" s="460"/>
      <c r="M75" s="460"/>
      <c r="AI75" s="444"/>
      <c r="AJ75" s="444"/>
      <c r="AM75" s="444"/>
      <c r="AN75" s="444"/>
      <c r="AO75" s="407"/>
    </row>
    <row r="76" s="406" customFormat="1" ht="2.1" customHeight="1" spans="1:41">
      <c r="A76" s="459" t="s">
        <v>454</v>
      </c>
      <c r="B76" s="440"/>
      <c r="C76" s="406" t="s">
        <v>455</v>
      </c>
      <c r="AI76" s="444" t="s">
        <v>427</v>
      </c>
      <c r="AJ76" s="204"/>
      <c r="AM76" s="444" t="s">
        <v>402</v>
      </c>
      <c r="AN76" s="444"/>
      <c r="AO76" s="407"/>
    </row>
    <row r="77" s="406" customFormat="1" ht="8.1" customHeight="1" spans="1:41">
      <c r="A77" s="440"/>
      <c r="B77" s="44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I77" s="204"/>
      <c r="AJ77" s="204"/>
      <c r="AK77" s="430" t="s">
        <v>401</v>
      </c>
      <c r="AM77" s="444"/>
      <c r="AN77" s="444"/>
      <c r="AO77" s="470"/>
    </row>
    <row r="78" s="406" customFormat="1" ht="2.1" customHeight="1" spans="1:41">
      <c r="A78" s="440"/>
      <c r="B78" s="440"/>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I78" s="204"/>
      <c r="AJ78" s="204"/>
      <c r="AK78" s="427"/>
      <c r="AM78" s="444"/>
      <c r="AN78" s="444"/>
      <c r="AO78" s="466"/>
    </row>
    <row r="79" s="406" customFormat="1" ht="12" spans="1:41">
      <c r="A79" s="459"/>
      <c r="C79" s="406" t="s">
        <v>453</v>
      </c>
      <c r="G79" s="460">
        <f>J32</f>
        <v>17</v>
      </c>
      <c r="H79" s="460"/>
      <c r="I79" s="460"/>
      <c r="J79" s="460"/>
      <c r="K79" s="460"/>
      <c r="L79" s="460"/>
      <c r="M79" s="460"/>
      <c r="AO79" s="407"/>
    </row>
    <row r="80" s="406" customFormat="1" ht="6" customHeight="1" spans="1:41">
      <c r="A80" s="459"/>
      <c r="AO80" s="407"/>
    </row>
    <row r="81" s="407" customFormat="1" ht="9.9" customHeight="1" spans="1:41">
      <c r="A81" s="471" t="s">
        <v>456</v>
      </c>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2"/>
      <c r="AO81" s="472"/>
    </row>
    <row r="82" s="407" customFormat="1" ht="9.9" customHeight="1" spans="1:41">
      <c r="B82" s="473" t="s">
        <v>457</v>
      </c>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row>
    <row r="83" s="407" customFormat="1" ht="9.9" customHeight="1" spans="1:41">
      <c r="B83" s="407" t="s">
        <v>458</v>
      </c>
    </row>
    <row r="84" s="407" customFormat="1" ht="9.9" customHeight="1" spans="1:41">
      <c r="B84" s="473" t="s">
        <v>459</v>
      </c>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row>
    <row r="85" s="407" customFormat="1" ht="9.9" customHeight="1" spans="1:41">
      <c r="B85" s="407" t="s">
        <v>460</v>
      </c>
    </row>
    <row r="86" s="406" customFormat="1" ht="6" customHeight="1"/>
    <row r="87" s="406" customFormat="1" ht="10.5" customHeight="1" spans="1:41">
      <c r="A87" s="445" t="s">
        <v>461</v>
      </c>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58"/>
      <c r="AO87" s="458"/>
    </row>
    <row r="88" s="406" customFormat="1" ht="10.5" customHeight="1" spans="1:41">
      <c r="A88" s="406" t="s">
        <v>462</v>
      </c>
      <c r="AO88" s="407"/>
    </row>
    <row r="89" s="408" customFormat="1" ht="7.5" customHeight="1" spans="1:41">
      <c r="AO89" s="407"/>
    </row>
    <row r="90" s="406" customFormat="1" ht="12" customHeight="1" spans="1:41">
      <c r="D90" s="444" t="s">
        <v>294</v>
      </c>
      <c r="E90" s="415">
        <f>'Gen Inb'!X6</f>
        <v>46219</v>
      </c>
      <c r="F90" s="415"/>
      <c r="G90" s="415"/>
      <c r="H90" s="415"/>
      <c r="I90" s="415"/>
      <c r="J90" s="415"/>
      <c r="K90" s="415"/>
      <c r="N90" s="406" t="s">
        <v>463</v>
      </c>
      <c r="W90" s="419"/>
      <c r="X90" s="419"/>
      <c r="Y90" s="419"/>
      <c r="Z90" s="419"/>
      <c r="AA90" s="419"/>
      <c r="AB90" s="419"/>
      <c r="AC90" s="419"/>
      <c r="AD90" s="419"/>
      <c r="AE90" s="419"/>
      <c r="AO90" s="407"/>
    </row>
    <row r="91" s="406" customFormat="1" ht="4.5" customHeight="1" spans="1:41">
      <c r="D91" s="444"/>
      <c r="E91" s="427"/>
      <c r="F91" s="427"/>
      <c r="G91" s="427"/>
      <c r="H91" s="427"/>
      <c r="I91" s="427"/>
      <c r="J91" s="427"/>
      <c r="K91" s="427"/>
      <c r="W91" s="427"/>
      <c r="X91" s="427"/>
      <c r="Y91" s="427"/>
      <c r="Z91" s="427"/>
      <c r="AA91" s="427"/>
      <c r="AB91" s="427"/>
      <c r="AC91" s="427"/>
      <c r="AD91" s="427"/>
      <c r="AE91" s="427"/>
      <c r="AO91" s="407"/>
    </row>
    <row r="92" s="406" customFormat="1" ht="12" customHeight="1" spans="1:41">
      <c r="N92" s="406" t="s">
        <v>464</v>
      </c>
      <c r="AG92" s="426"/>
      <c r="AH92" s="426"/>
      <c r="AI92" s="426"/>
      <c r="AJ92" s="426"/>
      <c r="AK92" s="426"/>
      <c r="AO92" s="407"/>
    </row>
    <row r="93" s="408" customFormat="1" ht="3.75" customHeight="1" spans="1:41">
      <c r="AG93" s="474"/>
      <c r="AH93" s="474"/>
      <c r="AI93" s="474"/>
      <c r="AJ93" s="474"/>
      <c r="AK93" s="474"/>
      <c r="AO93" s="407"/>
    </row>
    <row r="94" s="408" customFormat="1" ht="10.5" customHeight="1" spans="1:41">
      <c r="AH94" s="407" t="s">
        <v>465</v>
      </c>
      <c r="AI94" s="440"/>
      <c r="AJ94" s="440"/>
      <c r="AK94" s="440"/>
      <c r="AL94" s="440"/>
      <c r="AM94" s="440"/>
      <c r="AN94" s="440"/>
      <c r="AO94" s="440"/>
    </row>
    <row r="95" s="405" customFormat="1" ht="12.75" spans="1:41">
      <c r="AO95" s="413"/>
    </row>
    <row r="96" s="405" customFormat="1" ht="12.75" spans="1:41">
      <c r="AO96" s="413"/>
    </row>
    <row r="97" s="405" customFormat="1" ht="12.75" spans="41:41">
      <c r="AO97" s="413"/>
    </row>
    <row r="98" s="405" customFormat="1" ht="12.75" spans="41:41">
      <c r="AO98" s="413"/>
    </row>
    <row r="99" s="405" customFormat="1" ht="12.75" spans="41:41">
      <c r="AO99" s="413"/>
    </row>
    <row r="100" s="405" customFormat="1" ht="12.75" spans="41:41">
      <c r="AO100" s="413"/>
    </row>
    <row r="101" s="405" customFormat="1" ht="12.75" spans="41:41">
      <c r="AO101" s="413"/>
    </row>
    <row r="102" s="405" customFormat="1" ht="12.75" spans="41:41">
      <c r="AO102" s="413"/>
    </row>
    <row r="103" s="405" customFormat="1" ht="12.75" spans="41:41">
      <c r="AO103" s="413"/>
    </row>
    <row r="104" s="405" customFormat="1" ht="12.75" spans="41:41">
      <c r="AO104" s="413"/>
    </row>
    <row r="105" s="405" customFormat="1" ht="12.75" spans="41:41">
      <c r="AO105" s="413"/>
    </row>
    <row r="106" s="405" customFormat="1" ht="12.75" spans="41:41">
      <c r="AO106" s="413"/>
    </row>
    <row r="107" s="405" customFormat="1" ht="12.75" spans="41:41">
      <c r="AO107" s="413"/>
    </row>
    <row r="108" s="405" customFormat="1" ht="12.75" spans="41:41">
      <c r="AO108" s="413"/>
    </row>
    <row r="109" s="405" customFormat="1" ht="12.75" spans="41:41">
      <c r="AO109" s="413"/>
    </row>
    <row r="110" s="409" customFormat="1" ht="12" spans="41:41">
      <c r="AO110" s="411"/>
    </row>
    <row r="111" s="409" customFormat="1" ht="12" spans="41:41">
      <c r="AO111" s="411"/>
    </row>
    <row r="112" s="409" customFormat="1" ht="12" spans="41:41">
      <c r="AO112" s="411"/>
    </row>
    <row r="113" s="409" customFormat="1" ht="12" spans="41:41">
      <c r="AO113" s="411"/>
    </row>
    <row r="114" s="409" customFormat="1" ht="12" spans="41:41">
      <c r="AO114" s="411"/>
    </row>
    <row r="115" s="409" customFormat="1" ht="12" spans="41:41">
      <c r="AO115" s="411"/>
    </row>
    <row r="116" s="409" customFormat="1" ht="12" spans="41:41">
      <c r="AO116" s="411"/>
    </row>
    <row r="117" s="409" customFormat="1" ht="12" spans="41:41">
      <c r="AO117" s="411"/>
    </row>
    <row r="118" s="409" customFormat="1" ht="12" spans="41:41">
      <c r="AO118" s="411"/>
    </row>
    <row r="119" s="409" customFormat="1" ht="12" spans="41:41">
      <c r="AO119" s="411"/>
    </row>
    <row r="120" s="409" customFormat="1" ht="12" spans="41:41">
      <c r="AO120" s="411"/>
    </row>
    <row r="121" s="409" customFormat="1" ht="12" spans="41:41">
      <c r="AO121" s="411"/>
    </row>
    <row r="122" s="409" customFormat="1" ht="12" spans="41:41">
      <c r="AO122" s="411"/>
    </row>
    <row r="123" s="409" customFormat="1" ht="12" spans="41:41">
      <c r="AO123" s="411"/>
    </row>
    <row r="124" s="409" customFormat="1" ht="12" spans="41:41">
      <c r="AO124" s="411"/>
    </row>
    <row r="125" s="409" customFormat="1" ht="12" spans="41:41">
      <c r="AO125" s="411"/>
    </row>
    <row r="126" s="409" customFormat="1" ht="12" spans="41:41">
      <c r="AO126" s="411"/>
    </row>
    <row r="127" s="409" customFormat="1" ht="12" spans="41:41">
      <c r="AO127" s="411"/>
    </row>
    <row r="128" s="409" customFormat="1" ht="12" spans="41:41">
      <c r="AO128" s="411"/>
    </row>
    <row r="129" s="409" customFormat="1" ht="12" spans="41:41">
      <c r="AO129" s="411"/>
    </row>
    <row r="130" s="409" customFormat="1" ht="12" spans="41:41">
      <c r="AO130" s="411"/>
    </row>
    <row r="131" s="409" customFormat="1" ht="12" spans="41:41">
      <c r="AO131" s="411"/>
    </row>
    <row r="132" s="409" customFormat="1" ht="12" spans="41:41">
      <c r="AO132" s="411"/>
    </row>
    <row r="133" s="409" customFormat="1" ht="12" spans="41:41">
      <c r="AO133" s="411"/>
    </row>
    <row r="134" s="409" customFormat="1" ht="12" spans="41:41">
      <c r="AO134" s="411"/>
    </row>
    <row r="135" s="409" customFormat="1" ht="12" spans="41:41">
      <c r="AO135" s="411"/>
    </row>
    <row r="136" s="409" customFormat="1" ht="12" spans="41:41">
      <c r="AO136" s="411"/>
    </row>
    <row r="137" s="409" customFormat="1" ht="12" spans="41:41">
      <c r="AO137" s="411"/>
    </row>
    <row r="138" s="409" customFormat="1" ht="12" spans="41:41">
      <c r="AO138" s="411"/>
    </row>
    <row r="139" s="409" customFormat="1" ht="12" spans="41:41">
      <c r="AO139" s="411"/>
    </row>
    <row r="140" s="409" customFormat="1" ht="12" spans="41:41">
      <c r="AO140" s="411"/>
    </row>
    <row r="141" s="409" customFormat="1" ht="12" spans="41:41">
      <c r="AO141" s="411"/>
    </row>
    <row r="142" s="409" customFormat="1" ht="12" spans="41:41">
      <c r="AO142" s="411"/>
    </row>
    <row r="143" s="409" customFormat="1" ht="12" spans="41:41">
      <c r="AO143" s="411"/>
    </row>
    <row r="144" s="409" customFormat="1" ht="12" spans="41:41">
      <c r="AO144" s="411"/>
    </row>
    <row r="145" s="409" customFormat="1" ht="12" spans="41:41">
      <c r="AO145" s="411"/>
    </row>
    <row r="146" s="409" customFormat="1" ht="12" spans="41:41">
      <c r="AO146" s="411"/>
    </row>
    <row r="147" s="409" customFormat="1" ht="12" spans="41:41">
      <c r="AO147" s="411"/>
    </row>
    <row r="148" s="409" customFormat="1" ht="12" spans="41:41">
      <c r="AO148" s="411"/>
    </row>
    <row r="149" s="409" customFormat="1" ht="12" spans="41:41">
      <c r="AO149" s="411"/>
    </row>
    <row r="150" s="409" customFormat="1" ht="12" spans="41:41">
      <c r="AO150" s="411"/>
    </row>
    <row r="151" s="409" customFormat="1" ht="12" spans="41:41">
      <c r="AO151" s="411"/>
    </row>
    <row r="152" s="409" customFormat="1" ht="12" spans="41:41">
      <c r="AO152" s="411"/>
    </row>
    <row r="153" s="409" customFormat="1" ht="12" spans="41:41">
      <c r="AO153" s="411"/>
    </row>
    <row r="154" s="409" customFormat="1" ht="12" spans="41:41">
      <c r="AO154" s="411"/>
    </row>
    <row r="155" s="409" customFormat="1" ht="12" spans="41:41">
      <c r="AO155" s="411"/>
    </row>
    <row r="156" s="409" customFormat="1" ht="12" spans="41:41">
      <c r="AO156" s="411"/>
    </row>
    <row r="157" s="409" customFormat="1" ht="12" spans="41:41">
      <c r="AO157" s="411"/>
    </row>
    <row r="158" s="409" customFormat="1" ht="12" spans="41:41">
      <c r="AO158" s="411"/>
    </row>
    <row r="159" s="409" customFormat="1" ht="12" spans="41:41">
      <c r="AO159" s="411"/>
    </row>
    <row r="160" s="409" customFormat="1" ht="12" spans="41:41">
      <c r="AO160" s="411"/>
    </row>
    <row r="161" s="409" customFormat="1" ht="12" spans="41:41">
      <c r="AO161" s="411"/>
    </row>
    <row r="162" s="409" customFormat="1" ht="12" spans="41:41">
      <c r="AO162" s="411"/>
    </row>
    <row r="163" s="409" customFormat="1" ht="12" spans="41:41">
      <c r="AO163" s="411"/>
    </row>
    <row r="164" s="409" customFormat="1" ht="12" spans="41:41">
      <c r="AO164" s="411"/>
    </row>
    <row r="165" s="409" customFormat="1" ht="12" spans="41:41">
      <c r="AO165" s="411"/>
    </row>
    <row r="166" s="409" customFormat="1" ht="12" spans="41:41">
      <c r="AO166" s="411"/>
    </row>
    <row r="167" s="409" customFormat="1" ht="12" spans="41:41">
      <c r="AO167" s="411"/>
    </row>
    <row r="168" s="409" customFormat="1" ht="12" spans="41:41">
      <c r="AO168" s="411"/>
    </row>
    <row r="169" s="409" customFormat="1" ht="12" spans="41:41">
      <c r="AO169" s="411"/>
    </row>
    <row r="170" s="409" customFormat="1" ht="12" spans="41:41">
      <c r="AO170" s="411"/>
    </row>
    <row r="171" s="409" customFormat="1" ht="12" spans="41:41">
      <c r="AO171" s="411"/>
    </row>
    <row r="172" s="409" customFormat="1" ht="12" spans="41:41">
      <c r="AO172" s="411"/>
    </row>
    <row r="173" s="409" customFormat="1" ht="12" spans="41:41">
      <c r="AO173" s="411"/>
    </row>
    <row r="174" s="409" customFormat="1" ht="12" spans="41:41">
      <c r="AO174" s="411"/>
    </row>
    <row r="175" s="409" customFormat="1" ht="12" spans="41:41">
      <c r="AO175" s="411"/>
    </row>
    <row r="176" s="409" customFormat="1" ht="12" spans="41:41">
      <c r="AO176" s="411"/>
    </row>
    <row r="177" s="409" customFormat="1" ht="12" spans="41:41">
      <c r="AO177" s="411"/>
    </row>
    <row r="178" s="409" customFormat="1" ht="12" spans="41:41">
      <c r="AO178" s="411"/>
    </row>
    <row r="179" s="409" customFormat="1" ht="12" spans="41:41">
      <c r="AO179" s="411"/>
    </row>
    <row r="180" s="409" customFormat="1" ht="12" spans="41:41">
      <c r="AO180" s="411"/>
    </row>
    <row r="181" s="409" customFormat="1" ht="12" spans="41:41">
      <c r="AO181" s="411"/>
    </row>
    <row r="182" s="409" customFormat="1" ht="12" spans="41:41">
      <c r="AO182" s="411"/>
    </row>
    <row r="183" s="409" customFormat="1" ht="12" spans="41:41">
      <c r="AO183" s="411"/>
    </row>
    <row r="184" s="409" customFormat="1" ht="12" spans="41:41">
      <c r="AO184" s="411"/>
    </row>
    <row r="185" s="409" customFormat="1" ht="12" spans="41:41">
      <c r="AO185" s="411"/>
    </row>
    <row r="186" s="409" customFormat="1" ht="12" spans="41:41">
      <c r="AO186" s="411"/>
    </row>
    <row r="187" s="409" customFormat="1" ht="12" spans="41:41">
      <c r="AO187" s="411"/>
    </row>
    <row r="188" s="409" customFormat="1" ht="12" spans="41:41">
      <c r="AO188" s="411"/>
    </row>
    <row r="189" s="409" customFormat="1" ht="12" spans="41:41">
      <c r="AO189" s="411"/>
    </row>
    <row r="190" s="409" customFormat="1" ht="12" spans="41:41">
      <c r="AO190" s="411"/>
    </row>
    <row r="191" s="409" customFormat="1" ht="12" spans="41:41">
      <c r="AO191" s="411"/>
    </row>
    <row r="192" s="409" customFormat="1" ht="12" spans="41:41">
      <c r="AO192" s="411"/>
    </row>
    <row r="193" s="409" customFormat="1" ht="12" spans="41:41">
      <c r="AO193" s="411"/>
    </row>
    <row r="194" s="409" customFormat="1" ht="12" spans="41:41">
      <c r="AO194" s="411"/>
    </row>
    <row r="195" s="409" customFormat="1" ht="12" spans="41:41">
      <c r="AO195" s="411"/>
    </row>
    <row r="196" s="409" customFormat="1" ht="12" spans="41:41">
      <c r="AO196" s="411"/>
    </row>
    <row r="197" s="409" customFormat="1" ht="12" spans="41:41">
      <c r="AO197" s="411"/>
    </row>
  </sheetData>
  <mergeCells count="131">
    <mergeCell ref="A8:F8"/>
    <mergeCell ref="G8:M8"/>
    <mergeCell ref="N8:O8"/>
    <mergeCell ref="P8:Z8"/>
    <mergeCell ref="A9:K9"/>
    <mergeCell ref="L9:N9"/>
    <mergeCell ref="O9:Q9"/>
    <mergeCell ref="R9:W9"/>
    <mergeCell ref="X9:AA9"/>
    <mergeCell ref="AB9:AF9"/>
    <mergeCell ref="AG9:AH9"/>
    <mergeCell ref="AI9:AO9"/>
    <mergeCell ref="A10:F10"/>
    <mergeCell ref="G10:P10"/>
    <mergeCell ref="Q10:X10"/>
    <mergeCell ref="Y10:AO10"/>
    <mergeCell ref="A11:D11"/>
    <mergeCell ref="E11:P11"/>
    <mergeCell ref="Z11:AK11"/>
    <mergeCell ref="A15:J15"/>
    <mergeCell ref="AF18:AG18"/>
    <mergeCell ref="AK18:AM18"/>
    <mergeCell ref="A22:AO22"/>
    <mergeCell ref="A23:AO23"/>
    <mergeCell ref="A24:AO24"/>
    <mergeCell ref="A25:AO25"/>
    <mergeCell ref="A26:AO26"/>
    <mergeCell ref="A27:AO27"/>
    <mergeCell ref="A28:M28"/>
    <mergeCell ref="D29:H29"/>
    <mergeCell ref="I29:L29"/>
    <mergeCell ref="M29:Q29"/>
    <mergeCell ref="T29:Y29"/>
    <mergeCell ref="Z29:AA29"/>
    <mergeCell ref="AB29:AG29"/>
    <mergeCell ref="D30:H30"/>
    <mergeCell ref="I30:L30"/>
    <mergeCell ref="M30:Q30"/>
    <mergeCell ref="T30:Y30"/>
    <mergeCell ref="Z30:AA30"/>
    <mergeCell ref="AB30:AG30"/>
    <mergeCell ref="D31:H31"/>
    <mergeCell ref="I31:L31"/>
    <mergeCell ref="M31:Q31"/>
    <mergeCell ref="T31:Y31"/>
    <mergeCell ref="Z31:AA31"/>
    <mergeCell ref="AB31:AG31"/>
    <mergeCell ref="J32:K32"/>
    <mergeCell ref="X32:Y32"/>
    <mergeCell ref="A34:AO34"/>
    <mergeCell ref="S39:Y39"/>
    <mergeCell ref="H48:L48"/>
    <mergeCell ref="K64:Q64"/>
    <mergeCell ref="B68:N68"/>
    <mergeCell ref="O68:W68"/>
    <mergeCell ref="G75:M75"/>
    <mergeCell ref="G79:M79"/>
    <mergeCell ref="A81:AO81"/>
    <mergeCell ref="B82:AO82"/>
    <mergeCell ref="B83:AJ83"/>
    <mergeCell ref="B84:AO84"/>
    <mergeCell ref="B85:H85"/>
    <mergeCell ref="A86:AO86"/>
    <mergeCell ref="A87:AO87"/>
    <mergeCell ref="A88:N88"/>
    <mergeCell ref="E90:K90"/>
    <mergeCell ref="N90:V90"/>
    <mergeCell ref="W90:AE90"/>
    <mergeCell ref="N92:AF92"/>
    <mergeCell ref="AG92:AK92"/>
    <mergeCell ref="AH94:AO94"/>
    <mergeCell ref="A36:A38"/>
    <mergeCell ref="A40:A42"/>
    <mergeCell ref="A45:A47"/>
    <mergeCell ref="A49:A51"/>
    <mergeCell ref="A53:A55"/>
    <mergeCell ref="A56:A60"/>
    <mergeCell ref="A61:A63"/>
    <mergeCell ref="A65:A67"/>
    <mergeCell ref="A69:A71"/>
    <mergeCell ref="X16:X18"/>
    <mergeCell ref="Y16:Y18"/>
    <mergeCell ref="AA16:AA18"/>
    <mergeCell ref="AI36:AJ38"/>
    <mergeCell ref="AM36:AN38"/>
    <mergeCell ref="A76:B78"/>
    <mergeCell ref="AI76:AJ78"/>
    <mergeCell ref="AM76:AN78"/>
    <mergeCell ref="AI69:AJ71"/>
    <mergeCell ref="AM69:AN71"/>
    <mergeCell ref="A72:B74"/>
    <mergeCell ref="AI72:AJ74"/>
    <mergeCell ref="AM72:AN74"/>
    <mergeCell ref="B69:Q71"/>
    <mergeCell ref="C72:W74"/>
    <mergeCell ref="B57:AB59"/>
    <mergeCell ref="AI57:AJ59"/>
    <mergeCell ref="AM57:AN59"/>
    <mergeCell ref="B40:AA42"/>
    <mergeCell ref="C76:AG78"/>
    <mergeCell ref="C1:AO6"/>
    <mergeCell ref="A12:E14"/>
    <mergeCell ref="F12:G13"/>
    <mergeCell ref="H12:R14"/>
    <mergeCell ref="Y12:AI14"/>
    <mergeCell ref="A16:V18"/>
    <mergeCell ref="AB16:AE18"/>
    <mergeCell ref="AF16:AH17"/>
    <mergeCell ref="AI16:AJ18"/>
    <mergeCell ref="AK16:AO17"/>
    <mergeCell ref="AM40:AN41"/>
    <mergeCell ref="AI45:AJ47"/>
    <mergeCell ref="AM45:AN47"/>
    <mergeCell ref="AI49:AJ51"/>
    <mergeCell ref="AM49:AN51"/>
    <mergeCell ref="B65:T67"/>
    <mergeCell ref="B36:AA38"/>
    <mergeCell ref="AI40:AJ42"/>
    <mergeCell ref="AI65:AJ67"/>
    <mergeCell ref="AM65:AN67"/>
    <mergeCell ref="AI53:AJ55"/>
    <mergeCell ref="AM53:AN55"/>
    <mergeCell ref="B53:U55"/>
    <mergeCell ref="B49:V51"/>
    <mergeCell ref="B45:AC47"/>
    <mergeCell ref="B61:AG63"/>
    <mergeCell ref="AI61:AJ63"/>
    <mergeCell ref="AM61:AN63"/>
    <mergeCell ref="A19:Z21"/>
    <mergeCell ref="AC19:AD21"/>
    <mergeCell ref="AG19:AO21"/>
  </mergeCells>
  <pageMargins left="0.707638888888889" right="0.707638888888889" top="0.747916666666667" bottom="0.747916666666667" header="0.313888888888889" footer="0.313888888888889"/>
  <pageSetup paperSize="9" firstPageNumber="17" orientation="portrait" useFirstPageNumber="1"/>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6">
    <tabColor rgb="FFFF0000"/>
  </sheetPr>
  <dimension ref="B1:M30"/>
  <sheetViews>
    <sheetView workbookViewId="0">
      <selection activeCell="B6" sqref="B6:C6"/>
    </sheetView>
  </sheetViews>
  <sheetFormatPr defaultColWidth="9" defaultRowHeight="11.25"/>
  <cols>
    <col min="1" max="1" width="15" style="391" customWidth="1"/>
    <col min="2" max="2" width="4" style="391" customWidth="1"/>
    <col min="3" max="3" width="9.44166666666667" style="391" customWidth="1"/>
    <col min="4" max="4" width="9.33333333333333" style="391" customWidth="1"/>
    <col min="5" max="5" width="12" style="391" customWidth="1"/>
    <col min="6" max="6" width="10" style="391" customWidth="1"/>
    <col min="7" max="7" width="5.66666666666667" style="391" customWidth="1"/>
    <col min="8" max="8" width="11.3333333333333" style="391" customWidth="1"/>
    <col min="9" max="9" width="8.88333333333333" style="391" customWidth="1"/>
    <col min="10" max="10" width="10.6666666666667" style="391" customWidth="1"/>
    <col min="11" max="16384" width="9" style="391"/>
  </cols>
  <sheetData>
    <row r="1" ht="12" customHeight="1"/>
    <row r="2" ht="36" customHeight="1"/>
    <row r="3" ht="12" customHeight="1" spans="2:10">
      <c r="B3" s="392" t="s">
        <v>466</v>
      </c>
      <c r="C3" s="393"/>
      <c r="D3" s="393"/>
      <c r="E3" s="392" t="s">
        <v>467</v>
      </c>
      <c r="F3" s="393"/>
      <c r="G3" s="393">
        <v>2007</v>
      </c>
      <c r="H3" s="393"/>
      <c r="I3" s="393"/>
      <c r="J3" s="392" t="s">
        <v>468</v>
      </c>
    </row>
    <row r="4" ht="12" customHeight="1" spans="2:10">
      <c r="B4" s="394" t="s">
        <v>66</v>
      </c>
      <c r="C4" s="394"/>
      <c r="D4" s="393"/>
      <c r="E4" s="395" t="s">
        <v>469</v>
      </c>
      <c r="F4" s="393"/>
      <c r="G4" s="393"/>
      <c r="H4" s="393"/>
      <c r="I4" s="393"/>
      <c r="J4" s="393" t="s">
        <v>470</v>
      </c>
    </row>
    <row r="5" ht="24" customHeight="1" spans="2:10">
      <c r="B5" s="393" t="s">
        <v>471</v>
      </c>
      <c r="C5" s="393"/>
      <c r="D5" s="393"/>
      <c r="E5" s="393">
        <v>15257</v>
      </c>
      <c r="F5" s="393"/>
      <c r="G5" s="393">
        <v>7877</v>
      </c>
      <c r="H5" s="393"/>
      <c r="I5" s="393"/>
      <c r="J5" s="393" t="s">
        <v>472</v>
      </c>
    </row>
    <row r="6" ht="24" customHeight="1" spans="2:10">
      <c r="B6" s="393" t="s">
        <v>473</v>
      </c>
      <c r="C6" s="393"/>
      <c r="D6" s="393"/>
      <c r="E6" s="393">
        <v>142</v>
      </c>
      <c r="F6" s="393"/>
      <c r="G6" s="393">
        <v>22.6</v>
      </c>
      <c r="H6" s="393"/>
      <c r="I6" s="393"/>
      <c r="J6" s="393">
        <v>11.2</v>
      </c>
    </row>
    <row r="7" ht="24" customHeight="1" spans="2:10">
      <c r="B7" s="393">
        <v>44</v>
      </c>
      <c r="C7" s="393"/>
      <c r="D7" s="393"/>
      <c r="E7" s="393">
        <v>8.2</v>
      </c>
      <c r="F7" s="393"/>
      <c r="G7" s="393">
        <v>180</v>
      </c>
      <c r="H7" s="393"/>
      <c r="I7" s="393"/>
      <c r="J7" s="393" t="s">
        <v>474</v>
      </c>
    </row>
    <row r="8" ht="24" customHeight="1" spans="2:10">
      <c r="B8" s="393"/>
      <c r="C8" s="393"/>
      <c r="D8" s="393"/>
      <c r="E8" s="393">
        <v>1</v>
      </c>
      <c r="F8" s="393"/>
      <c r="G8" s="393" t="s">
        <v>475</v>
      </c>
      <c r="H8" s="393"/>
      <c r="I8" s="393"/>
      <c r="J8" s="393"/>
    </row>
    <row r="9" ht="48.9" customHeight="1" spans="2:10">
      <c r="B9" s="393"/>
      <c r="C9" s="393"/>
      <c r="D9" s="393"/>
      <c r="E9" s="393"/>
      <c r="F9" s="393"/>
      <c r="G9" s="393"/>
      <c r="H9" s="393"/>
      <c r="I9" s="393"/>
      <c r="J9" s="393"/>
    </row>
    <row r="10" ht="24" customHeight="1" spans="2:10">
      <c r="B10" s="393"/>
      <c r="C10" s="396">
        <v>42727</v>
      </c>
      <c r="D10" s="397">
        <v>42908</v>
      </c>
      <c r="E10" s="396"/>
      <c r="F10" s="393"/>
      <c r="G10" s="393"/>
      <c r="H10" s="396">
        <v>41575</v>
      </c>
      <c r="I10" s="396" t="s">
        <v>476</v>
      </c>
      <c r="J10" s="396" t="s">
        <v>476</v>
      </c>
    </row>
    <row r="11" ht="24" customHeight="1" spans="2:10">
      <c r="B11" s="393"/>
      <c r="C11" s="396">
        <v>39776</v>
      </c>
      <c r="D11" s="396" t="s">
        <v>476</v>
      </c>
      <c r="E11" s="396"/>
      <c r="F11" s="393"/>
      <c r="G11" s="393"/>
      <c r="H11" s="396"/>
      <c r="I11" s="396"/>
      <c r="J11" s="396"/>
    </row>
    <row r="12" ht="24" customHeight="1" spans="2:10">
      <c r="B12" s="393"/>
      <c r="C12" s="396">
        <v>41596</v>
      </c>
      <c r="D12" s="396">
        <v>43456</v>
      </c>
      <c r="E12" s="397">
        <v>42747</v>
      </c>
      <c r="F12" s="393"/>
      <c r="G12" s="393"/>
      <c r="H12" s="396"/>
      <c r="I12" s="396"/>
      <c r="J12" s="396"/>
    </row>
    <row r="13" ht="24" customHeight="1" spans="2:10">
      <c r="B13" s="393"/>
      <c r="C13" s="396">
        <v>41596</v>
      </c>
      <c r="D13" s="396">
        <v>43456</v>
      </c>
      <c r="E13" s="397">
        <v>42747</v>
      </c>
      <c r="F13" s="393"/>
      <c r="G13" s="393"/>
      <c r="H13" s="396"/>
      <c r="I13" s="396"/>
      <c r="J13" s="396"/>
    </row>
    <row r="14" ht="24" customHeight="1" spans="2:10">
      <c r="B14" s="393"/>
      <c r="C14" s="396">
        <v>42797</v>
      </c>
      <c r="D14" s="396">
        <v>43456</v>
      </c>
      <c r="E14" s="397">
        <v>42747</v>
      </c>
      <c r="F14" s="393"/>
      <c r="G14" s="393"/>
      <c r="H14" s="398">
        <v>42745</v>
      </c>
      <c r="I14" s="398">
        <v>43151</v>
      </c>
      <c r="J14" s="396"/>
    </row>
    <row r="15" ht="24" customHeight="1" spans="2:10">
      <c r="B15" s="393"/>
      <c r="C15" s="396">
        <v>41596</v>
      </c>
      <c r="D15" s="396">
        <v>43456</v>
      </c>
      <c r="E15" s="397">
        <v>42747</v>
      </c>
      <c r="F15" s="393"/>
      <c r="G15" s="393"/>
      <c r="H15" s="396">
        <v>42262</v>
      </c>
      <c r="I15" s="396">
        <v>42858</v>
      </c>
      <c r="J15" s="396">
        <v>42507</v>
      </c>
    </row>
    <row r="16" ht="24" customHeight="1" spans="2:10">
      <c r="B16" s="393"/>
      <c r="C16" s="396">
        <v>41596</v>
      </c>
      <c r="D16" s="396">
        <v>43456</v>
      </c>
      <c r="E16" s="397">
        <v>42747</v>
      </c>
      <c r="F16" s="393"/>
      <c r="G16" s="393"/>
      <c r="H16" s="396">
        <v>42712</v>
      </c>
      <c r="I16" s="396">
        <v>42894</v>
      </c>
      <c r="J16" s="396"/>
    </row>
    <row r="17" ht="24" customHeight="1" spans="2:13">
      <c r="B17" s="393"/>
      <c r="C17" s="396" t="s">
        <v>476</v>
      </c>
      <c r="D17" s="396"/>
      <c r="E17" s="396"/>
      <c r="F17" s="393"/>
      <c r="G17" s="393"/>
      <c r="H17" s="396">
        <v>42712</v>
      </c>
      <c r="I17" s="396">
        <v>42894</v>
      </c>
      <c r="J17" s="396"/>
    </row>
    <row r="18" ht="24" customHeight="1" spans="2:13">
      <c r="B18" s="393"/>
      <c r="C18" s="396" t="s">
        <v>476</v>
      </c>
      <c r="D18" s="396"/>
      <c r="E18" s="396"/>
      <c r="F18" s="393"/>
      <c r="G18" s="393"/>
      <c r="H18" s="393"/>
      <c r="I18" s="393">
        <v>28</v>
      </c>
      <c r="J18" s="393"/>
    </row>
    <row r="19" ht="24" customHeight="1" spans="2:13">
      <c r="B19" s="393"/>
      <c r="C19" s="396" t="s">
        <v>476</v>
      </c>
      <c r="D19" s="398"/>
      <c r="E19" s="398"/>
      <c r="H19" s="399" t="s">
        <v>477</v>
      </c>
      <c r="I19" s="398">
        <v>42654</v>
      </c>
      <c r="J19" s="400" t="s">
        <v>478</v>
      </c>
    </row>
    <row r="20" ht="48.75" customHeight="1" spans="2:13">
      <c r="B20" s="393"/>
      <c r="C20" s="393"/>
      <c r="D20" s="393"/>
      <c r="E20" s="393"/>
      <c r="F20" s="393"/>
      <c r="G20" s="393"/>
      <c r="H20" s="393"/>
      <c r="I20" s="393"/>
      <c r="J20" s="393"/>
    </row>
    <row r="21" ht="24" customHeight="1" spans="2:13">
      <c r="B21" s="401"/>
      <c r="C21" s="393">
        <v>998959</v>
      </c>
      <c r="D21" s="393"/>
      <c r="E21" s="396">
        <v>43549</v>
      </c>
      <c r="F21" s="393"/>
      <c r="G21" s="401"/>
      <c r="H21" s="393">
        <v>1234567</v>
      </c>
      <c r="I21" s="393"/>
      <c r="J21" s="396">
        <v>44297</v>
      </c>
      <c r="M21" s="398"/>
    </row>
    <row r="22" ht="24" customHeight="1" spans="2:13">
      <c r="B22" s="401"/>
      <c r="C22" s="393">
        <v>1234567</v>
      </c>
      <c r="D22" s="393"/>
      <c r="E22" s="396">
        <v>44388</v>
      </c>
      <c r="F22" s="393"/>
      <c r="G22" s="401"/>
      <c r="H22" s="393">
        <v>1234567</v>
      </c>
      <c r="I22" s="393"/>
      <c r="J22" s="396">
        <v>44442</v>
      </c>
    </row>
    <row r="23" ht="24" customHeight="1" spans="2:13">
      <c r="B23" s="401"/>
      <c r="C23" s="393">
        <v>1234567</v>
      </c>
      <c r="D23" s="393"/>
      <c r="E23" s="397">
        <v>44481</v>
      </c>
      <c r="F23" s="393"/>
      <c r="G23" s="401"/>
      <c r="H23" s="393">
        <v>1234567</v>
      </c>
      <c r="I23" s="393"/>
      <c r="J23" s="397">
        <v>44353</v>
      </c>
    </row>
    <row r="24" ht="24" customHeight="1" spans="2:13">
      <c r="B24" s="401"/>
      <c r="C24" s="393">
        <v>1234567</v>
      </c>
      <c r="D24" s="393"/>
      <c r="E24" s="397">
        <v>44221</v>
      </c>
      <c r="F24" s="393"/>
      <c r="G24" s="401"/>
      <c r="H24" s="393"/>
      <c r="I24" s="393"/>
      <c r="J24" s="396"/>
    </row>
    <row r="25" ht="24" customHeight="1" spans="2:13">
      <c r="B25" s="401"/>
      <c r="C25" s="393">
        <v>998959</v>
      </c>
      <c r="D25" s="393"/>
      <c r="E25" s="396">
        <v>43549</v>
      </c>
      <c r="F25" s="393"/>
      <c r="G25" s="401"/>
      <c r="H25" s="393">
        <v>1234567</v>
      </c>
      <c r="I25" s="393"/>
      <c r="J25" s="397">
        <v>44481</v>
      </c>
    </row>
    <row r="26" ht="27" customHeight="1" spans="2:13">
      <c r="B26" s="393"/>
      <c r="C26" s="393"/>
      <c r="D26" s="393"/>
      <c r="E26" s="393"/>
      <c r="F26" s="393"/>
      <c r="G26" s="393"/>
      <c r="H26" s="393"/>
      <c r="I26" s="393"/>
      <c r="J26" s="393"/>
    </row>
    <row r="27" ht="26.25" customHeight="1" spans="2:13">
      <c r="B27" s="393"/>
      <c r="C27" s="402" t="s">
        <v>479</v>
      </c>
      <c r="D27" s="393"/>
      <c r="E27" s="393"/>
      <c r="F27" s="403">
        <v>42315</v>
      </c>
      <c r="G27" s="403"/>
      <c r="H27" s="404" t="s">
        <v>480</v>
      </c>
      <c r="I27" s="404"/>
      <c r="J27" s="402" t="s">
        <v>481</v>
      </c>
    </row>
    <row r="28" ht="26.25" customHeight="1" spans="2:13">
      <c r="B28" s="393"/>
      <c r="C28" s="393"/>
      <c r="D28" s="393"/>
      <c r="E28" s="393"/>
      <c r="F28" s="393"/>
      <c r="G28" s="393"/>
      <c r="H28" s="393"/>
      <c r="I28" s="393"/>
      <c r="J28" s="393"/>
    </row>
    <row r="29" ht="7.5" customHeight="1" spans="2:13">
      <c r="B29" s="393"/>
      <c r="C29" s="393"/>
      <c r="D29" s="393"/>
      <c r="E29" s="393"/>
      <c r="F29" s="393"/>
      <c r="G29" s="393"/>
      <c r="H29" s="393"/>
      <c r="I29" s="393"/>
      <c r="J29" s="393"/>
    </row>
    <row r="30" ht="26.25" customHeight="1" spans="2:13">
      <c r="B30" s="393"/>
      <c r="C30" s="393"/>
      <c r="D30" s="393"/>
      <c r="E30" s="393"/>
      <c r="F30" s="393"/>
      <c r="G30" s="396"/>
      <c r="H30" s="396"/>
      <c r="I30" s="396"/>
      <c r="J30" s="396"/>
    </row>
  </sheetData>
  <mergeCells count="24">
    <mergeCell ref="B3:C3"/>
    <mergeCell ref="B4:C4"/>
    <mergeCell ref="B5:C5"/>
    <mergeCell ref="G5:H5"/>
    <mergeCell ref="B6:C6"/>
    <mergeCell ref="G6:H6"/>
    <mergeCell ref="B7:C7"/>
    <mergeCell ref="G7:H7"/>
    <mergeCell ref="B8:C8"/>
    <mergeCell ref="G8:J8"/>
    <mergeCell ref="C21:D21"/>
    <mergeCell ref="H21:I21"/>
    <mergeCell ref="C22:D22"/>
    <mergeCell ref="H22:I22"/>
    <mergeCell ref="C23:D23"/>
    <mergeCell ref="H23:I23"/>
    <mergeCell ref="C24:D24"/>
    <mergeCell ref="H24:I24"/>
    <mergeCell ref="C25:D25"/>
    <mergeCell ref="H25:I25"/>
    <mergeCell ref="F27:G27"/>
    <mergeCell ref="H27:I27"/>
    <mergeCell ref="G30:J30"/>
    <mergeCell ref="G3:H4"/>
  </mergeCells>
  <conditionalFormatting sqref="I10">
    <cfRule type="cellIs" dxfId="2" priority="520" operator="lessThan">
      <formula>$G$30</formula>
    </cfRule>
  </conditionalFormatting>
  <conditionalFormatting sqref="I14">
    <cfRule type="cellIs" dxfId="2" priority="518" operator="lessThan">
      <formula>$G$30</formula>
    </cfRule>
  </conditionalFormatting>
  <conditionalFormatting sqref="D19">
    <cfRule type="cellIs" dxfId="2" priority="517" operator="lessThan">
      <formula>$G$30</formula>
    </cfRule>
  </conditionalFormatting>
  <conditionalFormatting sqref="E25">
    <cfRule type="cellIs" dxfId="2" priority="44" operator="lessThan">
      <formula>TODAY()</formula>
    </cfRule>
  </conditionalFormatting>
  <conditionalFormatting sqref="J25">
    <cfRule type="cellIs" dxfId="2" priority="1" operator="lessThan">
      <formula>TODAY()</formula>
    </cfRule>
  </conditionalFormatting>
  <conditionalFormatting sqref="D10:D19 I11:I17">
    <cfRule type="cellIs" dxfId="2" priority="524" operator="lessThan">
      <formula>$G$30</formula>
    </cfRule>
  </conditionalFormatting>
  <conditionalFormatting sqref="D10:D19 I10:I17">
    <cfRule type="cellIs" dxfId="2" priority="522" operator="lessThan">
      <formula>$G$30</formula>
    </cfRule>
  </conditionalFormatting>
  <conditionalFormatting sqref="I17 I10:I12 I14:I15 D10:D19">
    <cfRule type="cellIs" dxfId="2" priority="564" operator="lessThan">
      <formula>$G$30</formula>
    </cfRule>
  </conditionalFormatting>
  <conditionalFormatting sqref="J21:J24 E21:E24">
    <cfRule type="cellIs" dxfId="2" priority="521" operator="lessThan">
      <formula>TODAY()</formula>
    </cfRule>
  </conditionalFormatting>
  <pageMargins left="0.25" right="0.25" top="0.75" bottom="0.75" header="0.3" footer="0.3"/>
  <pageSetup paperSize="9" scale="98"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7">
    <tabColor rgb="FFFFFF00"/>
  </sheetPr>
  <dimension ref="A1:N31"/>
  <sheetViews>
    <sheetView view="pageBreakPreview" zoomScaleNormal="100" workbookViewId="0">
      <selection activeCell="K19" sqref="K19:K22"/>
    </sheetView>
  </sheetViews>
  <sheetFormatPr defaultColWidth="9" defaultRowHeight="13.5"/>
  <cols>
    <col min="1" max="2" width="10" style="245" customWidth="1"/>
    <col min="3" max="3" width="10.4416666666667" style="245" customWidth="1"/>
    <col min="4" max="4" width="10.1083333333333" style="245" customWidth="1"/>
    <col min="5" max="5" width="10" style="245" customWidth="1"/>
    <col min="6" max="6" width="6.33333333333333" style="245" customWidth="1"/>
    <col min="7" max="7" width="7" style="245" customWidth="1"/>
    <col min="8" max="8" width="6.33333333333333" style="245" customWidth="1"/>
    <col min="9" max="9" width="7.10833333333333" style="245" customWidth="1"/>
    <col min="10" max="10" width="11.3333333333333" style="245" customWidth="1"/>
    <col min="11" max="11" width="9.33333333333333" style="245" customWidth="1"/>
    <col min="12" max="12" width="12.4416666666667" style="245" customWidth="1"/>
    <col min="13" max="13" width="10" style="245" customWidth="1"/>
    <col min="14" max="14" width="10.2166666666667" style="245" customWidth="1"/>
    <col min="15" max="16384" width="9" style="245"/>
  </cols>
  <sheetData>
    <row r="1" ht="19.5" customHeight="1" spans="1:14">
      <c r="D1" s="352" t="s">
        <v>482</v>
      </c>
      <c r="F1" s="352"/>
      <c r="G1" s="352"/>
      <c r="H1" s="352"/>
      <c r="I1" s="352"/>
      <c r="J1" s="352"/>
      <c r="K1" s="352"/>
      <c r="L1" s="352"/>
    </row>
    <row r="2" ht="18" customHeight="1" spans="1:14">
      <c r="C2" s="353" t="s">
        <v>483</v>
      </c>
      <c r="E2" s="353"/>
      <c r="F2" s="353"/>
      <c r="G2" s="353"/>
      <c r="H2" s="353"/>
      <c r="I2" s="353"/>
      <c r="J2" s="353"/>
      <c r="K2" s="353"/>
      <c r="L2" s="353"/>
      <c r="M2" s="353"/>
    </row>
    <row r="4" ht="18" customHeight="1" spans="1:14">
      <c r="F4" s="352" t="s">
        <v>484</v>
      </c>
      <c r="H4" s="352"/>
      <c r="I4" s="352"/>
    </row>
    <row r="5" ht="16.5" customHeight="1" spans="1:14">
      <c r="E5" s="353" t="s">
        <v>485</v>
      </c>
      <c r="G5" s="353"/>
      <c r="H5" s="353"/>
      <c r="I5" s="353"/>
      <c r="J5" s="353"/>
    </row>
    <row r="7" spans="1:14">
      <c r="J7" s="354"/>
      <c r="K7" s="354"/>
    </row>
    <row r="8" spans="1:14">
      <c r="A8" s="355" t="s">
        <v>486</v>
      </c>
      <c r="B8" s="356" t="str">
        <f>'Gen Inb'!I6</f>
        <v>环球01 </v>
      </c>
      <c r="C8" s="356"/>
      <c r="D8" s="355" t="s">
        <v>487</v>
      </c>
      <c r="E8" s="356" t="str">
        <f>'Gen Inb'!F8</f>
        <v>利比里亚</v>
      </c>
      <c r="F8" s="356"/>
      <c r="G8" s="356"/>
      <c r="H8" s="357" t="s">
        <v>488</v>
      </c>
      <c r="I8" s="357"/>
      <c r="J8" s="356" t="str">
        <f>'Gen Inb'!S6</f>
        <v>南沙新港</v>
      </c>
      <c r="K8" s="356"/>
      <c r="L8" s="355" t="s">
        <v>489</v>
      </c>
      <c r="M8" s="358">
        <f>'Gen Inb'!X6</f>
        <v>46219</v>
      </c>
      <c r="N8" s="359"/>
    </row>
    <row r="9" spans="1:14">
      <c r="A9" s="360" t="s">
        <v>490</v>
      </c>
      <c r="B9" s="361" t="str">
        <f>'Gen Inb'!I7</f>
        <v>GLOBAO 01</v>
      </c>
      <c r="C9" s="361"/>
      <c r="D9" s="360" t="s">
        <v>338</v>
      </c>
      <c r="E9" s="361" t="str">
        <f>'Gen Inb'!F9</f>
        <v>LIBERIA</v>
      </c>
      <c r="F9" s="361"/>
      <c r="G9" s="361"/>
      <c r="H9" s="362" t="s">
        <v>491</v>
      </c>
      <c r="I9" s="362"/>
      <c r="J9" s="361" t="str">
        <f>'Gen Inb'!S7</f>
        <v>NANSHA NEW PORT</v>
      </c>
      <c r="K9" s="361"/>
      <c r="L9" s="363" t="s">
        <v>492</v>
      </c>
      <c r="M9" s="364"/>
      <c r="N9" s="364"/>
    </row>
    <row r="10" spans="1:14">
      <c r="B10" s="365"/>
      <c r="C10" s="365"/>
      <c r="E10" s="354"/>
      <c r="F10" s="354"/>
      <c r="G10" s="354"/>
    </row>
    <row r="11" spans="1:14">
      <c r="A11" s="355" t="s">
        <v>493</v>
      </c>
      <c r="B11" s="366" t="str">
        <f>'Parts A'!G8</f>
        <v>TS LINE</v>
      </c>
      <c r="C11" s="366"/>
      <c r="D11" s="355" t="s">
        <v>494</v>
      </c>
      <c r="E11" s="367">
        <f>'Gen Inb'!P12</f>
        <v>0</v>
      </c>
      <c r="F11" s="367"/>
      <c r="G11" s="367"/>
      <c r="H11" s="355" t="s">
        <v>495</v>
      </c>
      <c r="K11" s="359">
        <f>J23+J24+J25+J26+J27+J28</f>
        <v>0</v>
      </c>
      <c r="L11" s="357" t="s">
        <v>496</v>
      </c>
      <c r="M11" s="357"/>
      <c r="N11" s="359">
        <v>20</v>
      </c>
    </row>
    <row r="12" spans="1:14">
      <c r="A12" s="360" t="s">
        <v>497</v>
      </c>
      <c r="B12" s="368"/>
      <c r="C12" s="368"/>
      <c r="D12" s="360" t="s">
        <v>498</v>
      </c>
      <c r="E12" s="369"/>
      <c r="F12" s="369"/>
      <c r="G12" s="369"/>
      <c r="H12" s="362" t="s">
        <v>499</v>
      </c>
      <c r="I12" s="362"/>
      <c r="J12" s="362"/>
      <c r="K12" s="364"/>
      <c r="L12" s="362" t="s">
        <v>500</v>
      </c>
      <c r="M12" s="362"/>
      <c r="N12" s="364"/>
    </row>
    <row r="14" spans="1:14">
      <c r="A14" s="355" t="s">
        <v>501</v>
      </c>
      <c r="H14" s="370"/>
      <c r="I14" s="355" t="s">
        <v>502</v>
      </c>
    </row>
    <row r="15" spans="1:14">
      <c r="A15" s="371" t="s">
        <v>503</v>
      </c>
      <c r="H15" s="370"/>
      <c r="I15" s="355" t="s">
        <v>504</v>
      </c>
    </row>
    <row r="16" spans="1:14">
      <c r="A16" s="372" t="s">
        <v>505</v>
      </c>
      <c r="B16" s="373" t="s">
        <v>506</v>
      </c>
      <c r="C16" s="374"/>
      <c r="D16" s="375"/>
      <c r="E16" s="373" t="s">
        <v>507</v>
      </c>
      <c r="F16" s="374"/>
      <c r="G16" s="374"/>
      <c r="H16" s="374"/>
      <c r="I16" s="374"/>
      <c r="J16" s="374"/>
      <c r="K16" s="375"/>
      <c r="L16" s="373" t="s">
        <v>508</v>
      </c>
      <c r="M16" s="374"/>
      <c r="N16" s="375"/>
    </row>
    <row r="17" spans="1:14">
      <c r="A17" s="376"/>
      <c r="B17" s="377"/>
      <c r="C17" s="338"/>
      <c r="D17" s="341"/>
      <c r="E17" s="377"/>
      <c r="F17" s="338"/>
      <c r="G17" s="338"/>
      <c r="H17" s="338"/>
      <c r="I17" s="338"/>
      <c r="J17" s="338"/>
      <c r="K17" s="341"/>
      <c r="L17" s="377"/>
      <c r="M17" s="338"/>
      <c r="N17" s="341"/>
    </row>
    <row r="18" spans="1:14">
      <c r="A18" s="376"/>
      <c r="B18" s="378"/>
      <c r="C18" s="342"/>
      <c r="D18" s="345"/>
      <c r="E18" s="378"/>
      <c r="F18" s="342"/>
      <c r="G18" s="342"/>
      <c r="H18" s="342"/>
      <c r="I18" s="342"/>
      <c r="J18" s="342"/>
      <c r="K18" s="345"/>
      <c r="L18" s="378"/>
      <c r="M18" s="342"/>
      <c r="N18" s="345"/>
    </row>
    <row r="19" spans="1:14">
      <c r="A19" s="376"/>
      <c r="B19" s="372" t="s">
        <v>509</v>
      </c>
      <c r="C19" s="372" t="s">
        <v>510</v>
      </c>
      <c r="D19" s="372" t="s">
        <v>511</v>
      </c>
      <c r="E19" s="372" t="s">
        <v>512</v>
      </c>
      <c r="F19" s="373" t="s">
        <v>513</v>
      </c>
      <c r="G19" s="375"/>
      <c r="H19" s="373" t="s">
        <v>514</v>
      </c>
      <c r="I19" s="375"/>
      <c r="J19" s="372" t="s">
        <v>515</v>
      </c>
      <c r="K19" s="372" t="s">
        <v>516</v>
      </c>
      <c r="L19" s="372" t="s">
        <v>517</v>
      </c>
      <c r="M19" s="372" t="s">
        <v>518</v>
      </c>
      <c r="N19" s="372" t="s">
        <v>519</v>
      </c>
    </row>
    <row r="20" spans="1:14">
      <c r="A20" s="376"/>
      <c r="B20" s="379"/>
      <c r="C20" s="379"/>
      <c r="D20" s="379"/>
      <c r="E20" s="379"/>
      <c r="F20" s="378"/>
      <c r="G20" s="345"/>
      <c r="H20" s="378"/>
      <c r="I20" s="345"/>
      <c r="J20" s="379"/>
      <c r="K20" s="379"/>
      <c r="L20" s="379"/>
      <c r="M20" s="379"/>
      <c r="N20" s="379"/>
    </row>
    <row r="21" spans="1:14">
      <c r="A21" s="376"/>
      <c r="B21" s="379"/>
      <c r="C21" s="379"/>
      <c r="D21" s="379"/>
      <c r="E21" s="379"/>
      <c r="F21" s="372" t="s">
        <v>520</v>
      </c>
      <c r="G21" s="372" t="s">
        <v>521</v>
      </c>
      <c r="H21" s="372" t="s">
        <v>520</v>
      </c>
      <c r="I21" s="372" t="s">
        <v>521</v>
      </c>
      <c r="J21" s="379"/>
      <c r="K21" s="379"/>
      <c r="L21" s="379"/>
      <c r="M21" s="379"/>
      <c r="N21" s="379"/>
    </row>
    <row r="22" spans="1:14">
      <c r="A22" s="380"/>
      <c r="B22" s="381"/>
      <c r="C22" s="381"/>
      <c r="D22" s="381"/>
      <c r="E22" s="381"/>
      <c r="F22" s="381"/>
      <c r="G22" s="381"/>
      <c r="H22" s="381"/>
      <c r="I22" s="381"/>
      <c r="J22" s="381"/>
      <c r="K22" s="381"/>
      <c r="L22" s="381"/>
      <c r="M22" s="381"/>
      <c r="N22" s="381"/>
    </row>
    <row r="23" spans="1:14">
      <c r="A23" s="382"/>
      <c r="B23" s="383"/>
      <c r="C23" s="382"/>
      <c r="D23" s="382"/>
      <c r="E23" s="383"/>
      <c r="F23" s="382"/>
      <c r="G23" s="382"/>
      <c r="H23" s="382"/>
      <c r="I23" s="382"/>
      <c r="J23" s="382"/>
      <c r="K23" s="384"/>
      <c r="L23" s="382"/>
      <c r="M23" s="382"/>
      <c r="N23" s="382"/>
    </row>
    <row r="24" spans="1:14">
      <c r="A24" s="382"/>
      <c r="B24" s="383"/>
      <c r="C24" s="382"/>
      <c r="D24" s="382"/>
      <c r="E24" s="383"/>
      <c r="F24" s="382"/>
      <c r="G24" s="382"/>
      <c r="H24" s="382"/>
      <c r="I24" s="382"/>
      <c r="J24" s="382"/>
      <c r="K24" s="384"/>
      <c r="L24" s="382"/>
      <c r="M24" s="382"/>
      <c r="N24" s="382"/>
    </row>
    <row r="25" spans="1:14">
      <c r="A25" s="382"/>
      <c r="B25" s="383"/>
      <c r="C25" s="382"/>
      <c r="D25" s="382"/>
      <c r="E25" s="383"/>
      <c r="F25" s="382"/>
      <c r="G25" s="382"/>
      <c r="H25" s="382"/>
      <c r="I25" s="382"/>
      <c r="J25" s="382"/>
      <c r="K25" s="384"/>
      <c r="L25" s="382"/>
      <c r="M25" s="382"/>
      <c r="N25" s="382"/>
    </row>
    <row r="26" spans="1:14">
      <c r="A26" s="382"/>
      <c r="B26" s="383"/>
      <c r="C26" s="382"/>
      <c r="D26" s="382"/>
      <c r="E26" s="383"/>
      <c r="F26" s="382"/>
      <c r="G26" s="382"/>
      <c r="H26" s="382"/>
      <c r="I26" s="382"/>
      <c r="J26" s="382"/>
      <c r="K26" s="384"/>
      <c r="L26" s="382"/>
      <c r="M26" s="382"/>
      <c r="N26" s="382"/>
    </row>
    <row r="27" spans="1:14">
      <c r="A27" s="382"/>
      <c r="B27" s="383"/>
      <c r="C27" s="382"/>
      <c r="D27" s="382"/>
      <c r="E27" s="383"/>
      <c r="F27" s="382"/>
      <c r="G27" s="382"/>
      <c r="H27" s="382"/>
      <c r="I27" s="382"/>
      <c r="J27" s="382"/>
      <c r="K27" s="384"/>
      <c r="L27" s="382"/>
      <c r="M27" s="382"/>
      <c r="N27" s="382"/>
    </row>
    <row r="28" spans="1:14">
      <c r="A28" s="382"/>
      <c r="B28" s="383"/>
      <c r="C28" s="382"/>
      <c r="D28" s="382"/>
      <c r="E28" s="383"/>
      <c r="F28" s="382"/>
      <c r="G28" s="382"/>
      <c r="H28" s="382"/>
      <c r="I28" s="382"/>
      <c r="J28" s="382"/>
      <c r="K28" s="384"/>
      <c r="L28" s="382"/>
      <c r="M28" s="382"/>
      <c r="N28" s="382"/>
    </row>
    <row r="30" spans="1:14">
      <c r="B30" s="370" t="s">
        <v>522</v>
      </c>
      <c r="C30" s="385"/>
      <c r="D30" s="385"/>
      <c r="E30" s="370" t="s">
        <v>523</v>
      </c>
      <c r="F30" s="386">
        <f>'Gen Inb'!X6</f>
        <v>46219</v>
      </c>
      <c r="G30" s="387"/>
      <c r="H30" s="387"/>
      <c r="I30" s="387"/>
    </row>
    <row r="31" spans="1:14">
      <c r="B31" s="388" t="s">
        <v>524</v>
      </c>
      <c r="C31" s="389"/>
      <c r="D31" s="389"/>
      <c r="E31" s="370" t="s">
        <v>294</v>
      </c>
      <c r="F31" s="390"/>
      <c r="G31" s="390"/>
      <c r="H31" s="390"/>
      <c r="I31" s="390"/>
    </row>
  </sheetData>
  <mergeCells count="37">
    <mergeCell ref="B8:C8"/>
    <mergeCell ref="E8:G8"/>
    <mergeCell ref="H8:I8"/>
    <mergeCell ref="J8:K8"/>
    <mergeCell ref="B9:C9"/>
    <mergeCell ref="E9:G9"/>
    <mergeCell ref="H9:I9"/>
    <mergeCell ref="J9:K9"/>
    <mergeCell ref="L11:M11"/>
    <mergeCell ref="H12:J12"/>
    <mergeCell ref="L12:M12"/>
    <mergeCell ref="A16:A22"/>
    <mergeCell ref="B19:B22"/>
    <mergeCell ref="C19:C22"/>
    <mergeCell ref="D19:D22"/>
    <mergeCell ref="E19:E22"/>
    <mergeCell ref="F21:F22"/>
    <mergeCell ref="G21:G22"/>
    <mergeCell ref="H21:H22"/>
    <mergeCell ref="I21:I22"/>
    <mergeCell ref="J19:J22"/>
    <mergeCell ref="K11:K12"/>
    <mergeCell ref="K19:K22"/>
    <mergeCell ref="L19:L22"/>
    <mergeCell ref="M19:M22"/>
    <mergeCell ref="N11:N12"/>
    <mergeCell ref="N19:N22"/>
    <mergeCell ref="C30:D31"/>
    <mergeCell ref="F30:I31"/>
    <mergeCell ref="M8:N9"/>
    <mergeCell ref="B11:C12"/>
    <mergeCell ref="E11:G12"/>
    <mergeCell ref="L16:N18"/>
    <mergeCell ref="F19:G20"/>
    <mergeCell ref="H19:I20"/>
    <mergeCell ref="B16:D18"/>
    <mergeCell ref="E16:K18"/>
  </mergeCells>
  <printOptions horizontalCentered="1"/>
  <pageMargins left="0.313888888888889" right="0.313888888888889" top="0.471527777777778" bottom="0.471527777777778" header="0.15625" footer="0.15625"/>
  <pageSetup paperSize="9" orientation="landscape"/>
  <headerFooter/>
  <drawing r:id="rId1"/>
  <legacyDrawing r:id="rId2"/>
  <mc:AlternateContent xmlns:mc="http://schemas.openxmlformats.org/markup-compatibility/2006">
    <mc:Choice Requires="x14">
      <controls>
        <mc:AlternateContent xmlns:mc="http://schemas.openxmlformats.org/markup-compatibility/2006">
          <mc:Choice Requires="x14">
            <control shapeId="37889" name="Check Box 1" r:id="rId3">
              <controlPr defaultSize="0">
                <anchor moveWithCells="1">
                  <from>
                    <xdr:col>7</xdr:col>
                    <xdr:colOff>236220</xdr:colOff>
                    <xdr:row>12</xdr:row>
                    <xdr:rowOff>160020</xdr:rowOff>
                  </from>
                  <to>
                    <xdr:col>8</xdr:col>
                    <xdr:colOff>60960</xdr:colOff>
                    <xdr:row>14</xdr:row>
                    <xdr:rowOff>30480</xdr:rowOff>
                  </to>
                </anchor>
              </controlPr>
            </control>
          </mc:Choice>
        </mc:AlternateContent>
        <mc:AlternateContent xmlns:mc="http://schemas.openxmlformats.org/markup-compatibility/2006">
          <mc:Choice Requires="x14">
            <control shapeId="37890" name="Check Box 2" r:id="rId4">
              <controlPr defaultSize="0">
                <anchor moveWithCells="1">
                  <from>
                    <xdr:col>7</xdr:col>
                    <xdr:colOff>236220</xdr:colOff>
                    <xdr:row>13</xdr:row>
                    <xdr:rowOff>152400</xdr:rowOff>
                  </from>
                  <to>
                    <xdr:col>8</xdr:col>
                    <xdr:colOff>60960</xdr:colOff>
                    <xdr:row>15</xdr:row>
                    <xdr:rowOff>22860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8"/>
  <dimension ref="A1:AD30"/>
  <sheetViews>
    <sheetView view="pageBreakPreview" zoomScaleNormal="100" workbookViewId="0">
      <selection activeCell="AG11" sqref="AG11"/>
    </sheetView>
  </sheetViews>
  <sheetFormatPr defaultColWidth="9" defaultRowHeight="26.25" customHeight="1"/>
  <cols>
    <col min="1" max="1" width="2.44166666666667" style="281" customWidth="1"/>
    <col min="2" max="2" width="6.88333333333333" style="281" customWidth="1"/>
    <col min="3" max="3" width="5" style="281" customWidth="1"/>
    <col min="4" max="4" width="1.10833333333333" style="281" customWidth="1"/>
    <col min="5" max="5" width="3.775" style="281" customWidth="1"/>
    <col min="6" max="6" width="0.775" style="281" customWidth="1"/>
    <col min="7" max="7" width="4.44166666666667" style="281" customWidth="1"/>
    <col min="8" max="8" width="5" style="281" customWidth="1"/>
    <col min="9" max="9" width="3.775" style="281" customWidth="1"/>
    <col min="10" max="10" width="1.33333333333333" style="281" customWidth="1"/>
    <col min="11" max="11" width="1.775" style="281" customWidth="1"/>
    <col min="12" max="12" width="3.10833333333333" style="281" customWidth="1"/>
    <col min="13" max="13" width="4.10833333333333" style="281" customWidth="1"/>
    <col min="14" max="14" width="0.883333333333333" style="281" customWidth="1"/>
    <col min="15" max="15" width="5" style="281" customWidth="1"/>
    <col min="16" max="16" width="7" style="281" customWidth="1"/>
    <col min="17" max="17" width="1.88333333333333" style="281" customWidth="1"/>
    <col min="18" max="18" width="3.21666666666667" style="281" customWidth="1"/>
    <col min="19" max="19" width="1.10833333333333" style="281" customWidth="1"/>
    <col min="20" max="20" width="3.775" style="281" customWidth="1"/>
    <col min="21" max="21" width="5.10833333333333" style="281" customWidth="1"/>
    <col min="22" max="22" width="5" style="281" customWidth="1"/>
    <col min="23" max="23" width="0.883333333333333" style="281" customWidth="1"/>
    <col min="24" max="24" width="1.44166666666667" style="281" customWidth="1"/>
    <col min="25" max="25" width="2.775" style="281" customWidth="1"/>
    <col min="26" max="26" width="1.775" style="281" customWidth="1"/>
    <col min="27" max="27" width="3.10833333333333" style="281" customWidth="1"/>
    <col min="28" max="28" width="1.10833333333333" style="281" customWidth="1"/>
    <col min="29" max="29" width="3.88333333333333" style="281" customWidth="1"/>
    <col min="30" max="30" width="5" style="281" customWidth="1"/>
    <col min="31" max="16384" width="9" style="281"/>
  </cols>
  <sheetData>
    <row r="1" customHeight="1" spans="1:30">
      <c r="A1" s="282" t="s">
        <v>525</v>
      </c>
      <c r="B1" s="282"/>
      <c r="C1" s="282"/>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row>
    <row r="2" customHeight="1" spans="1:30">
      <c r="A2" s="282"/>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row>
    <row r="3" ht="24" customHeight="1" spans="1:30">
      <c r="B3" s="283" t="s">
        <v>526</v>
      </c>
      <c r="C3" s="283"/>
      <c r="D3" s="284"/>
      <c r="E3" s="284"/>
      <c r="F3" s="284"/>
      <c r="G3" s="284"/>
      <c r="H3" s="284"/>
      <c r="I3" s="284"/>
      <c r="J3" s="284"/>
      <c r="K3" s="284"/>
      <c r="L3" s="284"/>
      <c r="M3" s="284"/>
      <c r="N3" s="284"/>
      <c r="O3" s="284"/>
      <c r="P3" s="284"/>
      <c r="Q3" s="284"/>
      <c r="R3" s="284"/>
      <c r="S3" s="284"/>
      <c r="T3" s="283" t="s">
        <v>527</v>
      </c>
      <c r="U3" s="283"/>
      <c r="V3" s="283"/>
      <c r="W3" s="283"/>
      <c r="X3" s="346" t="str">
        <f>'Gen Inb'!S6</f>
        <v>南沙新港</v>
      </c>
      <c r="Y3" s="346"/>
      <c r="Z3" s="346"/>
      <c r="AA3" s="346"/>
      <c r="AB3" s="346"/>
      <c r="AC3" s="346"/>
      <c r="AD3" s="346"/>
    </row>
    <row r="4" ht="24" customHeight="1" spans="1:30">
      <c r="B4" s="286" t="s">
        <v>486</v>
      </c>
      <c r="C4" s="286"/>
      <c r="D4" s="286"/>
      <c r="E4" s="300" t="str">
        <f>'Gen Inb'!I6</f>
        <v>环球01 </v>
      </c>
      <c r="F4" s="300"/>
      <c r="G4" s="300"/>
      <c r="H4" s="300"/>
      <c r="I4" s="300"/>
      <c r="J4" s="286" t="s">
        <v>487</v>
      </c>
      <c r="K4" s="286"/>
      <c r="L4" s="286"/>
      <c r="M4" s="286"/>
      <c r="N4" s="286"/>
      <c r="O4" s="286"/>
      <c r="P4" s="347" t="str">
        <f>'Gen Inb'!F8</f>
        <v>利比里亚</v>
      </c>
      <c r="Q4" s="347"/>
      <c r="R4" s="347"/>
      <c r="S4" s="347"/>
      <c r="T4" s="286" t="s">
        <v>528</v>
      </c>
      <c r="U4" s="286"/>
      <c r="V4" s="289" t="s">
        <v>529</v>
      </c>
      <c r="W4" s="290"/>
      <c r="X4" s="290"/>
      <c r="Y4" s="290" t="s">
        <v>530</v>
      </c>
      <c r="Z4" s="290"/>
      <c r="AA4" s="290"/>
      <c r="AB4" s="290"/>
      <c r="AC4" s="290" t="s">
        <v>531</v>
      </c>
      <c r="AD4" s="291"/>
    </row>
    <row r="5" ht="24" customHeight="1" spans="1:30">
      <c r="B5" s="286" t="s">
        <v>15</v>
      </c>
      <c r="C5" s="286"/>
      <c r="D5" s="286"/>
      <c r="E5" s="300">
        <f>'Gen Inb'!H24</f>
        <v>19</v>
      </c>
      <c r="F5" s="300"/>
      <c r="G5" s="300"/>
      <c r="H5" s="300"/>
      <c r="I5" s="300"/>
      <c r="J5" s="286" t="s">
        <v>532</v>
      </c>
      <c r="K5" s="286"/>
      <c r="L5" s="286"/>
      <c r="M5" s="286"/>
      <c r="N5" s="286"/>
      <c r="O5" s="286"/>
      <c r="P5" s="300" t="str">
        <f>'Gen Inb'!N24</f>
        <v>nil</v>
      </c>
      <c r="Q5" s="300"/>
      <c r="R5" s="300"/>
      <c r="S5" s="300"/>
      <c r="T5" s="286" t="s">
        <v>533</v>
      </c>
      <c r="U5" s="286"/>
      <c r="V5" s="300">
        <f>'Gen Inb'!E12</f>
        <v>15257</v>
      </c>
      <c r="W5" s="300"/>
      <c r="X5" s="300"/>
      <c r="Y5" s="286" t="s">
        <v>534</v>
      </c>
      <c r="Z5" s="286"/>
      <c r="AA5" s="286"/>
      <c r="AB5" s="286"/>
      <c r="AC5" s="300">
        <f>'Gen Inb'!L12</f>
        <v>7467</v>
      </c>
      <c r="AD5" s="300"/>
    </row>
    <row r="6" ht="24" customHeight="1" spans="1:30">
      <c r="B6" s="286" t="s">
        <v>535</v>
      </c>
      <c r="C6" s="286"/>
      <c r="D6" s="286"/>
      <c r="E6" s="348" t="str">
        <f>'Gen Inb'!W8&amp;"/"&amp;'Gen Inb'!S6</f>
        <v>俄罗斯东方港/南沙新港</v>
      </c>
      <c r="F6" s="349"/>
      <c r="G6" s="349"/>
      <c r="H6" s="349"/>
      <c r="I6" s="349"/>
      <c r="J6" s="349"/>
      <c r="K6" s="349"/>
      <c r="L6" s="349"/>
      <c r="M6" s="349"/>
      <c r="N6" s="349"/>
      <c r="O6" s="299"/>
      <c r="P6" s="286" t="s">
        <v>536</v>
      </c>
      <c r="Q6" s="286"/>
      <c r="R6" s="286"/>
      <c r="S6" s="286"/>
      <c r="T6" s="286"/>
      <c r="U6" s="286"/>
      <c r="V6" s="350">
        <f>'Gen Inb'!X6</f>
        <v>46219</v>
      </c>
      <c r="W6" s="350"/>
      <c r="X6" s="350"/>
      <c r="Y6" s="350"/>
      <c r="Z6" s="350"/>
      <c r="AA6" s="350"/>
      <c r="AB6" s="350"/>
      <c r="AC6" s="350"/>
      <c r="AD6" s="350"/>
    </row>
    <row r="7" ht="24" customHeight="1" spans="1:30">
      <c r="B7" s="286" t="s">
        <v>537</v>
      </c>
      <c r="C7" s="286"/>
      <c r="D7" s="286"/>
      <c r="E7" s="300" t="s">
        <v>146</v>
      </c>
      <c r="F7" s="300"/>
      <c r="G7" s="300"/>
      <c r="H7" s="300"/>
      <c r="I7" s="300"/>
      <c r="J7" s="286" t="s">
        <v>538</v>
      </c>
      <c r="K7" s="286"/>
      <c r="L7" s="286"/>
      <c r="M7" s="286"/>
      <c r="N7" s="286"/>
      <c r="O7" s="286"/>
      <c r="P7" s="300" t="s">
        <v>539</v>
      </c>
      <c r="Q7" s="300"/>
      <c r="R7" s="300"/>
      <c r="S7" s="300"/>
      <c r="T7" s="286" t="s">
        <v>540</v>
      </c>
      <c r="U7" s="286"/>
      <c r="V7" s="286"/>
      <c r="W7" s="286"/>
      <c r="X7" s="286"/>
      <c r="Y7" s="300" t="str">
        <f>'Gen Inb'!M21&amp;"吨"</f>
        <v>5181.7吨</v>
      </c>
      <c r="Z7" s="300"/>
      <c r="AA7" s="300"/>
      <c r="AB7" s="300"/>
      <c r="AC7" s="300"/>
      <c r="AD7" s="300"/>
    </row>
    <row r="8" ht="24" customHeight="1" spans="1:30">
      <c r="B8" s="286" t="s">
        <v>541</v>
      </c>
      <c r="C8" s="298" t="s">
        <v>542</v>
      </c>
      <c r="D8" s="299">
        <f>'Cstm Outb'!E8</f>
        <v>0</v>
      </c>
      <c r="E8" s="300"/>
      <c r="F8" s="301" t="s">
        <v>543</v>
      </c>
      <c r="G8" s="298"/>
      <c r="H8" s="299">
        <f>'Cstm Outb'!D8</f>
        <v>0</v>
      </c>
      <c r="I8" s="301" t="s">
        <v>544</v>
      </c>
      <c r="J8" s="298"/>
      <c r="K8" s="299">
        <v>0</v>
      </c>
      <c r="L8" s="300"/>
      <c r="M8" s="301" t="s">
        <v>545</v>
      </c>
      <c r="N8" s="298"/>
      <c r="O8" s="299">
        <v>0</v>
      </c>
      <c r="P8" s="286" t="s">
        <v>546</v>
      </c>
      <c r="Q8" s="301" t="s">
        <v>542</v>
      </c>
      <c r="R8" s="298"/>
      <c r="S8" s="299">
        <f>'Cstm Inb'!E9+'Cstm Inb'!I9+'Cstm Inb'!E11</f>
        <v>55</v>
      </c>
      <c r="T8" s="300"/>
      <c r="U8" s="298" t="s">
        <v>543</v>
      </c>
      <c r="V8" s="299">
        <f>'Cstm Inb'!D9+'Cstm Inb'!H9+'Cstm Inb'!D11</f>
        <v>22</v>
      </c>
      <c r="W8" s="301" t="s">
        <v>544</v>
      </c>
      <c r="X8" s="301"/>
      <c r="Y8" s="298"/>
      <c r="Z8" s="299">
        <f>'Cstm Inb'!I11</f>
        <v>0</v>
      </c>
      <c r="AA8" s="300"/>
      <c r="AB8" s="301" t="s">
        <v>545</v>
      </c>
      <c r="AC8" s="298"/>
      <c r="AD8" s="299">
        <f>'Cstm Inb'!H11</f>
        <v>35</v>
      </c>
    </row>
    <row r="9" ht="24" customHeight="1" spans="1:30">
      <c r="B9" s="286" t="s">
        <v>547</v>
      </c>
      <c r="C9" s="286"/>
      <c r="D9" s="286"/>
      <c r="E9" s="286"/>
      <c r="F9" s="286"/>
      <c r="G9" s="286"/>
      <c r="H9" s="286" t="s">
        <v>548</v>
      </c>
      <c r="I9" s="286"/>
      <c r="J9" s="286"/>
      <c r="K9" s="302"/>
      <c r="L9" s="291" t="s">
        <v>549</v>
      </c>
      <c r="M9" s="303"/>
      <c r="N9" s="303"/>
      <c r="O9" s="303"/>
      <c r="P9" s="286" t="s">
        <v>550</v>
      </c>
      <c r="Q9" s="286"/>
      <c r="R9" s="286"/>
      <c r="S9" s="286"/>
      <c r="T9" s="286"/>
      <c r="U9" s="286"/>
      <c r="V9" s="302" t="s">
        <v>548</v>
      </c>
      <c r="W9" s="304"/>
      <c r="X9" s="304"/>
      <c r="Y9" s="304"/>
      <c r="Z9" s="304"/>
      <c r="AA9" s="290" t="s">
        <v>549</v>
      </c>
      <c r="AB9" s="290"/>
      <c r="AC9" s="290"/>
      <c r="AD9" s="291"/>
    </row>
    <row r="10" ht="24" customHeight="1" spans="1:30">
      <c r="B10" s="286" t="s">
        <v>11</v>
      </c>
      <c r="C10" s="286"/>
      <c r="D10" s="286"/>
      <c r="E10" s="302" t="s">
        <v>551</v>
      </c>
      <c r="F10" s="304"/>
      <c r="G10" s="349" t="str">
        <f>'Gen Outb'!G18</f>
        <v>俄罗斯东方港</v>
      </c>
      <c r="H10" s="349"/>
      <c r="I10" s="349"/>
      <c r="J10" s="304" t="s">
        <v>552</v>
      </c>
      <c r="K10" s="304"/>
      <c r="L10" s="299" t="str">
        <f>'Gen Outb'!M18</f>
        <v>南沙新港</v>
      </c>
      <c r="M10" s="300"/>
      <c r="N10" s="300"/>
      <c r="O10" s="300"/>
      <c r="P10" s="286" t="s">
        <v>553</v>
      </c>
      <c r="Q10" s="286"/>
      <c r="R10" s="286"/>
      <c r="S10" s="286"/>
      <c r="T10" s="286"/>
      <c r="U10" s="286"/>
      <c r="V10" s="300" t="str">
        <f>P7</f>
        <v>集装箱</v>
      </c>
      <c r="W10" s="300"/>
      <c r="X10" s="300"/>
      <c r="Y10" s="300"/>
      <c r="Z10" s="300"/>
      <c r="AA10" s="300"/>
      <c r="AB10" s="300"/>
      <c r="AC10" s="300"/>
      <c r="AD10" s="300"/>
    </row>
    <row r="11" ht="24" customHeight="1" spans="1:30">
      <c r="B11" s="286" t="s">
        <v>554</v>
      </c>
      <c r="C11" s="286"/>
      <c r="D11" s="286"/>
      <c r="E11" s="286"/>
      <c r="F11" s="286"/>
      <c r="G11" s="286"/>
      <c r="H11" s="307" t="s">
        <v>555</v>
      </c>
      <c r="I11" s="308"/>
      <c r="J11" s="308"/>
      <c r="K11" s="308"/>
      <c r="L11" s="308" t="s">
        <v>556</v>
      </c>
      <c r="M11" s="308"/>
      <c r="N11" s="308"/>
      <c r="O11" s="308"/>
      <c r="P11" s="308" t="s">
        <v>557</v>
      </c>
      <c r="Q11" s="308"/>
      <c r="R11" s="308"/>
      <c r="S11" s="308"/>
      <c r="T11" s="308"/>
      <c r="U11" s="308"/>
      <c r="V11" s="308" t="s">
        <v>558</v>
      </c>
      <c r="W11" s="308"/>
      <c r="X11" s="308"/>
      <c r="Y11" s="308"/>
      <c r="Z11" s="308"/>
      <c r="AA11" s="308"/>
      <c r="AB11" s="308"/>
      <c r="AC11" s="308"/>
      <c r="AD11" s="309"/>
    </row>
    <row r="12" ht="24" customHeight="1" spans="1:30">
      <c r="B12" s="286"/>
      <c r="C12" s="286"/>
      <c r="D12" s="286"/>
      <c r="E12" s="286"/>
      <c r="F12" s="286"/>
      <c r="G12" s="286"/>
      <c r="H12" s="310" t="s">
        <v>559</v>
      </c>
      <c r="I12" s="311"/>
      <c r="J12" s="311"/>
      <c r="K12" s="311"/>
      <c r="L12" s="311" t="s">
        <v>560</v>
      </c>
      <c r="M12" s="311"/>
      <c r="N12" s="311"/>
      <c r="O12" s="311"/>
      <c r="P12" s="312" t="s">
        <v>561</v>
      </c>
      <c r="Q12" s="312"/>
      <c r="R12" s="312"/>
      <c r="S12" s="312"/>
      <c r="T12" s="312"/>
      <c r="U12" s="312"/>
      <c r="V12" s="311" t="s">
        <v>562</v>
      </c>
      <c r="W12" s="311"/>
      <c r="X12" s="311"/>
      <c r="Y12" s="311"/>
      <c r="Z12" s="311"/>
      <c r="AA12" s="311"/>
      <c r="AB12" s="311"/>
      <c r="AC12" s="311"/>
      <c r="AD12" s="313"/>
    </row>
    <row r="13" ht="24" customHeight="1" spans="1:30">
      <c r="B13" s="286" t="s">
        <v>563</v>
      </c>
      <c r="C13" s="286"/>
      <c r="D13" s="286"/>
      <c r="E13" s="286"/>
      <c r="F13" s="286"/>
      <c r="G13" s="286"/>
      <c r="H13" s="286"/>
      <c r="I13" s="286"/>
      <c r="J13" s="286"/>
      <c r="K13" s="286"/>
      <c r="L13" s="286"/>
      <c r="M13" s="286"/>
      <c r="N13" s="286"/>
      <c r="O13" s="286"/>
      <c r="P13" s="300"/>
      <c r="Q13" s="300"/>
      <c r="R13" s="300"/>
      <c r="S13" s="300"/>
      <c r="T13" s="300"/>
      <c r="U13" s="300"/>
      <c r="V13" s="300"/>
      <c r="W13" s="300"/>
      <c r="X13" s="300"/>
      <c r="Y13" s="300"/>
      <c r="Z13" s="300"/>
      <c r="AA13" s="300"/>
      <c r="AB13" s="300"/>
      <c r="AC13" s="300"/>
      <c r="AD13" s="300"/>
    </row>
    <row r="14" ht="24" customHeight="1" spans="1:30">
      <c r="B14" s="286" t="s">
        <v>564</v>
      </c>
      <c r="C14" s="286"/>
      <c r="D14" s="286"/>
      <c r="E14" s="286"/>
      <c r="F14" s="286"/>
      <c r="G14" s="286"/>
      <c r="H14" s="286"/>
      <c r="I14" s="286"/>
      <c r="J14" s="286"/>
      <c r="K14" s="286"/>
      <c r="L14" s="286"/>
      <c r="M14" s="286"/>
      <c r="N14" s="286"/>
      <c r="O14" s="286"/>
      <c r="P14" s="300" t="s">
        <v>565</v>
      </c>
      <c r="Q14" s="300"/>
      <c r="R14" s="300"/>
      <c r="S14" s="300"/>
      <c r="T14" s="300"/>
      <c r="U14" s="300"/>
      <c r="V14" s="300"/>
      <c r="W14" s="300"/>
      <c r="X14" s="300"/>
      <c r="Y14" s="300"/>
      <c r="Z14" s="300"/>
      <c r="AA14" s="300"/>
      <c r="AB14" s="300"/>
      <c r="AC14" s="300"/>
      <c r="AD14" s="300"/>
    </row>
    <row r="15" ht="24" customHeight="1" spans="1:30">
      <c r="B15" s="286" t="s">
        <v>566</v>
      </c>
      <c r="C15" s="286"/>
      <c r="D15" s="286"/>
      <c r="E15" s="286"/>
      <c r="F15" s="286"/>
      <c r="G15" s="286"/>
      <c r="H15" s="302" t="s">
        <v>567</v>
      </c>
      <c r="I15" s="304"/>
      <c r="J15" s="304"/>
      <c r="K15" s="304"/>
      <c r="L15" s="290" t="s">
        <v>565</v>
      </c>
      <c r="M15" s="290"/>
      <c r="N15" s="290"/>
      <c r="O15" s="291"/>
      <c r="P15" s="286" t="s">
        <v>568</v>
      </c>
      <c r="Q15" s="286"/>
      <c r="R15" s="286"/>
      <c r="S15" s="286"/>
      <c r="T15" s="286"/>
      <c r="U15" s="286"/>
      <c r="V15" s="302" t="s">
        <v>548</v>
      </c>
      <c r="W15" s="304"/>
      <c r="X15" s="304"/>
      <c r="Y15" s="304"/>
      <c r="Z15" s="304"/>
      <c r="AA15" s="290" t="s">
        <v>549</v>
      </c>
      <c r="AB15" s="290"/>
      <c r="AC15" s="290"/>
      <c r="AD15" s="291"/>
    </row>
    <row r="16" ht="24" customHeight="1" spans="1:30">
      <c r="B16" s="286" t="s">
        <v>569</v>
      </c>
      <c r="C16" s="286"/>
      <c r="D16" s="286"/>
      <c r="E16" s="286"/>
      <c r="F16" s="286"/>
      <c r="G16" s="286"/>
      <c r="H16" s="300" t="s">
        <v>95</v>
      </c>
      <c r="I16" s="300"/>
      <c r="J16" s="300"/>
      <c r="K16" s="300"/>
      <c r="L16" s="300"/>
      <c r="M16" s="300"/>
      <c r="N16" s="300"/>
      <c r="O16" s="300"/>
      <c r="P16" s="286" t="s">
        <v>570</v>
      </c>
      <c r="Q16" s="286"/>
      <c r="R16" s="286"/>
      <c r="S16" s="286"/>
      <c r="T16" s="286"/>
      <c r="U16" s="286"/>
      <c r="V16" s="300" t="s">
        <v>95</v>
      </c>
      <c r="W16" s="300"/>
      <c r="X16" s="300"/>
      <c r="Y16" s="300"/>
      <c r="Z16" s="300"/>
      <c r="AA16" s="300"/>
      <c r="AB16" s="300"/>
      <c r="AC16" s="300"/>
      <c r="AD16" s="300"/>
    </row>
    <row r="17" ht="24" customHeight="1" spans="2:30">
      <c r="B17" s="286"/>
      <c r="C17" s="286"/>
      <c r="D17" s="286"/>
      <c r="E17" s="286"/>
      <c r="F17" s="286"/>
      <c r="G17" s="286"/>
      <c r="H17" s="289" t="s">
        <v>571</v>
      </c>
      <c r="I17" s="290"/>
      <c r="J17" s="290"/>
      <c r="K17" s="290"/>
      <c r="L17" s="290"/>
      <c r="M17" s="290"/>
      <c r="N17" s="290" t="s">
        <v>572</v>
      </c>
      <c r="O17" s="290"/>
      <c r="P17" s="290"/>
      <c r="Q17" s="290"/>
      <c r="R17" s="290" t="s">
        <v>573</v>
      </c>
      <c r="S17" s="290"/>
      <c r="T17" s="290"/>
      <c r="U17" s="290"/>
      <c r="V17" s="290"/>
      <c r="W17" s="290"/>
      <c r="X17" s="290" t="s">
        <v>574</v>
      </c>
      <c r="Y17" s="290"/>
      <c r="Z17" s="290"/>
      <c r="AA17" s="290"/>
      <c r="AB17" s="290"/>
      <c r="AC17" s="290"/>
      <c r="AD17" s="291"/>
    </row>
    <row r="18" ht="24" customHeight="1" spans="2:30">
      <c r="B18" s="315" t="s">
        <v>575</v>
      </c>
      <c r="C18" s="315"/>
      <c r="D18" s="315"/>
      <c r="E18" s="315"/>
      <c r="F18" s="315"/>
      <c r="G18" s="315"/>
      <c r="H18" s="315"/>
      <c r="I18" s="315"/>
      <c r="J18" s="315"/>
      <c r="K18" s="315"/>
      <c r="L18" s="315"/>
      <c r="M18" s="315"/>
      <c r="N18" s="315"/>
      <c r="O18" s="315"/>
      <c r="P18" s="307" t="s">
        <v>576</v>
      </c>
      <c r="Q18" s="316" t="s">
        <v>577</v>
      </c>
      <c r="R18" s="316"/>
      <c r="S18" s="316"/>
      <c r="T18" s="316"/>
      <c r="U18" s="317"/>
      <c r="V18" s="317"/>
      <c r="W18" s="317"/>
      <c r="X18" s="317"/>
      <c r="Y18" s="317"/>
      <c r="Z18" s="317"/>
      <c r="AA18" s="317"/>
      <c r="AB18" s="308" t="s">
        <v>578</v>
      </c>
      <c r="AC18" s="308"/>
      <c r="AD18" s="309"/>
    </row>
    <row r="19" ht="24" customHeight="1" spans="2:30">
      <c r="B19" s="318" t="s">
        <v>579</v>
      </c>
      <c r="C19" s="318"/>
      <c r="D19" s="318"/>
      <c r="E19" s="318"/>
      <c r="F19" s="318"/>
      <c r="G19" s="318"/>
      <c r="H19" s="318"/>
      <c r="I19" s="318"/>
      <c r="J19" s="318"/>
      <c r="K19" s="318"/>
      <c r="L19" s="318"/>
      <c r="M19" s="318"/>
      <c r="N19" s="318"/>
      <c r="O19" s="318"/>
      <c r="P19" s="319" t="s">
        <v>576</v>
      </c>
      <c r="Q19" s="320" t="s">
        <v>577</v>
      </c>
      <c r="R19" s="320"/>
      <c r="S19" s="320"/>
      <c r="T19" s="320"/>
      <c r="U19" s="324"/>
      <c r="V19" s="324"/>
      <c r="W19" s="324"/>
      <c r="X19" s="324"/>
      <c r="Y19" s="324"/>
      <c r="Z19" s="324"/>
      <c r="AA19" s="324"/>
      <c r="AB19" s="322" t="s">
        <v>578</v>
      </c>
      <c r="AC19" s="322"/>
      <c r="AD19" s="323"/>
    </row>
    <row r="20" ht="24" customHeight="1" spans="2:30">
      <c r="B20" s="318" t="s">
        <v>580</v>
      </c>
      <c r="C20" s="318"/>
      <c r="D20" s="318"/>
      <c r="E20" s="318"/>
      <c r="F20" s="318"/>
      <c r="G20" s="318"/>
      <c r="H20" s="318"/>
      <c r="I20" s="318"/>
      <c r="J20" s="318"/>
      <c r="K20" s="318"/>
      <c r="L20" s="318"/>
      <c r="M20" s="318"/>
      <c r="N20" s="318"/>
      <c r="O20" s="318"/>
      <c r="P20" s="319" t="s">
        <v>576</v>
      </c>
      <c r="Q20" s="320" t="s">
        <v>577</v>
      </c>
      <c r="R20" s="320"/>
      <c r="S20" s="320"/>
      <c r="T20" s="320"/>
      <c r="U20" s="324"/>
      <c r="V20" s="324"/>
      <c r="W20" s="324"/>
      <c r="X20" s="324"/>
      <c r="Y20" s="324"/>
      <c r="Z20" s="324"/>
      <c r="AA20" s="324"/>
      <c r="AB20" s="322" t="s">
        <v>578</v>
      </c>
      <c r="AC20" s="322"/>
      <c r="AD20" s="323"/>
    </row>
    <row r="21" ht="24" customHeight="1" spans="2:30">
      <c r="B21" s="318" t="s">
        <v>581</v>
      </c>
      <c r="C21" s="318"/>
      <c r="D21" s="318"/>
      <c r="E21" s="318"/>
      <c r="F21" s="318"/>
      <c r="G21" s="318"/>
      <c r="H21" s="318"/>
      <c r="I21" s="318"/>
      <c r="J21" s="318"/>
      <c r="K21" s="318"/>
      <c r="L21" s="318"/>
      <c r="M21" s="318"/>
      <c r="N21" s="318"/>
      <c r="O21" s="318"/>
      <c r="P21" s="319" t="s">
        <v>576</v>
      </c>
      <c r="Q21" s="320" t="s">
        <v>577</v>
      </c>
      <c r="R21" s="320"/>
      <c r="S21" s="320"/>
      <c r="T21" s="320"/>
      <c r="U21" s="324"/>
      <c r="V21" s="324"/>
      <c r="W21" s="324"/>
      <c r="X21" s="324"/>
      <c r="Y21" s="324"/>
      <c r="Z21" s="324"/>
      <c r="AA21" s="324"/>
      <c r="AB21" s="322" t="s">
        <v>578</v>
      </c>
      <c r="AC21" s="322"/>
      <c r="AD21" s="323"/>
    </row>
    <row r="22" ht="24" customHeight="1" spans="2:30">
      <c r="B22" s="325" t="s">
        <v>582</v>
      </c>
      <c r="C22" s="325"/>
      <c r="D22" s="325"/>
      <c r="E22" s="325"/>
      <c r="F22" s="325"/>
      <c r="G22" s="325"/>
      <c r="H22" s="325"/>
      <c r="I22" s="325"/>
      <c r="J22" s="325"/>
      <c r="K22" s="325"/>
      <c r="L22" s="325"/>
      <c r="M22" s="325"/>
      <c r="N22" s="325"/>
      <c r="O22" s="325"/>
      <c r="P22" s="310" t="s">
        <v>576</v>
      </c>
      <c r="Q22" s="326" t="s">
        <v>577</v>
      </c>
      <c r="R22" s="326"/>
      <c r="S22" s="326"/>
      <c r="T22" s="326"/>
      <c r="U22" s="327"/>
      <c r="V22" s="327"/>
      <c r="W22" s="327"/>
      <c r="X22" s="327"/>
      <c r="Y22" s="327"/>
      <c r="Z22" s="327"/>
      <c r="AA22" s="327"/>
      <c r="AB22" s="311" t="s">
        <v>578</v>
      </c>
      <c r="AC22" s="311"/>
      <c r="AD22" s="313"/>
    </row>
    <row r="23" ht="24" customHeight="1" spans="2:30">
      <c r="B23" s="303" t="s">
        <v>583</v>
      </c>
      <c r="C23" s="303"/>
      <c r="D23" s="303"/>
      <c r="E23" s="303"/>
      <c r="F23" s="303"/>
      <c r="G23" s="303"/>
      <c r="H23" s="302" t="s">
        <v>584</v>
      </c>
      <c r="I23" s="304"/>
      <c r="J23" s="304"/>
      <c r="K23" s="304"/>
      <c r="L23" s="304" t="s">
        <v>585</v>
      </c>
      <c r="M23" s="304"/>
      <c r="N23" s="304"/>
      <c r="O23" s="304"/>
      <c r="P23" s="304" t="s">
        <v>586</v>
      </c>
      <c r="Q23" s="304"/>
      <c r="R23" s="304"/>
      <c r="S23" s="304"/>
      <c r="T23" s="304"/>
      <c r="U23" s="304"/>
      <c r="V23" s="304"/>
      <c r="W23" s="304"/>
      <c r="X23" s="304"/>
      <c r="Y23" s="304"/>
      <c r="Z23" s="304" t="s">
        <v>587</v>
      </c>
      <c r="AA23" s="304"/>
      <c r="AB23" s="304"/>
      <c r="AC23" s="304"/>
      <c r="AD23" s="328"/>
    </row>
    <row r="24" ht="24" customHeight="1" spans="2:30">
      <c r="B24" s="303" t="s">
        <v>588</v>
      </c>
      <c r="C24" s="303"/>
      <c r="D24" s="303"/>
      <c r="E24" s="303"/>
      <c r="F24" s="303"/>
      <c r="G24" s="303"/>
      <c r="H24" s="302" t="s">
        <v>584</v>
      </c>
      <c r="I24" s="304"/>
      <c r="J24" s="304"/>
      <c r="K24" s="304"/>
      <c r="L24" s="304" t="s">
        <v>585</v>
      </c>
      <c r="M24" s="304"/>
      <c r="N24" s="304"/>
      <c r="O24" s="304"/>
      <c r="P24" s="328"/>
      <c r="Q24" s="286"/>
      <c r="R24" s="286"/>
      <c r="S24" s="286"/>
      <c r="T24" s="286"/>
      <c r="U24" s="286"/>
      <c r="V24" s="286"/>
      <c r="W24" s="286"/>
      <c r="X24" s="286"/>
      <c r="Y24" s="286"/>
      <c r="Z24" s="286"/>
      <c r="AA24" s="286"/>
      <c r="AB24" s="286"/>
      <c r="AC24" s="286"/>
      <c r="AD24" s="286"/>
    </row>
    <row r="25" ht="24" customHeight="1" spans="2:30">
      <c r="B25" s="303" t="s">
        <v>589</v>
      </c>
      <c r="C25" s="303"/>
      <c r="D25" s="303"/>
      <c r="E25" s="303"/>
      <c r="F25" s="303"/>
      <c r="G25" s="303"/>
      <c r="H25" s="302" t="s">
        <v>584</v>
      </c>
      <c r="I25" s="304"/>
      <c r="J25" s="304"/>
      <c r="K25" s="304"/>
      <c r="L25" s="304" t="s">
        <v>585</v>
      </c>
      <c r="M25" s="304"/>
      <c r="N25" s="304"/>
      <c r="O25" s="304"/>
      <c r="P25" s="304" t="s">
        <v>586</v>
      </c>
      <c r="Q25" s="304"/>
      <c r="R25" s="304"/>
      <c r="S25" s="304"/>
      <c r="T25" s="304"/>
      <c r="U25" s="351"/>
      <c r="V25" s="351"/>
      <c r="W25" s="351"/>
      <c r="X25" s="351"/>
      <c r="Y25" s="351"/>
      <c r="Z25" s="330"/>
      <c r="AA25" s="330"/>
      <c r="AB25" s="330"/>
      <c r="AC25" s="330"/>
      <c r="AD25" s="331"/>
    </row>
    <row r="26" ht="24" customHeight="1" spans="2:30">
      <c r="B26" s="307" t="s">
        <v>590</v>
      </c>
      <c r="C26" s="308"/>
      <c r="D26" s="308"/>
      <c r="E26" s="308"/>
      <c r="F26" s="308"/>
      <c r="G26" s="308"/>
      <c r="H26" s="316"/>
      <c r="I26" s="316"/>
      <c r="J26" s="316"/>
      <c r="K26" s="316"/>
      <c r="L26" s="316"/>
      <c r="M26" s="316"/>
      <c r="N26" s="316"/>
      <c r="O26" s="316"/>
      <c r="P26" s="316"/>
      <c r="Q26" s="316"/>
      <c r="R26" s="316"/>
      <c r="S26" s="316"/>
      <c r="T26" s="316"/>
      <c r="U26" s="316"/>
      <c r="V26" s="316"/>
      <c r="W26" s="316"/>
      <c r="X26" s="316"/>
      <c r="Y26" s="316"/>
      <c r="Z26" s="316"/>
      <c r="AA26" s="316"/>
      <c r="AB26" s="316"/>
      <c r="AC26" s="316"/>
      <c r="AD26" s="332"/>
    </row>
    <row r="27" ht="24" customHeight="1" spans="2:30">
      <c r="B27" s="333"/>
      <c r="C27" s="334"/>
      <c r="D27" s="334"/>
      <c r="E27" s="334"/>
      <c r="F27" s="334"/>
      <c r="G27" s="334"/>
      <c r="H27" s="334"/>
      <c r="I27" s="334"/>
      <c r="J27" s="334"/>
      <c r="K27" s="334"/>
      <c r="L27" s="334"/>
      <c r="M27" s="334"/>
      <c r="N27" s="334"/>
      <c r="O27" s="334"/>
      <c r="P27" s="334"/>
      <c r="Q27" s="334"/>
      <c r="R27" s="334"/>
      <c r="S27" s="334"/>
      <c r="T27" s="334"/>
      <c r="U27" s="334"/>
      <c r="V27" s="334"/>
      <c r="W27" s="334"/>
      <c r="X27" s="334"/>
      <c r="Y27" s="334"/>
      <c r="Z27" s="334"/>
      <c r="AA27" s="334"/>
      <c r="AB27" s="334"/>
      <c r="AC27" s="334"/>
      <c r="AD27" s="335"/>
    </row>
    <row r="28" ht="24" customHeight="1" spans="2:30">
      <c r="B28" s="336"/>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c r="AA28" s="320"/>
      <c r="AB28" s="320"/>
      <c r="AC28" s="320"/>
      <c r="AD28" s="337"/>
    </row>
    <row r="29" ht="24" customHeight="1" spans="2:30">
      <c r="B29" s="319" t="s">
        <v>591</v>
      </c>
      <c r="C29" s="322"/>
      <c r="D29" s="322"/>
      <c r="E29" s="322"/>
      <c r="F29" s="322"/>
      <c r="G29" s="322"/>
      <c r="H29" s="320"/>
      <c r="I29" s="320"/>
      <c r="J29" s="320"/>
      <c r="K29" s="320"/>
      <c r="L29" s="320"/>
      <c r="M29" s="320"/>
      <c r="N29" s="320"/>
      <c r="O29" s="320"/>
      <c r="P29" s="338" t="s">
        <v>592</v>
      </c>
      <c r="Q29" s="338"/>
      <c r="R29" s="339"/>
      <c r="S29" s="339"/>
      <c r="T29" s="339">
        <v>20</v>
      </c>
      <c r="U29" s="339"/>
      <c r="V29" s="339" t="s">
        <v>593</v>
      </c>
      <c r="W29" s="339"/>
      <c r="X29" s="339" t="s">
        <v>594</v>
      </c>
      <c r="Y29" s="339"/>
      <c r="Z29" s="339"/>
      <c r="AA29" s="340" t="s">
        <v>595</v>
      </c>
      <c r="AB29" s="339"/>
      <c r="AC29" s="338" t="s">
        <v>596</v>
      </c>
      <c r="AD29" s="341" t="s">
        <v>597</v>
      </c>
    </row>
    <row r="30" ht="24" customHeight="1" spans="2:30">
      <c r="B30" s="310" t="s">
        <v>598</v>
      </c>
      <c r="C30" s="311"/>
      <c r="D30" s="311"/>
      <c r="E30" s="311"/>
      <c r="F30" s="311"/>
      <c r="G30" s="311"/>
      <c r="H30" s="326"/>
      <c r="I30" s="326"/>
      <c r="J30" s="326"/>
      <c r="K30" s="326"/>
      <c r="L30" s="326"/>
      <c r="M30" s="326"/>
      <c r="N30" s="326"/>
      <c r="O30" s="326"/>
      <c r="P30" s="342" t="s">
        <v>599</v>
      </c>
      <c r="Q30" s="342"/>
      <c r="R30" s="343"/>
      <c r="S30" s="343"/>
      <c r="T30" s="343">
        <v>20</v>
      </c>
      <c r="U30" s="343"/>
      <c r="V30" s="343" t="s">
        <v>593</v>
      </c>
      <c r="W30" s="343"/>
      <c r="X30" s="343" t="s">
        <v>594</v>
      </c>
      <c r="Y30" s="343"/>
      <c r="Z30" s="343"/>
      <c r="AA30" s="344" t="s">
        <v>595</v>
      </c>
      <c r="AB30" s="343"/>
      <c r="AC30" s="342" t="s">
        <v>596</v>
      </c>
      <c r="AD30" s="345" t="s">
        <v>597</v>
      </c>
    </row>
  </sheetData>
  <mergeCells count="128">
    <mergeCell ref="B3:C3"/>
    <mergeCell ref="D3:S3"/>
    <mergeCell ref="T3:W3"/>
    <mergeCell ref="X3:AD3"/>
    <mergeCell ref="B4:D4"/>
    <mergeCell ref="E4:I4"/>
    <mergeCell ref="J4:O4"/>
    <mergeCell ref="P4:S4"/>
    <mergeCell ref="T4:U4"/>
    <mergeCell ref="V4:X4"/>
    <mergeCell ref="Y4:AB4"/>
    <mergeCell ref="AC4:AD4"/>
    <mergeCell ref="B5:D5"/>
    <mergeCell ref="E5:I5"/>
    <mergeCell ref="J5:O5"/>
    <mergeCell ref="P5:S5"/>
    <mergeCell ref="T5:U5"/>
    <mergeCell ref="V5:X5"/>
    <mergeCell ref="Y5:AB5"/>
    <mergeCell ref="AC5:AD5"/>
    <mergeCell ref="B6:D6"/>
    <mergeCell ref="E6:O6"/>
    <mergeCell ref="P6:U6"/>
    <mergeCell ref="V6:AD6"/>
    <mergeCell ref="B7:D7"/>
    <mergeCell ref="E7:I7"/>
    <mergeCell ref="J7:O7"/>
    <mergeCell ref="P7:S7"/>
    <mergeCell ref="T7:X7"/>
    <mergeCell ref="Y7:AD7"/>
    <mergeCell ref="D8:E8"/>
    <mergeCell ref="F8:G8"/>
    <mergeCell ref="I8:J8"/>
    <mergeCell ref="K8:L8"/>
    <mergeCell ref="M8:N8"/>
    <mergeCell ref="Q8:R8"/>
    <mergeCell ref="S8:T8"/>
    <mergeCell ref="W8:Y8"/>
    <mergeCell ref="Z8:AA8"/>
    <mergeCell ref="AB8:AC8"/>
    <mergeCell ref="B9:G9"/>
    <mergeCell ref="H9:K9"/>
    <mergeCell ref="L9:O9"/>
    <mergeCell ref="P9:U9"/>
    <mergeCell ref="V9:Z9"/>
    <mergeCell ref="AA9:AD9"/>
    <mergeCell ref="B10:D10"/>
    <mergeCell ref="E10:F10"/>
    <mergeCell ref="G10:I10"/>
    <mergeCell ref="J10:K10"/>
    <mergeCell ref="L10:O10"/>
    <mergeCell ref="P10:U10"/>
    <mergeCell ref="V10:AD10"/>
    <mergeCell ref="H11:K11"/>
    <mergeCell ref="L11:O11"/>
    <mergeCell ref="P11:U11"/>
    <mergeCell ref="V11:AD11"/>
    <mergeCell ref="H12:K12"/>
    <mergeCell ref="L12:O12"/>
    <mergeCell ref="P12:U12"/>
    <mergeCell ref="V12:AD12"/>
    <mergeCell ref="B13:O13"/>
    <mergeCell ref="P13:AD13"/>
    <mergeCell ref="B14:O14"/>
    <mergeCell ref="P14:AD14"/>
    <mergeCell ref="B15:G15"/>
    <mergeCell ref="H15:K15"/>
    <mergeCell ref="L15:O15"/>
    <mergeCell ref="P15:U15"/>
    <mergeCell ref="V15:Z15"/>
    <mergeCell ref="AA15:AD15"/>
    <mergeCell ref="B16:G16"/>
    <mergeCell ref="H16:O16"/>
    <mergeCell ref="P16:U16"/>
    <mergeCell ref="V16:AD16"/>
    <mergeCell ref="B17:G17"/>
    <mergeCell ref="H17:M17"/>
    <mergeCell ref="N17:Q17"/>
    <mergeCell ref="R17:W17"/>
    <mergeCell ref="X17:AD17"/>
    <mergeCell ref="B18:O18"/>
    <mergeCell ref="Q18:T18"/>
    <mergeCell ref="U18:AA18"/>
    <mergeCell ref="AB18:AD18"/>
    <mergeCell ref="B19:O19"/>
    <mergeCell ref="Q19:T19"/>
    <mergeCell ref="U19:AA19"/>
    <mergeCell ref="AB19:AD19"/>
    <mergeCell ref="B20:O20"/>
    <mergeCell ref="Q20:T20"/>
    <mergeCell ref="U20:AA20"/>
    <mergeCell ref="AB20:AD20"/>
    <mergeCell ref="B21:O21"/>
    <mergeCell ref="Q21:T21"/>
    <mergeCell ref="U21:AA21"/>
    <mergeCell ref="AB21:AD21"/>
    <mergeCell ref="B22:O22"/>
    <mergeCell ref="Q22:T22"/>
    <mergeCell ref="U22:AA22"/>
    <mergeCell ref="AB22:AD22"/>
    <mergeCell ref="B23:G23"/>
    <mergeCell ref="H23:K23"/>
    <mergeCell ref="L23:O23"/>
    <mergeCell ref="P23:T23"/>
    <mergeCell ref="U23:Y23"/>
    <mergeCell ref="Z23:AD23"/>
    <mergeCell ref="B24:G24"/>
    <mergeCell ref="H24:K24"/>
    <mergeCell ref="L24:O24"/>
    <mergeCell ref="P24:AD24"/>
    <mergeCell ref="B25:G25"/>
    <mergeCell ref="H25:K25"/>
    <mergeCell ref="L25:O25"/>
    <mergeCell ref="P25:T25"/>
    <mergeCell ref="U25:Y25"/>
    <mergeCell ref="Z25:AD25"/>
    <mergeCell ref="B26:G26"/>
    <mergeCell ref="H26:AD26"/>
    <mergeCell ref="B27:AD27"/>
    <mergeCell ref="B28:AD28"/>
    <mergeCell ref="B29:G29"/>
    <mergeCell ref="H29:O29"/>
    <mergeCell ref="P29:Q29"/>
    <mergeCell ref="B30:G30"/>
    <mergeCell ref="H30:O30"/>
    <mergeCell ref="P30:Q30"/>
    <mergeCell ref="A1:AD2"/>
    <mergeCell ref="B11:G12"/>
  </mergeCells>
  <pageMargins left="0.699305555555556" right="0.699305555555556" top="0.75" bottom="0.75" header="0.3" footer="0.3"/>
  <pageSetup paperSize="9" scale="84"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48129" name="Check Box 1" r:id="rId3">
              <controlPr defaultSize="0">
                <anchor moveWithCells="1">
                  <from>
                    <xdr:col>8</xdr:col>
                    <xdr:colOff>266700</xdr:colOff>
                    <xdr:row>7</xdr:row>
                    <xdr:rowOff>274320</xdr:rowOff>
                  </from>
                  <to>
                    <xdr:col>11</xdr:col>
                    <xdr:colOff>45720</xdr:colOff>
                    <xdr:row>9</xdr:row>
                    <xdr:rowOff>7620</xdr:rowOff>
                  </to>
                </anchor>
              </controlPr>
            </control>
          </mc:Choice>
        </mc:AlternateContent>
        <mc:AlternateContent xmlns:mc="http://schemas.openxmlformats.org/markup-compatibility/2006">
          <mc:Choice Requires="x14">
            <control shapeId="48130" name="Check Box 2" r:id="rId4">
              <controlPr defaultSize="0">
                <anchor moveWithCells="1">
                  <from>
                    <xdr:col>12</xdr:col>
                    <xdr:colOff>76200</xdr:colOff>
                    <xdr:row>7</xdr:row>
                    <xdr:rowOff>274320</xdr:rowOff>
                  </from>
                  <to>
                    <xdr:col>14</xdr:col>
                    <xdr:colOff>0</xdr:colOff>
                    <xdr:row>9</xdr:row>
                    <xdr:rowOff>7620</xdr:rowOff>
                  </to>
                </anchor>
              </controlPr>
            </control>
          </mc:Choice>
        </mc:AlternateContent>
        <mc:AlternateContent xmlns:mc="http://schemas.openxmlformats.org/markup-compatibility/2006">
          <mc:Choice Requires="x14">
            <control shapeId="48131" name="Check Box 3" r:id="rId5">
              <controlPr defaultSize="0">
                <anchor moveWithCells="1">
                  <from>
                    <xdr:col>23</xdr:col>
                    <xdr:colOff>99060</xdr:colOff>
                    <xdr:row>7</xdr:row>
                    <xdr:rowOff>289560</xdr:rowOff>
                  </from>
                  <to>
                    <xdr:col>25</xdr:col>
                    <xdr:colOff>76200</xdr:colOff>
                    <xdr:row>9</xdr:row>
                    <xdr:rowOff>22860</xdr:rowOff>
                  </to>
                </anchor>
              </controlPr>
            </control>
          </mc:Choice>
        </mc:AlternateContent>
        <mc:AlternateContent xmlns:mc="http://schemas.openxmlformats.org/markup-compatibility/2006">
          <mc:Choice Requires="x14">
            <control shapeId="48132" name="Check Box 4" r:id="rId6">
              <controlPr defaultSize="0">
                <anchor moveWithCells="1">
                  <from>
                    <xdr:col>28</xdr:col>
                    <xdr:colOff>7620</xdr:colOff>
                    <xdr:row>7</xdr:row>
                    <xdr:rowOff>289560</xdr:rowOff>
                  </from>
                  <to>
                    <xdr:col>29</xdr:col>
                    <xdr:colOff>22860</xdr:colOff>
                    <xdr:row>9</xdr:row>
                    <xdr:rowOff>22860</xdr:rowOff>
                  </to>
                </anchor>
              </controlPr>
            </control>
          </mc:Choice>
        </mc:AlternateContent>
        <mc:AlternateContent xmlns:mc="http://schemas.openxmlformats.org/markup-compatibility/2006">
          <mc:Choice Requires="x14">
            <control shapeId="48133" name="Check Box 5" r:id="rId7">
              <controlPr defaultSize="0">
                <anchor moveWithCells="1">
                  <from>
                    <xdr:col>9</xdr:col>
                    <xdr:colOff>0</xdr:colOff>
                    <xdr:row>9</xdr:row>
                    <xdr:rowOff>297180</xdr:rowOff>
                  </from>
                  <to>
                    <xdr:col>11</xdr:col>
                    <xdr:colOff>68580</xdr:colOff>
                    <xdr:row>11</xdr:row>
                    <xdr:rowOff>30480</xdr:rowOff>
                  </to>
                </anchor>
              </controlPr>
            </control>
          </mc:Choice>
        </mc:AlternateContent>
        <mc:AlternateContent xmlns:mc="http://schemas.openxmlformats.org/markup-compatibility/2006">
          <mc:Choice Requires="x14">
            <control shapeId="48134" name="Check Box 6" r:id="rId8">
              <controlPr defaultSize="0">
                <anchor moveWithCells="1">
                  <from>
                    <xdr:col>14</xdr:col>
                    <xdr:colOff>30480</xdr:colOff>
                    <xdr:row>9</xdr:row>
                    <xdr:rowOff>297180</xdr:rowOff>
                  </from>
                  <to>
                    <xdr:col>14</xdr:col>
                    <xdr:colOff>335280</xdr:colOff>
                    <xdr:row>11</xdr:row>
                    <xdr:rowOff>30480</xdr:rowOff>
                  </to>
                </anchor>
              </controlPr>
            </control>
          </mc:Choice>
        </mc:AlternateContent>
        <mc:AlternateContent xmlns:mc="http://schemas.openxmlformats.org/markup-compatibility/2006">
          <mc:Choice Requires="x14">
            <control shapeId="48135" name="Check Box 7" r:id="rId9">
              <controlPr defaultSize="0">
                <anchor moveWithCells="1">
                  <from>
                    <xdr:col>20</xdr:col>
                    <xdr:colOff>30480</xdr:colOff>
                    <xdr:row>9</xdr:row>
                    <xdr:rowOff>297180</xdr:rowOff>
                  </from>
                  <to>
                    <xdr:col>20</xdr:col>
                    <xdr:colOff>335280</xdr:colOff>
                    <xdr:row>11</xdr:row>
                    <xdr:rowOff>30480</xdr:rowOff>
                  </to>
                </anchor>
              </controlPr>
            </control>
          </mc:Choice>
        </mc:AlternateContent>
        <mc:AlternateContent xmlns:mc="http://schemas.openxmlformats.org/markup-compatibility/2006">
          <mc:Choice Requires="x14">
            <control shapeId="48136" name="Check Box 8" r:id="rId10">
              <controlPr defaultSize="0">
                <anchor moveWithCells="1">
                  <from>
                    <xdr:col>28</xdr:col>
                    <xdr:colOff>137160</xdr:colOff>
                    <xdr:row>9</xdr:row>
                    <xdr:rowOff>297180</xdr:rowOff>
                  </from>
                  <to>
                    <xdr:col>29</xdr:col>
                    <xdr:colOff>144780</xdr:colOff>
                    <xdr:row>11</xdr:row>
                    <xdr:rowOff>30480</xdr:rowOff>
                  </to>
                </anchor>
              </controlPr>
            </control>
          </mc:Choice>
        </mc:AlternateContent>
        <mc:AlternateContent xmlns:mc="http://schemas.openxmlformats.org/markup-compatibility/2006">
          <mc:Choice Requires="x14">
            <control shapeId="48137" name="Check Box 9" r:id="rId11">
              <controlPr defaultSize="0">
                <anchor moveWithCells="1">
                  <from>
                    <xdr:col>28</xdr:col>
                    <xdr:colOff>137160</xdr:colOff>
                    <xdr:row>10</xdr:row>
                    <xdr:rowOff>297180</xdr:rowOff>
                  </from>
                  <to>
                    <xdr:col>29</xdr:col>
                    <xdr:colOff>144780</xdr:colOff>
                    <xdr:row>12</xdr:row>
                    <xdr:rowOff>30480</xdr:rowOff>
                  </to>
                </anchor>
              </controlPr>
            </control>
          </mc:Choice>
        </mc:AlternateContent>
        <mc:AlternateContent xmlns:mc="http://schemas.openxmlformats.org/markup-compatibility/2006">
          <mc:Choice Requires="x14">
            <control shapeId="48138" name="Check Box 10" r:id="rId12">
              <controlPr defaultSize="0">
                <anchor moveWithCells="1">
                  <from>
                    <xdr:col>20</xdr:col>
                    <xdr:colOff>38100</xdr:colOff>
                    <xdr:row>10</xdr:row>
                    <xdr:rowOff>297180</xdr:rowOff>
                  </from>
                  <to>
                    <xdr:col>20</xdr:col>
                    <xdr:colOff>342900</xdr:colOff>
                    <xdr:row>12</xdr:row>
                    <xdr:rowOff>30480</xdr:rowOff>
                  </to>
                </anchor>
              </controlPr>
            </control>
          </mc:Choice>
        </mc:AlternateContent>
        <mc:AlternateContent xmlns:mc="http://schemas.openxmlformats.org/markup-compatibility/2006">
          <mc:Choice Requires="x14">
            <control shapeId="48139" name="Check Box 11" r:id="rId13">
              <controlPr defaultSize="0">
                <anchor moveWithCells="1">
                  <from>
                    <xdr:col>14</xdr:col>
                    <xdr:colOff>30480</xdr:colOff>
                    <xdr:row>10</xdr:row>
                    <xdr:rowOff>297180</xdr:rowOff>
                  </from>
                  <to>
                    <xdr:col>14</xdr:col>
                    <xdr:colOff>335280</xdr:colOff>
                    <xdr:row>12</xdr:row>
                    <xdr:rowOff>30480</xdr:rowOff>
                  </to>
                </anchor>
              </controlPr>
            </control>
          </mc:Choice>
        </mc:AlternateContent>
        <mc:AlternateContent xmlns:mc="http://schemas.openxmlformats.org/markup-compatibility/2006">
          <mc:Choice Requires="x14">
            <control shapeId="48140" name="Check Box 12" r:id="rId14">
              <controlPr defaultSize="0">
                <anchor moveWithCells="1">
                  <from>
                    <xdr:col>9</xdr:col>
                    <xdr:colOff>0</xdr:colOff>
                    <xdr:row>10</xdr:row>
                    <xdr:rowOff>297180</xdr:rowOff>
                  </from>
                  <to>
                    <xdr:col>11</xdr:col>
                    <xdr:colOff>68580</xdr:colOff>
                    <xdr:row>12</xdr:row>
                    <xdr:rowOff>30480</xdr:rowOff>
                  </to>
                </anchor>
              </controlPr>
            </control>
          </mc:Choice>
        </mc:AlternateContent>
        <mc:AlternateContent xmlns:mc="http://schemas.openxmlformats.org/markup-compatibility/2006">
          <mc:Choice Requires="x14">
            <control shapeId="48141" name="Check Box 13" r:id="rId15">
              <controlPr defaultSize="0">
                <anchor moveWithCells="1">
                  <from>
                    <xdr:col>11</xdr:col>
                    <xdr:colOff>22860</xdr:colOff>
                    <xdr:row>15</xdr:row>
                    <xdr:rowOff>297180</xdr:rowOff>
                  </from>
                  <to>
                    <xdr:col>12</xdr:col>
                    <xdr:colOff>83820</xdr:colOff>
                    <xdr:row>17</xdr:row>
                    <xdr:rowOff>30480</xdr:rowOff>
                  </to>
                </anchor>
              </controlPr>
            </control>
          </mc:Choice>
        </mc:AlternateContent>
        <mc:AlternateContent xmlns:mc="http://schemas.openxmlformats.org/markup-compatibility/2006">
          <mc:Choice Requires="x14">
            <control shapeId="48142" name="Check Box 14" r:id="rId16">
              <controlPr defaultSize="0">
                <anchor moveWithCells="1">
                  <from>
                    <xdr:col>28</xdr:col>
                    <xdr:colOff>236220</xdr:colOff>
                    <xdr:row>16</xdr:row>
                    <xdr:rowOff>289560</xdr:rowOff>
                  </from>
                  <to>
                    <xdr:col>29</xdr:col>
                    <xdr:colOff>251460</xdr:colOff>
                    <xdr:row>18</xdr:row>
                    <xdr:rowOff>22860</xdr:rowOff>
                  </to>
                </anchor>
              </controlPr>
            </control>
          </mc:Choice>
        </mc:AlternateContent>
        <mc:AlternateContent xmlns:mc="http://schemas.openxmlformats.org/markup-compatibility/2006">
          <mc:Choice Requires="x14">
            <control shapeId="48143" name="Check Box 15" r:id="rId17">
              <controlPr defaultSize="0">
                <anchor moveWithCells="1">
                  <from>
                    <xdr:col>28</xdr:col>
                    <xdr:colOff>236220</xdr:colOff>
                    <xdr:row>17</xdr:row>
                    <xdr:rowOff>289560</xdr:rowOff>
                  </from>
                  <to>
                    <xdr:col>29</xdr:col>
                    <xdr:colOff>251460</xdr:colOff>
                    <xdr:row>19</xdr:row>
                    <xdr:rowOff>22860</xdr:rowOff>
                  </to>
                </anchor>
              </controlPr>
            </control>
          </mc:Choice>
        </mc:AlternateContent>
        <mc:AlternateContent xmlns:mc="http://schemas.openxmlformats.org/markup-compatibility/2006">
          <mc:Choice Requires="x14">
            <control shapeId="48144" name="Check Box 16" r:id="rId18">
              <controlPr defaultSize="0">
                <anchor moveWithCells="1">
                  <from>
                    <xdr:col>28</xdr:col>
                    <xdr:colOff>236220</xdr:colOff>
                    <xdr:row>18</xdr:row>
                    <xdr:rowOff>289560</xdr:rowOff>
                  </from>
                  <to>
                    <xdr:col>29</xdr:col>
                    <xdr:colOff>251460</xdr:colOff>
                    <xdr:row>20</xdr:row>
                    <xdr:rowOff>22860</xdr:rowOff>
                  </to>
                </anchor>
              </controlPr>
            </control>
          </mc:Choice>
        </mc:AlternateContent>
        <mc:AlternateContent xmlns:mc="http://schemas.openxmlformats.org/markup-compatibility/2006">
          <mc:Choice Requires="x14">
            <control shapeId="48145" name="Check Box 17" r:id="rId19">
              <controlPr defaultSize="0">
                <anchor moveWithCells="1">
                  <from>
                    <xdr:col>28</xdr:col>
                    <xdr:colOff>236220</xdr:colOff>
                    <xdr:row>19</xdr:row>
                    <xdr:rowOff>289560</xdr:rowOff>
                  </from>
                  <to>
                    <xdr:col>29</xdr:col>
                    <xdr:colOff>251460</xdr:colOff>
                    <xdr:row>21</xdr:row>
                    <xdr:rowOff>22860</xdr:rowOff>
                  </to>
                </anchor>
              </controlPr>
            </control>
          </mc:Choice>
        </mc:AlternateContent>
        <mc:AlternateContent xmlns:mc="http://schemas.openxmlformats.org/markup-compatibility/2006">
          <mc:Choice Requires="x14">
            <control shapeId="48146" name="Check Box 18" r:id="rId20">
              <controlPr defaultSize="0">
                <anchor moveWithCells="1">
                  <from>
                    <xdr:col>28</xdr:col>
                    <xdr:colOff>236220</xdr:colOff>
                    <xdr:row>20</xdr:row>
                    <xdr:rowOff>289560</xdr:rowOff>
                  </from>
                  <to>
                    <xdr:col>29</xdr:col>
                    <xdr:colOff>251460</xdr:colOff>
                    <xdr:row>22</xdr:row>
                    <xdr:rowOff>22860</xdr:rowOff>
                  </to>
                </anchor>
              </controlPr>
            </control>
          </mc:Choice>
        </mc:AlternateContent>
        <mc:AlternateContent xmlns:mc="http://schemas.openxmlformats.org/markup-compatibility/2006">
          <mc:Choice Requires="x14">
            <control shapeId="48147" name="Check Box 19" r:id="rId21">
              <controlPr defaultSize="0">
                <anchor moveWithCells="1">
                  <from>
                    <xdr:col>15</xdr:col>
                    <xdr:colOff>381000</xdr:colOff>
                    <xdr:row>16</xdr:row>
                    <xdr:rowOff>289560</xdr:rowOff>
                  </from>
                  <to>
                    <xdr:col>17</xdr:col>
                    <xdr:colOff>7620</xdr:colOff>
                    <xdr:row>18</xdr:row>
                    <xdr:rowOff>22860</xdr:rowOff>
                  </to>
                </anchor>
              </controlPr>
            </control>
          </mc:Choice>
        </mc:AlternateContent>
        <mc:AlternateContent xmlns:mc="http://schemas.openxmlformats.org/markup-compatibility/2006">
          <mc:Choice Requires="x14">
            <control shapeId="48152" name="Check Box 24" r:id="rId22">
              <controlPr defaultSize="0">
                <anchor moveWithCells="1">
                  <from>
                    <xdr:col>15</xdr:col>
                    <xdr:colOff>350520</xdr:colOff>
                    <xdr:row>15</xdr:row>
                    <xdr:rowOff>297180</xdr:rowOff>
                  </from>
                  <to>
                    <xdr:col>16</xdr:col>
                    <xdr:colOff>121920</xdr:colOff>
                    <xdr:row>17</xdr:row>
                    <xdr:rowOff>30480</xdr:rowOff>
                  </to>
                </anchor>
              </controlPr>
            </control>
          </mc:Choice>
        </mc:AlternateContent>
        <mc:AlternateContent xmlns:mc="http://schemas.openxmlformats.org/markup-compatibility/2006">
          <mc:Choice Requires="x14">
            <control shapeId="48153" name="Check Box 25" r:id="rId23">
              <controlPr defaultSize="0">
                <anchor moveWithCells="1">
                  <from>
                    <xdr:col>21</xdr:col>
                    <xdr:colOff>7620</xdr:colOff>
                    <xdr:row>15</xdr:row>
                    <xdr:rowOff>297180</xdr:rowOff>
                  </from>
                  <to>
                    <xdr:col>21</xdr:col>
                    <xdr:colOff>312420</xdr:colOff>
                    <xdr:row>17</xdr:row>
                    <xdr:rowOff>30480</xdr:rowOff>
                  </to>
                </anchor>
              </controlPr>
            </control>
          </mc:Choice>
        </mc:AlternateContent>
        <mc:AlternateContent xmlns:mc="http://schemas.openxmlformats.org/markup-compatibility/2006">
          <mc:Choice Requires="x14">
            <control shapeId="48154" name="Check Box 26" r:id="rId24">
              <controlPr defaultSize="0">
                <anchor moveWithCells="1">
                  <from>
                    <xdr:col>28</xdr:col>
                    <xdr:colOff>137160</xdr:colOff>
                    <xdr:row>15</xdr:row>
                    <xdr:rowOff>297180</xdr:rowOff>
                  </from>
                  <to>
                    <xdr:col>29</xdr:col>
                    <xdr:colOff>144780</xdr:colOff>
                    <xdr:row>17</xdr:row>
                    <xdr:rowOff>30480</xdr:rowOff>
                  </to>
                </anchor>
              </controlPr>
            </control>
          </mc:Choice>
        </mc:AlternateContent>
        <mc:AlternateContent xmlns:mc="http://schemas.openxmlformats.org/markup-compatibility/2006">
          <mc:Choice Requires="x14">
            <control shapeId="48155" name="Check Box 27" r:id="rId25">
              <controlPr defaultSize="0">
                <anchor moveWithCells="1">
                  <from>
                    <xdr:col>9</xdr:col>
                    <xdr:colOff>0</xdr:colOff>
                    <xdr:row>13</xdr:row>
                    <xdr:rowOff>289560</xdr:rowOff>
                  </from>
                  <to>
                    <xdr:col>11</xdr:col>
                    <xdr:colOff>68580</xdr:colOff>
                    <xdr:row>15</xdr:row>
                    <xdr:rowOff>22860</xdr:rowOff>
                  </to>
                </anchor>
              </controlPr>
            </control>
          </mc:Choice>
        </mc:AlternateContent>
        <mc:AlternateContent xmlns:mc="http://schemas.openxmlformats.org/markup-compatibility/2006">
          <mc:Choice Requires="x14">
            <control shapeId="48156" name="Check Box 28" r:id="rId26">
              <controlPr defaultSize="0">
                <anchor moveWithCells="1">
                  <from>
                    <xdr:col>12</xdr:col>
                    <xdr:colOff>45720</xdr:colOff>
                    <xdr:row>13</xdr:row>
                    <xdr:rowOff>289560</xdr:rowOff>
                  </from>
                  <to>
                    <xdr:col>13</xdr:col>
                    <xdr:colOff>38100</xdr:colOff>
                    <xdr:row>15</xdr:row>
                    <xdr:rowOff>22860</xdr:rowOff>
                  </to>
                </anchor>
              </controlPr>
            </control>
          </mc:Choice>
        </mc:AlternateContent>
        <mc:AlternateContent xmlns:mc="http://schemas.openxmlformats.org/markup-compatibility/2006">
          <mc:Choice Requires="x14">
            <control shapeId="48157" name="Check Box 29" r:id="rId27">
              <controlPr defaultSize="0">
                <anchor moveWithCells="1">
                  <from>
                    <xdr:col>15</xdr:col>
                    <xdr:colOff>381000</xdr:colOff>
                    <xdr:row>17</xdr:row>
                    <xdr:rowOff>289560</xdr:rowOff>
                  </from>
                  <to>
                    <xdr:col>17</xdr:col>
                    <xdr:colOff>7620</xdr:colOff>
                    <xdr:row>19</xdr:row>
                    <xdr:rowOff>22860</xdr:rowOff>
                  </to>
                </anchor>
              </controlPr>
            </control>
          </mc:Choice>
        </mc:AlternateContent>
        <mc:AlternateContent xmlns:mc="http://schemas.openxmlformats.org/markup-compatibility/2006">
          <mc:Choice Requires="x14">
            <control shapeId="48158" name="Check Box 30" r:id="rId28">
              <controlPr defaultSize="0">
                <anchor moveWithCells="1">
                  <from>
                    <xdr:col>15</xdr:col>
                    <xdr:colOff>381000</xdr:colOff>
                    <xdr:row>18</xdr:row>
                    <xdr:rowOff>289560</xdr:rowOff>
                  </from>
                  <to>
                    <xdr:col>17</xdr:col>
                    <xdr:colOff>7620</xdr:colOff>
                    <xdr:row>20</xdr:row>
                    <xdr:rowOff>22860</xdr:rowOff>
                  </to>
                </anchor>
              </controlPr>
            </control>
          </mc:Choice>
        </mc:AlternateContent>
        <mc:AlternateContent xmlns:mc="http://schemas.openxmlformats.org/markup-compatibility/2006">
          <mc:Choice Requires="x14">
            <control shapeId="48159" name="Check Box 31" r:id="rId29">
              <controlPr defaultSize="0">
                <anchor moveWithCells="1">
                  <from>
                    <xdr:col>15</xdr:col>
                    <xdr:colOff>381000</xdr:colOff>
                    <xdr:row>19</xdr:row>
                    <xdr:rowOff>289560</xdr:rowOff>
                  </from>
                  <to>
                    <xdr:col>17</xdr:col>
                    <xdr:colOff>7620</xdr:colOff>
                    <xdr:row>21</xdr:row>
                    <xdr:rowOff>22860</xdr:rowOff>
                  </to>
                </anchor>
              </controlPr>
            </control>
          </mc:Choice>
        </mc:AlternateContent>
        <mc:AlternateContent xmlns:mc="http://schemas.openxmlformats.org/markup-compatibility/2006">
          <mc:Choice Requires="x14">
            <control shapeId="48160" name="Check Box 32" r:id="rId30">
              <controlPr defaultSize="0">
                <anchor moveWithCells="1">
                  <from>
                    <xdr:col>15</xdr:col>
                    <xdr:colOff>381000</xdr:colOff>
                    <xdr:row>20</xdr:row>
                    <xdr:rowOff>289560</xdr:rowOff>
                  </from>
                  <to>
                    <xdr:col>17</xdr:col>
                    <xdr:colOff>7620</xdr:colOff>
                    <xdr:row>22</xdr:row>
                    <xdr:rowOff>22860</xdr:rowOff>
                  </to>
                </anchor>
              </controlPr>
            </control>
          </mc:Choice>
        </mc:AlternateContent>
        <mc:AlternateContent xmlns:mc="http://schemas.openxmlformats.org/markup-compatibility/2006">
          <mc:Choice Requires="x14">
            <control shapeId="48161" name="Check Box 33" r:id="rId31">
              <controlPr defaultSize="0">
                <anchor moveWithCells="1">
                  <from>
                    <xdr:col>23</xdr:col>
                    <xdr:colOff>99060</xdr:colOff>
                    <xdr:row>13</xdr:row>
                    <xdr:rowOff>289560</xdr:rowOff>
                  </from>
                  <to>
                    <xdr:col>25</xdr:col>
                    <xdr:colOff>76200</xdr:colOff>
                    <xdr:row>15</xdr:row>
                    <xdr:rowOff>22860</xdr:rowOff>
                  </to>
                </anchor>
              </controlPr>
            </control>
          </mc:Choice>
        </mc:AlternateContent>
        <mc:AlternateContent xmlns:mc="http://schemas.openxmlformats.org/markup-compatibility/2006">
          <mc:Choice Requires="x14">
            <control shapeId="48162" name="Check Box 34" r:id="rId32">
              <controlPr defaultSize="0">
                <anchor moveWithCells="1">
                  <from>
                    <xdr:col>28</xdr:col>
                    <xdr:colOff>0</xdr:colOff>
                    <xdr:row>13</xdr:row>
                    <xdr:rowOff>289560</xdr:rowOff>
                  </from>
                  <to>
                    <xdr:col>29</xdr:col>
                    <xdr:colOff>7620</xdr:colOff>
                    <xdr:row>15</xdr:row>
                    <xdr:rowOff>22860</xdr:rowOff>
                  </to>
                </anchor>
              </controlPr>
            </control>
          </mc:Choice>
        </mc:AlternateContent>
        <mc:AlternateContent xmlns:mc="http://schemas.openxmlformats.org/markup-compatibility/2006">
          <mc:Choice Requires="x14">
            <control shapeId="48163" name="Check Box 35" r:id="rId33">
              <controlPr defaultSize="0">
                <anchor moveWithCells="1">
                  <from>
                    <xdr:col>9</xdr:col>
                    <xdr:colOff>22860</xdr:colOff>
                    <xdr:row>21</xdr:row>
                    <xdr:rowOff>289560</xdr:rowOff>
                  </from>
                  <to>
                    <xdr:col>11</xdr:col>
                    <xdr:colOff>83820</xdr:colOff>
                    <xdr:row>23</xdr:row>
                    <xdr:rowOff>22860</xdr:rowOff>
                  </to>
                </anchor>
              </controlPr>
            </control>
          </mc:Choice>
        </mc:AlternateContent>
        <mc:AlternateContent xmlns:mc="http://schemas.openxmlformats.org/markup-compatibility/2006">
          <mc:Choice Requires="x14">
            <control shapeId="48164" name="Check Box 36" r:id="rId34">
              <controlPr defaultSize="0">
                <anchor moveWithCells="1">
                  <from>
                    <xdr:col>14</xdr:col>
                    <xdr:colOff>60960</xdr:colOff>
                    <xdr:row>21</xdr:row>
                    <xdr:rowOff>289560</xdr:rowOff>
                  </from>
                  <to>
                    <xdr:col>14</xdr:col>
                    <xdr:colOff>365760</xdr:colOff>
                    <xdr:row>23</xdr:row>
                    <xdr:rowOff>22860</xdr:rowOff>
                  </to>
                </anchor>
              </controlPr>
            </control>
          </mc:Choice>
        </mc:AlternateContent>
        <mc:AlternateContent xmlns:mc="http://schemas.openxmlformats.org/markup-compatibility/2006">
          <mc:Choice Requires="x14">
            <control shapeId="48165" name="Check Box 37" r:id="rId35">
              <controlPr defaultSize="0">
                <anchor moveWithCells="1">
                  <from>
                    <xdr:col>9</xdr:col>
                    <xdr:colOff>22860</xdr:colOff>
                    <xdr:row>22</xdr:row>
                    <xdr:rowOff>289560</xdr:rowOff>
                  </from>
                  <to>
                    <xdr:col>11</xdr:col>
                    <xdr:colOff>83820</xdr:colOff>
                    <xdr:row>24</xdr:row>
                    <xdr:rowOff>22860</xdr:rowOff>
                  </to>
                </anchor>
              </controlPr>
            </control>
          </mc:Choice>
        </mc:AlternateContent>
        <mc:AlternateContent xmlns:mc="http://schemas.openxmlformats.org/markup-compatibility/2006">
          <mc:Choice Requires="x14">
            <control shapeId="48166" name="Check Box 38" r:id="rId36">
              <controlPr defaultSize="0">
                <anchor moveWithCells="1">
                  <from>
                    <xdr:col>14</xdr:col>
                    <xdr:colOff>60960</xdr:colOff>
                    <xdr:row>22</xdr:row>
                    <xdr:rowOff>289560</xdr:rowOff>
                  </from>
                  <to>
                    <xdr:col>14</xdr:col>
                    <xdr:colOff>365760</xdr:colOff>
                    <xdr:row>24</xdr:row>
                    <xdr:rowOff>22860</xdr:rowOff>
                  </to>
                </anchor>
              </controlPr>
            </control>
          </mc:Choice>
        </mc:AlternateContent>
        <mc:AlternateContent xmlns:mc="http://schemas.openxmlformats.org/markup-compatibility/2006">
          <mc:Choice Requires="x14">
            <control shapeId="48167" name="Check Box 39" r:id="rId37">
              <controlPr defaultSize="0">
                <anchor moveWithCells="1">
                  <from>
                    <xdr:col>9</xdr:col>
                    <xdr:colOff>22860</xdr:colOff>
                    <xdr:row>23</xdr:row>
                    <xdr:rowOff>289560</xdr:rowOff>
                  </from>
                  <to>
                    <xdr:col>11</xdr:col>
                    <xdr:colOff>83820</xdr:colOff>
                    <xdr:row>25</xdr:row>
                    <xdr:rowOff>22860</xdr:rowOff>
                  </to>
                </anchor>
              </controlPr>
            </control>
          </mc:Choice>
        </mc:AlternateContent>
        <mc:AlternateContent xmlns:mc="http://schemas.openxmlformats.org/markup-compatibility/2006">
          <mc:Choice Requires="x14">
            <control shapeId="48168" name="Check Box 40" r:id="rId38">
              <controlPr defaultSize="0">
                <anchor moveWithCells="1">
                  <from>
                    <xdr:col>14</xdr:col>
                    <xdr:colOff>60960</xdr:colOff>
                    <xdr:row>23</xdr:row>
                    <xdr:rowOff>289560</xdr:rowOff>
                  </from>
                  <to>
                    <xdr:col>14</xdr:col>
                    <xdr:colOff>365760</xdr:colOff>
                    <xdr:row>25</xdr:row>
                    <xdr:rowOff>22860</xdr:rowOff>
                  </to>
                </anchor>
              </controlPr>
            </control>
          </mc:Choice>
        </mc:AlternateContent>
        <mc:AlternateContent xmlns:mc="http://schemas.openxmlformats.org/markup-compatibility/2006">
          <mc:Choice Requires="x14">
            <control shapeId="48169" name="Check Box 41" r:id="rId39">
              <controlPr defaultSize="0">
                <anchor moveWithCells="1">
                  <from>
                    <xdr:col>21</xdr:col>
                    <xdr:colOff>335280</xdr:colOff>
                    <xdr:row>2</xdr:row>
                    <xdr:rowOff>289560</xdr:rowOff>
                  </from>
                  <to>
                    <xdr:col>24</xdr:col>
                    <xdr:colOff>76200</xdr:colOff>
                    <xdr:row>4</xdr:row>
                    <xdr:rowOff>22860</xdr:rowOff>
                  </to>
                </anchor>
              </controlPr>
            </control>
          </mc:Choice>
        </mc:AlternateContent>
        <mc:AlternateContent xmlns:mc="http://schemas.openxmlformats.org/markup-compatibility/2006">
          <mc:Choice Requires="x14">
            <control shapeId="48170" name="Check Box 42" r:id="rId40">
              <controlPr defaultSize="0">
                <anchor moveWithCells="1">
                  <from>
                    <xdr:col>26</xdr:col>
                    <xdr:colOff>38100</xdr:colOff>
                    <xdr:row>2</xdr:row>
                    <xdr:rowOff>289560</xdr:rowOff>
                  </from>
                  <to>
                    <xdr:col>28</xdr:col>
                    <xdr:colOff>22860</xdr:colOff>
                    <xdr:row>4</xdr:row>
                    <xdr:rowOff>22860</xdr:rowOff>
                  </to>
                </anchor>
              </controlPr>
            </control>
          </mc:Choice>
        </mc:AlternateContent>
        <mc:AlternateContent xmlns:mc="http://schemas.openxmlformats.org/markup-compatibility/2006">
          <mc:Choice Requires="x14">
            <control shapeId="48171" name="Check Box 43" r:id="rId41">
              <controlPr defaultSize="0">
                <anchor moveWithCells="1">
                  <from>
                    <xdr:col>29</xdr:col>
                    <xdr:colOff>99060</xdr:colOff>
                    <xdr:row>2</xdr:row>
                    <xdr:rowOff>289560</xdr:rowOff>
                  </from>
                  <to>
                    <xdr:col>30</xdr:col>
                    <xdr:colOff>22860</xdr:colOff>
                    <xdr:row>4</xdr:row>
                    <xdr:rowOff>22860</xdr:rowOff>
                  </to>
                </anchor>
              </controlPr>
            </control>
          </mc:Choice>
        </mc:AlternateContent>
      </controls>
    </mc:Choice>
  </mc:AlternateConten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9">
    <pageSetUpPr fitToPage="1"/>
  </sheetPr>
  <dimension ref="A1:AD30"/>
  <sheetViews>
    <sheetView view="pageBreakPreview" zoomScaleNormal="100" workbookViewId="0">
      <selection activeCell="AH9" sqref="AH9"/>
    </sheetView>
  </sheetViews>
  <sheetFormatPr defaultColWidth="9" defaultRowHeight="26.25" customHeight="1"/>
  <cols>
    <col min="1" max="1" width="2.44166666666667" style="281" customWidth="1"/>
    <col min="2" max="2" width="6.88333333333333" style="281" customWidth="1"/>
    <col min="3" max="3" width="5" style="281" customWidth="1"/>
    <col min="4" max="4" width="1.10833333333333" style="281" customWidth="1"/>
    <col min="5" max="5" width="3.775" style="281" customWidth="1"/>
    <col min="6" max="6" width="0.775" style="281" customWidth="1"/>
    <col min="7" max="7" width="4.44166666666667" style="281" customWidth="1"/>
    <col min="8" max="8" width="5" style="281" customWidth="1"/>
    <col min="9" max="9" width="3.775" style="281" customWidth="1"/>
    <col min="10" max="10" width="1.33333333333333" style="281" customWidth="1"/>
    <col min="11" max="11" width="1.775" style="281" customWidth="1"/>
    <col min="12" max="12" width="3.10833333333333" style="281" customWidth="1"/>
    <col min="13" max="13" width="4.10833333333333" style="281" customWidth="1"/>
    <col min="14" max="14" width="0.883333333333333" style="281" customWidth="1"/>
    <col min="15" max="15" width="5" style="281" customWidth="1"/>
    <col min="16" max="16" width="7" style="281" customWidth="1"/>
    <col min="17" max="17" width="1.88333333333333" style="281" customWidth="1"/>
    <col min="18" max="18" width="3.21666666666667" style="281" customWidth="1"/>
    <col min="19" max="19" width="1.10833333333333" style="281" customWidth="1"/>
    <col min="20" max="20" width="3.775" style="281" customWidth="1"/>
    <col min="21" max="21" width="5.10833333333333" style="281" customWidth="1"/>
    <col min="22" max="22" width="5" style="281" customWidth="1"/>
    <col min="23" max="23" width="0.883333333333333" style="281" customWidth="1"/>
    <col min="24" max="24" width="1.44166666666667" style="281" customWidth="1"/>
    <col min="25" max="25" width="2.775" style="281" customWidth="1"/>
    <col min="26" max="26" width="1.775" style="281" customWidth="1"/>
    <col min="27" max="27" width="3.10833333333333" style="281" customWidth="1"/>
    <col min="28" max="28" width="1.10833333333333" style="281" customWidth="1"/>
    <col min="29" max="29" width="3.88333333333333" style="281" customWidth="1"/>
    <col min="30" max="30" width="5" style="281" customWidth="1"/>
    <col min="31" max="16384" width="9" style="281"/>
  </cols>
  <sheetData>
    <row r="1" customHeight="1" spans="1:30">
      <c r="A1" s="282" t="s">
        <v>525</v>
      </c>
      <c r="B1" s="282"/>
      <c r="C1" s="282"/>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row>
    <row r="2" customHeight="1" spans="1:30">
      <c r="A2" s="282"/>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row>
    <row r="3" ht="24" customHeight="1" spans="1:30">
      <c r="B3" s="283" t="s">
        <v>526</v>
      </c>
      <c r="C3" s="283"/>
      <c r="D3" s="284"/>
      <c r="E3" s="284"/>
      <c r="F3" s="284"/>
      <c r="G3" s="284"/>
      <c r="H3" s="284"/>
      <c r="I3" s="284"/>
      <c r="J3" s="284"/>
      <c r="K3" s="284"/>
      <c r="L3" s="284"/>
      <c r="M3" s="284"/>
      <c r="N3" s="284"/>
      <c r="O3" s="284"/>
      <c r="P3" s="284"/>
      <c r="Q3" s="284"/>
      <c r="R3" s="284"/>
      <c r="S3" s="284"/>
      <c r="T3" s="283" t="s">
        <v>527</v>
      </c>
      <c r="U3" s="283"/>
      <c r="V3" s="283"/>
      <c r="W3" s="283"/>
      <c r="X3" s="285" t="str">
        <f>'Gen Inb'!S6</f>
        <v>南沙新港</v>
      </c>
      <c r="Y3" s="285"/>
      <c r="Z3" s="285"/>
      <c r="AA3" s="285"/>
      <c r="AB3" s="285"/>
      <c r="AC3" s="285"/>
      <c r="AD3" s="285"/>
    </row>
    <row r="4" ht="24" customHeight="1" spans="1:30">
      <c r="B4" s="286" t="s">
        <v>486</v>
      </c>
      <c r="C4" s="286"/>
      <c r="D4" s="286"/>
      <c r="E4" s="287" t="str">
        <f>'Gen Inb'!I6</f>
        <v>环球01 </v>
      </c>
      <c r="F4" s="287"/>
      <c r="G4" s="287"/>
      <c r="H4" s="287"/>
      <c r="I4" s="287"/>
      <c r="J4" s="286" t="s">
        <v>487</v>
      </c>
      <c r="K4" s="286"/>
      <c r="L4" s="286"/>
      <c r="M4" s="286"/>
      <c r="N4" s="286"/>
      <c r="O4" s="286"/>
      <c r="P4" s="288" t="str">
        <f>'Gen Inb'!F8</f>
        <v>利比里亚</v>
      </c>
      <c r="Q4" s="288"/>
      <c r="R4" s="288"/>
      <c r="S4" s="288"/>
      <c r="T4" s="286" t="s">
        <v>528</v>
      </c>
      <c r="U4" s="286"/>
      <c r="V4" s="289" t="s">
        <v>529</v>
      </c>
      <c r="W4" s="290"/>
      <c r="X4" s="290"/>
      <c r="Y4" s="290" t="s">
        <v>530</v>
      </c>
      <c r="Z4" s="290"/>
      <c r="AA4" s="290"/>
      <c r="AB4" s="290"/>
      <c r="AC4" s="290" t="s">
        <v>531</v>
      </c>
      <c r="AD4" s="291"/>
    </row>
    <row r="5" ht="24" customHeight="1" spans="1:30">
      <c r="B5" s="286" t="s">
        <v>15</v>
      </c>
      <c r="C5" s="286"/>
      <c r="D5" s="286"/>
      <c r="E5" s="292">
        <v>17</v>
      </c>
      <c r="F5" s="292"/>
      <c r="G5" s="292"/>
      <c r="H5" s="292"/>
      <c r="I5" s="292"/>
      <c r="J5" s="286" t="s">
        <v>532</v>
      </c>
      <c r="K5" s="286"/>
      <c r="L5" s="286"/>
      <c r="M5" s="286"/>
      <c r="N5" s="286"/>
      <c r="O5" s="286"/>
      <c r="P5" s="287" t="str">
        <f>'Gen Inb'!N24</f>
        <v>nil</v>
      </c>
      <c r="Q5" s="287"/>
      <c r="R5" s="287"/>
      <c r="S5" s="287"/>
      <c r="T5" s="286" t="s">
        <v>533</v>
      </c>
      <c r="U5" s="286"/>
      <c r="V5" s="293">
        <f>'Gen Inb'!E12</f>
        <v>15257</v>
      </c>
      <c r="W5" s="293"/>
      <c r="X5" s="293"/>
      <c r="Y5" s="286" t="s">
        <v>534</v>
      </c>
      <c r="Z5" s="286"/>
      <c r="AA5" s="286"/>
      <c r="AB5" s="286"/>
      <c r="AC5" s="293">
        <f>'Gen Inb'!L12</f>
        <v>7467</v>
      </c>
      <c r="AD5" s="293"/>
    </row>
    <row r="6" ht="24" customHeight="1" spans="1:30">
      <c r="B6" s="286" t="s">
        <v>535</v>
      </c>
      <c r="C6" s="286"/>
      <c r="D6" s="286"/>
      <c r="E6" s="294" t="str">
        <f>'Gen Outb'!M18&amp;"/"&amp;'Gen Outb'!T18</f>
        <v>南沙新港/示例国籍</v>
      </c>
      <c r="F6" s="295"/>
      <c r="G6" s="295"/>
      <c r="H6" s="295"/>
      <c r="I6" s="295"/>
      <c r="J6" s="295"/>
      <c r="K6" s="295"/>
      <c r="L6" s="295"/>
      <c r="M6" s="295"/>
      <c r="N6" s="295"/>
      <c r="O6" s="296"/>
      <c r="P6" s="286" t="s">
        <v>536</v>
      </c>
      <c r="Q6" s="286"/>
      <c r="R6" s="286"/>
      <c r="S6" s="286"/>
      <c r="T6" s="286"/>
      <c r="U6" s="286"/>
      <c r="V6" s="297">
        <f>'Gen Inb'!X6</f>
        <v>46219</v>
      </c>
      <c r="W6" s="297"/>
      <c r="X6" s="297"/>
      <c r="Y6" s="297"/>
      <c r="Z6" s="297"/>
      <c r="AA6" s="297"/>
      <c r="AB6" s="297"/>
      <c r="AC6" s="297"/>
      <c r="AD6" s="297"/>
    </row>
    <row r="7" ht="24" customHeight="1" spans="1:30">
      <c r="B7" s="286" t="s">
        <v>537</v>
      </c>
      <c r="C7" s="286"/>
      <c r="D7" s="286"/>
      <c r="E7" s="287" t="s">
        <v>146</v>
      </c>
      <c r="F7" s="287"/>
      <c r="G7" s="287"/>
      <c r="H7" s="287"/>
      <c r="I7" s="287"/>
      <c r="J7" s="286" t="s">
        <v>538</v>
      </c>
      <c r="K7" s="286"/>
      <c r="L7" s="286"/>
      <c r="M7" s="286"/>
      <c r="N7" s="286"/>
      <c r="O7" s="286"/>
      <c r="P7" s="287" t="s">
        <v>539</v>
      </c>
      <c r="Q7" s="287"/>
      <c r="R7" s="287"/>
      <c r="S7" s="287"/>
      <c r="T7" s="286" t="s">
        <v>540</v>
      </c>
      <c r="U7" s="286"/>
      <c r="V7" s="286"/>
      <c r="W7" s="286"/>
      <c r="X7" s="286"/>
      <c r="Y7" s="287" t="s">
        <v>600</v>
      </c>
      <c r="Z7" s="287"/>
      <c r="AA7" s="287"/>
      <c r="AB7" s="287"/>
      <c r="AC7" s="287"/>
      <c r="AD7" s="287"/>
    </row>
    <row r="8" ht="24" customHeight="1" spans="1:30">
      <c r="B8" s="286" t="s">
        <v>541</v>
      </c>
      <c r="C8" s="298" t="s">
        <v>542</v>
      </c>
      <c r="D8" s="299">
        <f>'Cstm Outb'!E8</f>
        <v>0</v>
      </c>
      <c r="E8" s="300"/>
      <c r="F8" s="301" t="s">
        <v>543</v>
      </c>
      <c r="G8" s="298"/>
      <c r="H8" s="299">
        <f>'Cstm Outb'!D8</f>
        <v>0</v>
      </c>
      <c r="I8" s="301" t="s">
        <v>544</v>
      </c>
      <c r="J8" s="298"/>
      <c r="K8" s="299">
        <v>0</v>
      </c>
      <c r="L8" s="300"/>
      <c r="M8" s="301" t="s">
        <v>545</v>
      </c>
      <c r="N8" s="298"/>
      <c r="O8" s="299">
        <v>0</v>
      </c>
      <c r="P8" s="286" t="s">
        <v>546</v>
      </c>
      <c r="Q8" s="301" t="s">
        <v>542</v>
      </c>
      <c r="R8" s="298"/>
      <c r="S8" s="299">
        <f>'Cstm Inb'!E9+'Cstm Inb'!I9+'Cstm Inb'!E11</f>
        <v>55</v>
      </c>
      <c r="T8" s="300"/>
      <c r="U8" s="298" t="s">
        <v>543</v>
      </c>
      <c r="V8" s="299">
        <f>'Cstm Inb'!D9+'Cstm Inb'!H9+'Cstm Inb'!D11</f>
        <v>22</v>
      </c>
      <c r="W8" s="301" t="s">
        <v>544</v>
      </c>
      <c r="X8" s="301"/>
      <c r="Y8" s="298"/>
      <c r="Z8" s="299">
        <f>'Cstm Inb'!I11</f>
        <v>0</v>
      </c>
      <c r="AA8" s="300"/>
      <c r="AB8" s="301" t="s">
        <v>545</v>
      </c>
      <c r="AC8" s="298"/>
      <c r="AD8" s="299">
        <f>'Cstm Inb'!H11</f>
        <v>35</v>
      </c>
    </row>
    <row r="9" ht="24" customHeight="1" spans="1:30">
      <c r="B9" s="286" t="s">
        <v>547</v>
      </c>
      <c r="C9" s="286"/>
      <c r="D9" s="286"/>
      <c r="E9" s="286"/>
      <c r="F9" s="286"/>
      <c r="G9" s="286"/>
      <c r="H9" s="286" t="s">
        <v>548</v>
      </c>
      <c r="I9" s="286"/>
      <c r="J9" s="286"/>
      <c r="K9" s="302"/>
      <c r="L9" s="291" t="s">
        <v>549</v>
      </c>
      <c r="M9" s="303"/>
      <c r="N9" s="303"/>
      <c r="O9" s="303"/>
      <c r="P9" s="286" t="s">
        <v>550</v>
      </c>
      <c r="Q9" s="286"/>
      <c r="R9" s="286"/>
      <c r="S9" s="286"/>
      <c r="T9" s="286"/>
      <c r="U9" s="286"/>
      <c r="V9" s="302" t="s">
        <v>548</v>
      </c>
      <c r="W9" s="304"/>
      <c r="X9" s="304"/>
      <c r="Y9" s="304"/>
      <c r="Z9" s="304"/>
      <c r="AA9" s="290" t="s">
        <v>549</v>
      </c>
      <c r="AB9" s="290"/>
      <c r="AC9" s="290"/>
      <c r="AD9" s="291"/>
    </row>
    <row r="10" ht="24" customHeight="1" spans="1:30">
      <c r="B10" s="286" t="s">
        <v>11</v>
      </c>
      <c r="C10" s="286"/>
      <c r="D10" s="286"/>
      <c r="E10" s="302" t="s">
        <v>551</v>
      </c>
      <c r="F10" s="304"/>
      <c r="G10" s="305" t="str">
        <f>'Gen Inb'!W8</f>
        <v>俄罗斯东方港</v>
      </c>
      <c r="H10" s="295"/>
      <c r="I10" s="295"/>
      <c r="J10" s="304" t="s">
        <v>552</v>
      </c>
      <c r="K10" s="304"/>
      <c r="L10" s="306" t="s">
        <v>12</v>
      </c>
      <c r="M10" s="287"/>
      <c r="N10" s="287"/>
      <c r="O10" s="287"/>
      <c r="P10" s="286" t="s">
        <v>553</v>
      </c>
      <c r="Q10" s="286"/>
      <c r="R10" s="286"/>
      <c r="S10" s="286"/>
      <c r="T10" s="286"/>
      <c r="U10" s="286"/>
      <c r="V10" s="287" t="str">
        <f>P7</f>
        <v>集装箱</v>
      </c>
      <c r="W10" s="287"/>
      <c r="X10" s="287"/>
      <c r="Y10" s="287"/>
      <c r="Z10" s="287"/>
      <c r="AA10" s="287"/>
      <c r="AB10" s="287"/>
      <c r="AC10" s="287"/>
      <c r="AD10" s="287"/>
    </row>
    <row r="11" ht="24" customHeight="1" spans="1:30">
      <c r="B11" s="286" t="s">
        <v>554</v>
      </c>
      <c r="C11" s="286"/>
      <c r="D11" s="286"/>
      <c r="E11" s="286"/>
      <c r="F11" s="286"/>
      <c r="G11" s="286"/>
      <c r="H11" s="307" t="s">
        <v>555</v>
      </c>
      <c r="I11" s="308"/>
      <c r="J11" s="308"/>
      <c r="K11" s="308"/>
      <c r="L11" s="308" t="s">
        <v>556</v>
      </c>
      <c r="M11" s="308"/>
      <c r="N11" s="308"/>
      <c r="O11" s="308"/>
      <c r="P11" s="308" t="s">
        <v>557</v>
      </c>
      <c r="Q11" s="308"/>
      <c r="R11" s="308"/>
      <c r="S11" s="308"/>
      <c r="T11" s="308"/>
      <c r="U11" s="308"/>
      <c r="V11" s="308" t="s">
        <v>558</v>
      </c>
      <c r="W11" s="308"/>
      <c r="X11" s="308"/>
      <c r="Y11" s="308"/>
      <c r="Z11" s="308"/>
      <c r="AA11" s="308"/>
      <c r="AB11" s="308"/>
      <c r="AC11" s="308"/>
      <c r="AD11" s="309"/>
    </row>
    <row r="12" ht="24" customHeight="1" spans="1:30">
      <c r="B12" s="286"/>
      <c r="C12" s="286"/>
      <c r="D12" s="286"/>
      <c r="E12" s="286"/>
      <c r="F12" s="286"/>
      <c r="G12" s="286"/>
      <c r="H12" s="310" t="s">
        <v>559</v>
      </c>
      <c r="I12" s="311"/>
      <c r="J12" s="311"/>
      <c r="K12" s="311"/>
      <c r="L12" s="311" t="s">
        <v>560</v>
      </c>
      <c r="M12" s="311"/>
      <c r="N12" s="311"/>
      <c r="O12" s="311"/>
      <c r="P12" s="312" t="s">
        <v>561</v>
      </c>
      <c r="Q12" s="312"/>
      <c r="R12" s="312"/>
      <c r="S12" s="312"/>
      <c r="T12" s="312"/>
      <c r="U12" s="312"/>
      <c r="V12" s="311" t="s">
        <v>562</v>
      </c>
      <c r="W12" s="311"/>
      <c r="X12" s="311"/>
      <c r="Y12" s="311"/>
      <c r="Z12" s="311"/>
      <c r="AA12" s="311"/>
      <c r="AB12" s="311"/>
      <c r="AC12" s="311"/>
      <c r="AD12" s="313"/>
    </row>
    <row r="13" ht="24" customHeight="1" spans="1:30">
      <c r="B13" s="286" t="s">
        <v>563</v>
      </c>
      <c r="C13" s="286"/>
      <c r="D13" s="286"/>
      <c r="E13" s="286"/>
      <c r="F13" s="286"/>
      <c r="G13" s="286"/>
      <c r="H13" s="286"/>
      <c r="I13" s="286"/>
      <c r="J13" s="286"/>
      <c r="K13" s="286"/>
      <c r="L13" s="286"/>
      <c r="M13" s="286"/>
      <c r="N13" s="286"/>
      <c r="O13" s="286"/>
      <c r="P13" s="314" t="s">
        <v>601</v>
      </c>
      <c r="Q13" s="287"/>
      <c r="R13" s="287"/>
      <c r="S13" s="287"/>
      <c r="T13" s="287"/>
      <c r="U13" s="287"/>
      <c r="V13" s="287"/>
      <c r="W13" s="287"/>
      <c r="X13" s="287"/>
      <c r="Y13" s="287"/>
      <c r="Z13" s="287"/>
      <c r="AA13" s="287"/>
      <c r="AB13" s="287"/>
      <c r="AC13" s="287"/>
      <c r="AD13" s="287"/>
    </row>
    <row r="14" ht="24" customHeight="1" spans="1:30">
      <c r="B14" s="286" t="s">
        <v>564</v>
      </c>
      <c r="C14" s="286"/>
      <c r="D14" s="286"/>
      <c r="E14" s="286"/>
      <c r="F14" s="286"/>
      <c r="G14" s="286"/>
      <c r="H14" s="286"/>
      <c r="I14" s="286"/>
      <c r="J14" s="286"/>
      <c r="K14" s="286"/>
      <c r="L14" s="286"/>
      <c r="M14" s="286"/>
      <c r="N14" s="286"/>
      <c r="O14" s="286"/>
      <c r="P14" s="287" t="s">
        <v>565</v>
      </c>
      <c r="Q14" s="287"/>
      <c r="R14" s="287"/>
      <c r="S14" s="287"/>
      <c r="T14" s="287"/>
      <c r="U14" s="287"/>
      <c r="V14" s="287"/>
      <c r="W14" s="287"/>
      <c r="X14" s="287"/>
      <c r="Y14" s="287"/>
      <c r="Z14" s="287"/>
      <c r="AA14" s="287"/>
      <c r="AB14" s="287"/>
      <c r="AC14" s="287"/>
      <c r="AD14" s="287"/>
    </row>
    <row r="15" ht="24" customHeight="1" spans="1:30">
      <c r="B15" s="286" t="s">
        <v>566</v>
      </c>
      <c r="C15" s="286"/>
      <c r="D15" s="286"/>
      <c r="E15" s="286"/>
      <c r="F15" s="286"/>
      <c r="G15" s="286"/>
      <c r="H15" s="302" t="s">
        <v>567</v>
      </c>
      <c r="I15" s="304"/>
      <c r="J15" s="304"/>
      <c r="K15" s="304"/>
      <c r="L15" s="290" t="s">
        <v>565</v>
      </c>
      <c r="M15" s="290"/>
      <c r="N15" s="290"/>
      <c r="O15" s="291"/>
      <c r="P15" s="286" t="s">
        <v>568</v>
      </c>
      <c r="Q15" s="286"/>
      <c r="R15" s="286"/>
      <c r="S15" s="286"/>
      <c r="T15" s="286"/>
      <c r="U15" s="286"/>
      <c r="V15" s="302" t="s">
        <v>548</v>
      </c>
      <c r="W15" s="304"/>
      <c r="X15" s="304"/>
      <c r="Y15" s="304"/>
      <c r="Z15" s="304"/>
      <c r="AA15" s="290" t="s">
        <v>549</v>
      </c>
      <c r="AB15" s="290"/>
      <c r="AC15" s="290"/>
      <c r="AD15" s="291"/>
    </row>
    <row r="16" ht="24" customHeight="1" spans="1:30">
      <c r="B16" s="286" t="s">
        <v>569</v>
      </c>
      <c r="C16" s="286"/>
      <c r="D16" s="286"/>
      <c r="E16" s="286"/>
      <c r="F16" s="286"/>
      <c r="G16" s="286"/>
      <c r="H16" s="314"/>
      <c r="I16" s="287"/>
      <c r="J16" s="287"/>
      <c r="K16" s="287"/>
      <c r="L16" s="287"/>
      <c r="M16" s="287"/>
      <c r="N16" s="287"/>
      <c r="O16" s="287"/>
      <c r="P16" s="286" t="s">
        <v>570</v>
      </c>
      <c r="Q16" s="286"/>
      <c r="R16" s="286"/>
      <c r="S16" s="286"/>
      <c r="T16" s="286"/>
      <c r="U16" s="286"/>
      <c r="V16" s="287"/>
      <c r="W16" s="287"/>
      <c r="X16" s="287"/>
      <c r="Y16" s="287"/>
      <c r="Z16" s="287"/>
      <c r="AA16" s="287"/>
      <c r="AB16" s="287"/>
      <c r="AC16" s="287"/>
      <c r="AD16" s="287"/>
    </row>
    <row r="17" ht="24" customHeight="1" spans="2:30">
      <c r="B17" s="286" t="s">
        <v>602</v>
      </c>
      <c r="C17" s="286"/>
      <c r="D17" s="286"/>
      <c r="E17" s="286"/>
      <c r="F17" s="286"/>
      <c r="G17" s="286"/>
      <c r="H17" s="289" t="s">
        <v>571</v>
      </c>
      <c r="I17" s="290"/>
      <c r="J17" s="290"/>
      <c r="K17" s="290"/>
      <c r="L17" s="290"/>
      <c r="M17" s="290"/>
      <c r="N17" s="290" t="s">
        <v>572</v>
      </c>
      <c r="O17" s="290"/>
      <c r="P17" s="290"/>
      <c r="Q17" s="290"/>
      <c r="R17" s="290" t="s">
        <v>573</v>
      </c>
      <c r="S17" s="290"/>
      <c r="T17" s="290"/>
      <c r="U17" s="290"/>
      <c r="V17" s="290"/>
      <c r="W17" s="290"/>
      <c r="X17" s="290" t="s">
        <v>574</v>
      </c>
      <c r="Y17" s="290"/>
      <c r="Z17" s="290"/>
      <c r="AA17" s="290"/>
      <c r="AB17" s="290"/>
      <c r="AC17" s="290"/>
      <c r="AD17" s="291"/>
    </row>
    <row r="18" ht="24" customHeight="1" spans="2:30">
      <c r="B18" s="315" t="s">
        <v>575</v>
      </c>
      <c r="C18" s="315"/>
      <c r="D18" s="315"/>
      <c r="E18" s="315"/>
      <c r="F18" s="315"/>
      <c r="G18" s="315"/>
      <c r="H18" s="315"/>
      <c r="I18" s="315"/>
      <c r="J18" s="315"/>
      <c r="K18" s="315"/>
      <c r="L18" s="315"/>
      <c r="M18" s="315"/>
      <c r="N18" s="315"/>
      <c r="O18" s="315"/>
      <c r="P18" s="307" t="s">
        <v>576</v>
      </c>
      <c r="Q18" s="316" t="s">
        <v>577</v>
      </c>
      <c r="R18" s="316"/>
      <c r="S18" s="316"/>
      <c r="T18" s="316"/>
      <c r="U18" s="317"/>
      <c r="V18" s="317"/>
      <c r="W18" s="317"/>
      <c r="X18" s="317"/>
      <c r="Y18" s="317"/>
      <c r="Z18" s="317"/>
      <c r="AA18" s="317"/>
      <c r="AB18" s="308" t="s">
        <v>578</v>
      </c>
      <c r="AC18" s="308"/>
      <c r="AD18" s="309"/>
    </row>
    <row r="19" ht="24" customHeight="1" spans="2:30">
      <c r="B19" s="318" t="s">
        <v>579</v>
      </c>
      <c r="C19" s="318"/>
      <c r="D19" s="318"/>
      <c r="E19" s="318"/>
      <c r="F19" s="318"/>
      <c r="G19" s="318"/>
      <c r="H19" s="318"/>
      <c r="I19" s="318"/>
      <c r="J19" s="318"/>
      <c r="K19" s="318"/>
      <c r="L19" s="318"/>
      <c r="M19" s="318"/>
      <c r="N19" s="318"/>
      <c r="O19" s="318"/>
      <c r="P19" s="319" t="s">
        <v>576</v>
      </c>
      <c r="Q19" s="320" t="s">
        <v>577</v>
      </c>
      <c r="R19" s="320"/>
      <c r="S19" s="320"/>
      <c r="T19" s="320"/>
      <c r="U19" s="321"/>
      <c r="V19" s="321"/>
      <c r="W19" s="321"/>
      <c r="X19" s="321"/>
      <c r="Y19" s="321"/>
      <c r="Z19" s="321"/>
      <c r="AA19" s="321"/>
      <c r="AB19" s="322" t="s">
        <v>578</v>
      </c>
      <c r="AC19" s="322"/>
      <c r="AD19" s="323"/>
    </row>
    <row r="20" ht="24" customHeight="1" spans="2:30">
      <c r="B20" s="318" t="s">
        <v>580</v>
      </c>
      <c r="C20" s="318"/>
      <c r="D20" s="318"/>
      <c r="E20" s="318"/>
      <c r="F20" s="318"/>
      <c r="G20" s="318"/>
      <c r="H20" s="318"/>
      <c r="I20" s="318"/>
      <c r="J20" s="318"/>
      <c r="K20" s="318"/>
      <c r="L20" s="318"/>
      <c r="M20" s="318"/>
      <c r="N20" s="318"/>
      <c r="O20" s="318"/>
      <c r="P20" s="319" t="s">
        <v>576</v>
      </c>
      <c r="Q20" s="320" t="s">
        <v>577</v>
      </c>
      <c r="R20" s="320"/>
      <c r="S20" s="320"/>
      <c r="T20" s="320"/>
      <c r="U20" s="324"/>
      <c r="V20" s="324"/>
      <c r="W20" s="324"/>
      <c r="X20" s="324"/>
      <c r="Y20" s="324"/>
      <c r="Z20" s="324"/>
      <c r="AA20" s="324"/>
      <c r="AB20" s="322" t="s">
        <v>578</v>
      </c>
      <c r="AC20" s="322"/>
      <c r="AD20" s="323"/>
    </row>
    <row r="21" ht="24" customHeight="1" spans="2:30">
      <c r="B21" s="318" t="s">
        <v>581</v>
      </c>
      <c r="C21" s="318"/>
      <c r="D21" s="318"/>
      <c r="E21" s="318"/>
      <c r="F21" s="318"/>
      <c r="G21" s="318"/>
      <c r="H21" s="318"/>
      <c r="I21" s="318"/>
      <c r="J21" s="318"/>
      <c r="K21" s="318"/>
      <c r="L21" s="318"/>
      <c r="M21" s="318"/>
      <c r="N21" s="318"/>
      <c r="O21" s="318"/>
      <c r="P21" s="319" t="s">
        <v>576</v>
      </c>
      <c r="Q21" s="320" t="s">
        <v>577</v>
      </c>
      <c r="R21" s="320"/>
      <c r="S21" s="320"/>
      <c r="T21" s="320"/>
      <c r="U21" s="321"/>
      <c r="V21" s="321"/>
      <c r="W21" s="321"/>
      <c r="X21" s="321"/>
      <c r="Y21" s="321"/>
      <c r="Z21" s="321"/>
      <c r="AA21" s="321"/>
      <c r="AB21" s="322" t="s">
        <v>578</v>
      </c>
      <c r="AC21" s="322"/>
      <c r="AD21" s="323"/>
    </row>
    <row r="22" ht="24" customHeight="1" spans="2:30">
      <c r="B22" s="325" t="s">
        <v>582</v>
      </c>
      <c r="C22" s="325"/>
      <c r="D22" s="325"/>
      <c r="E22" s="325"/>
      <c r="F22" s="325"/>
      <c r="G22" s="325"/>
      <c r="H22" s="325"/>
      <c r="I22" s="325"/>
      <c r="J22" s="325"/>
      <c r="K22" s="325"/>
      <c r="L22" s="325"/>
      <c r="M22" s="325"/>
      <c r="N22" s="325"/>
      <c r="O22" s="325"/>
      <c r="P22" s="310" t="s">
        <v>576</v>
      </c>
      <c r="Q22" s="326" t="s">
        <v>577</v>
      </c>
      <c r="R22" s="326"/>
      <c r="S22" s="326"/>
      <c r="T22" s="326"/>
      <c r="U22" s="327"/>
      <c r="V22" s="327"/>
      <c r="W22" s="327"/>
      <c r="X22" s="327"/>
      <c r="Y22" s="327"/>
      <c r="Z22" s="327"/>
      <c r="AA22" s="327"/>
      <c r="AB22" s="311" t="s">
        <v>578</v>
      </c>
      <c r="AC22" s="311"/>
      <c r="AD22" s="313"/>
    </row>
    <row r="23" ht="24" customHeight="1" spans="2:30">
      <c r="B23" s="303" t="s">
        <v>583</v>
      </c>
      <c r="C23" s="303"/>
      <c r="D23" s="303"/>
      <c r="E23" s="303"/>
      <c r="F23" s="303"/>
      <c r="G23" s="303"/>
      <c r="H23" s="302" t="s">
        <v>584</v>
      </c>
      <c r="I23" s="304"/>
      <c r="J23" s="304"/>
      <c r="K23" s="304"/>
      <c r="L23" s="304" t="s">
        <v>585</v>
      </c>
      <c r="M23" s="304"/>
      <c r="N23" s="304"/>
      <c r="O23" s="304"/>
      <c r="P23" s="304" t="s">
        <v>586</v>
      </c>
      <c r="Q23" s="304"/>
      <c r="R23" s="304"/>
      <c r="S23" s="304"/>
      <c r="T23" s="304"/>
      <c r="U23" s="304"/>
      <c r="V23" s="304"/>
      <c r="W23" s="304"/>
      <c r="X23" s="304"/>
      <c r="Y23" s="304"/>
      <c r="Z23" s="304" t="s">
        <v>587</v>
      </c>
      <c r="AA23" s="304"/>
      <c r="AB23" s="304"/>
      <c r="AC23" s="304"/>
      <c r="AD23" s="328"/>
    </row>
    <row r="24" ht="24" customHeight="1" spans="2:30">
      <c r="B24" s="303" t="s">
        <v>588</v>
      </c>
      <c r="C24" s="303"/>
      <c r="D24" s="303"/>
      <c r="E24" s="303"/>
      <c r="F24" s="303"/>
      <c r="G24" s="303"/>
      <c r="H24" s="302" t="s">
        <v>584</v>
      </c>
      <c r="I24" s="304"/>
      <c r="J24" s="304"/>
      <c r="K24" s="304"/>
      <c r="L24" s="304" t="s">
        <v>585</v>
      </c>
      <c r="M24" s="304"/>
      <c r="N24" s="304"/>
      <c r="O24" s="304"/>
      <c r="P24" s="328"/>
      <c r="Q24" s="286"/>
      <c r="R24" s="286"/>
      <c r="S24" s="286"/>
      <c r="T24" s="286"/>
      <c r="U24" s="286"/>
      <c r="V24" s="286"/>
      <c r="W24" s="286"/>
      <c r="X24" s="286"/>
      <c r="Y24" s="286"/>
      <c r="Z24" s="286"/>
      <c r="AA24" s="286"/>
      <c r="AB24" s="286"/>
      <c r="AC24" s="286"/>
      <c r="AD24" s="286"/>
    </row>
    <row r="25" ht="24" customHeight="1" spans="2:30">
      <c r="B25" s="303" t="s">
        <v>589</v>
      </c>
      <c r="C25" s="303"/>
      <c r="D25" s="303"/>
      <c r="E25" s="303"/>
      <c r="F25" s="303"/>
      <c r="G25" s="303"/>
      <c r="H25" s="302" t="s">
        <v>584</v>
      </c>
      <c r="I25" s="304"/>
      <c r="J25" s="304"/>
      <c r="K25" s="304"/>
      <c r="L25" s="304" t="s">
        <v>585</v>
      </c>
      <c r="M25" s="304"/>
      <c r="N25" s="304"/>
      <c r="O25" s="304"/>
      <c r="P25" s="304" t="s">
        <v>586</v>
      </c>
      <c r="Q25" s="304"/>
      <c r="R25" s="304"/>
      <c r="S25" s="304"/>
      <c r="T25" s="304"/>
      <c r="U25" s="329"/>
      <c r="V25" s="329"/>
      <c r="W25" s="329"/>
      <c r="X25" s="329"/>
      <c r="Y25" s="329"/>
      <c r="Z25" s="330"/>
      <c r="AA25" s="330"/>
      <c r="AB25" s="330"/>
      <c r="AC25" s="330"/>
      <c r="AD25" s="331"/>
    </row>
    <row r="26" ht="24" customHeight="1" spans="2:30">
      <c r="B26" s="307" t="s">
        <v>590</v>
      </c>
      <c r="C26" s="308"/>
      <c r="D26" s="308"/>
      <c r="E26" s="308"/>
      <c r="F26" s="308"/>
      <c r="G26" s="308"/>
      <c r="H26" s="316"/>
      <c r="I26" s="316"/>
      <c r="J26" s="316"/>
      <c r="K26" s="316"/>
      <c r="L26" s="316"/>
      <c r="M26" s="316"/>
      <c r="N26" s="316"/>
      <c r="O26" s="316"/>
      <c r="P26" s="316"/>
      <c r="Q26" s="316"/>
      <c r="R26" s="316"/>
      <c r="S26" s="316"/>
      <c r="T26" s="316"/>
      <c r="U26" s="316"/>
      <c r="V26" s="316"/>
      <c r="W26" s="316"/>
      <c r="X26" s="316"/>
      <c r="Y26" s="316"/>
      <c r="Z26" s="316"/>
      <c r="AA26" s="316"/>
      <c r="AB26" s="316"/>
      <c r="AC26" s="316"/>
      <c r="AD26" s="332"/>
    </row>
    <row r="27" ht="24" customHeight="1" spans="2:30">
      <c r="B27" s="333"/>
      <c r="C27" s="334"/>
      <c r="D27" s="334"/>
      <c r="E27" s="334"/>
      <c r="F27" s="334"/>
      <c r="G27" s="334"/>
      <c r="H27" s="334"/>
      <c r="I27" s="334"/>
      <c r="J27" s="334"/>
      <c r="K27" s="334"/>
      <c r="L27" s="334"/>
      <c r="M27" s="334"/>
      <c r="N27" s="334"/>
      <c r="O27" s="334"/>
      <c r="P27" s="334"/>
      <c r="Q27" s="334"/>
      <c r="R27" s="334"/>
      <c r="S27" s="334"/>
      <c r="T27" s="334"/>
      <c r="U27" s="334"/>
      <c r="V27" s="334"/>
      <c r="W27" s="334"/>
      <c r="X27" s="334"/>
      <c r="Y27" s="334"/>
      <c r="Z27" s="334"/>
      <c r="AA27" s="334"/>
      <c r="AB27" s="334"/>
      <c r="AC27" s="334"/>
      <c r="AD27" s="335"/>
    </row>
    <row r="28" ht="24" customHeight="1" spans="2:30">
      <c r="B28" s="336"/>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c r="AA28" s="320"/>
      <c r="AB28" s="320"/>
      <c r="AC28" s="320"/>
      <c r="AD28" s="337"/>
    </row>
    <row r="29" ht="24" customHeight="1" spans="2:30">
      <c r="B29" s="319" t="s">
        <v>591</v>
      </c>
      <c r="C29" s="322"/>
      <c r="D29" s="322"/>
      <c r="E29" s="322"/>
      <c r="F29" s="322"/>
      <c r="G29" s="322"/>
      <c r="H29" s="320"/>
      <c r="I29" s="320"/>
      <c r="J29" s="320"/>
      <c r="K29" s="320"/>
      <c r="L29" s="320"/>
      <c r="M29" s="320"/>
      <c r="N29" s="320"/>
      <c r="O29" s="320"/>
      <c r="P29" s="338" t="s">
        <v>592</v>
      </c>
      <c r="Q29" s="338"/>
      <c r="R29" s="339"/>
      <c r="S29" s="339"/>
      <c r="T29" s="339">
        <v>20</v>
      </c>
      <c r="U29" s="339"/>
      <c r="V29" s="339" t="s">
        <v>593</v>
      </c>
      <c r="W29" s="339"/>
      <c r="X29" s="339" t="s">
        <v>594</v>
      </c>
      <c r="Y29" s="339"/>
      <c r="Z29" s="339"/>
      <c r="AA29" s="340" t="s">
        <v>595</v>
      </c>
      <c r="AB29" s="339"/>
      <c r="AC29" s="338" t="s">
        <v>596</v>
      </c>
      <c r="AD29" s="341" t="s">
        <v>597</v>
      </c>
    </row>
    <row r="30" ht="24" customHeight="1" spans="2:30">
      <c r="B30" s="310" t="s">
        <v>598</v>
      </c>
      <c r="C30" s="311"/>
      <c r="D30" s="311"/>
      <c r="E30" s="311"/>
      <c r="F30" s="311"/>
      <c r="G30" s="311"/>
      <c r="H30" s="326"/>
      <c r="I30" s="326"/>
      <c r="J30" s="326"/>
      <c r="K30" s="326"/>
      <c r="L30" s="326"/>
      <c r="M30" s="326"/>
      <c r="N30" s="326"/>
      <c r="O30" s="326"/>
      <c r="P30" s="342" t="s">
        <v>599</v>
      </c>
      <c r="Q30" s="342"/>
      <c r="R30" s="343"/>
      <c r="S30" s="343"/>
      <c r="T30" s="343">
        <v>20</v>
      </c>
      <c r="U30" s="343"/>
      <c r="V30" s="343" t="s">
        <v>593</v>
      </c>
      <c r="W30" s="343"/>
      <c r="X30" s="343" t="s">
        <v>594</v>
      </c>
      <c r="Y30" s="343"/>
      <c r="Z30" s="343"/>
      <c r="AA30" s="344" t="s">
        <v>595</v>
      </c>
      <c r="AB30" s="343"/>
      <c r="AC30" s="342" t="s">
        <v>596</v>
      </c>
      <c r="AD30" s="345" t="s">
        <v>597</v>
      </c>
    </row>
  </sheetData>
  <mergeCells count="128">
    <mergeCell ref="B3:C3"/>
    <mergeCell ref="D3:S3"/>
    <mergeCell ref="T3:W3"/>
    <mergeCell ref="X3:AD3"/>
    <mergeCell ref="B4:D4"/>
    <mergeCell ref="E4:I4"/>
    <mergeCell ref="J4:O4"/>
    <mergeCell ref="P4:S4"/>
    <mergeCell ref="T4:U4"/>
    <mergeCell ref="V4:X4"/>
    <mergeCell ref="Y4:AB4"/>
    <mergeCell ref="AC4:AD4"/>
    <mergeCell ref="B5:D5"/>
    <mergeCell ref="E5:I5"/>
    <mergeCell ref="J5:O5"/>
    <mergeCell ref="P5:S5"/>
    <mergeCell ref="T5:U5"/>
    <mergeCell ref="V5:X5"/>
    <mergeCell ref="Y5:AB5"/>
    <mergeCell ref="AC5:AD5"/>
    <mergeCell ref="B6:D6"/>
    <mergeCell ref="E6:O6"/>
    <mergeCell ref="P6:U6"/>
    <mergeCell ref="V6:AD6"/>
    <mergeCell ref="B7:D7"/>
    <mergeCell ref="E7:I7"/>
    <mergeCell ref="J7:O7"/>
    <mergeCell ref="P7:S7"/>
    <mergeCell ref="T7:X7"/>
    <mergeCell ref="Y7:AD7"/>
    <mergeCell ref="D8:E8"/>
    <mergeCell ref="F8:G8"/>
    <mergeCell ref="I8:J8"/>
    <mergeCell ref="K8:L8"/>
    <mergeCell ref="M8:N8"/>
    <mergeCell ref="Q8:R8"/>
    <mergeCell ref="S8:T8"/>
    <mergeCell ref="W8:Y8"/>
    <mergeCell ref="Z8:AA8"/>
    <mergeCell ref="AB8:AC8"/>
    <mergeCell ref="B9:G9"/>
    <mergeCell ref="H9:K9"/>
    <mergeCell ref="L9:O9"/>
    <mergeCell ref="P9:U9"/>
    <mergeCell ref="V9:Z9"/>
    <mergeCell ref="AA9:AD9"/>
    <mergeCell ref="B10:D10"/>
    <mergeCell ref="E10:F10"/>
    <mergeCell ref="G10:I10"/>
    <mergeCell ref="J10:K10"/>
    <mergeCell ref="L10:O10"/>
    <mergeCell ref="P10:U10"/>
    <mergeCell ref="V10:AD10"/>
    <mergeCell ref="H11:K11"/>
    <mergeCell ref="L11:O11"/>
    <mergeCell ref="P11:U11"/>
    <mergeCell ref="V11:AD11"/>
    <mergeCell ref="H12:K12"/>
    <mergeCell ref="L12:O12"/>
    <mergeCell ref="P12:U12"/>
    <mergeCell ref="V12:AD12"/>
    <mergeCell ref="B13:O13"/>
    <mergeCell ref="P13:AD13"/>
    <mergeCell ref="B14:O14"/>
    <mergeCell ref="P14:AD14"/>
    <mergeCell ref="B15:G15"/>
    <mergeCell ref="H15:K15"/>
    <mergeCell ref="L15:O15"/>
    <mergeCell ref="P15:U15"/>
    <mergeCell ref="V15:Z15"/>
    <mergeCell ref="AA15:AD15"/>
    <mergeCell ref="B16:G16"/>
    <mergeCell ref="H16:O16"/>
    <mergeCell ref="P16:U16"/>
    <mergeCell ref="V16:AD16"/>
    <mergeCell ref="B17:G17"/>
    <mergeCell ref="H17:M17"/>
    <mergeCell ref="N17:Q17"/>
    <mergeCell ref="R17:W17"/>
    <mergeCell ref="X17:AD17"/>
    <mergeCell ref="B18:O18"/>
    <mergeCell ref="Q18:T18"/>
    <mergeCell ref="U18:AA18"/>
    <mergeCell ref="AB18:AD18"/>
    <mergeCell ref="B19:O19"/>
    <mergeCell ref="Q19:T19"/>
    <mergeCell ref="U19:AA19"/>
    <mergeCell ref="AB19:AD19"/>
    <mergeCell ref="B20:O20"/>
    <mergeCell ref="Q20:T20"/>
    <mergeCell ref="U20:AA20"/>
    <mergeCell ref="AB20:AD20"/>
    <mergeCell ref="B21:O21"/>
    <mergeCell ref="Q21:T21"/>
    <mergeCell ref="U21:AA21"/>
    <mergeCell ref="AB21:AD21"/>
    <mergeCell ref="B22:O22"/>
    <mergeCell ref="Q22:T22"/>
    <mergeCell ref="U22:AA22"/>
    <mergeCell ref="AB22:AD22"/>
    <mergeCell ref="B23:G23"/>
    <mergeCell ref="H23:K23"/>
    <mergeCell ref="L23:O23"/>
    <mergeCell ref="P23:T23"/>
    <mergeCell ref="U23:Y23"/>
    <mergeCell ref="Z23:AD23"/>
    <mergeCell ref="B24:G24"/>
    <mergeCell ref="H24:K24"/>
    <mergeCell ref="L24:O24"/>
    <mergeCell ref="P24:AD24"/>
    <mergeCell ref="B25:G25"/>
    <mergeCell ref="H25:K25"/>
    <mergeCell ref="L25:O25"/>
    <mergeCell ref="P25:T25"/>
    <mergeCell ref="U25:Y25"/>
    <mergeCell ref="Z25:AD25"/>
    <mergeCell ref="B26:G26"/>
    <mergeCell ref="H26:AD26"/>
    <mergeCell ref="B27:AD27"/>
    <mergeCell ref="B28:AD28"/>
    <mergeCell ref="B29:G29"/>
    <mergeCell ref="H29:O29"/>
    <mergeCell ref="P29:Q29"/>
    <mergeCell ref="B30:G30"/>
    <mergeCell ref="H30:O30"/>
    <mergeCell ref="P30:Q30"/>
    <mergeCell ref="A1:AD2"/>
    <mergeCell ref="B11:G12"/>
  </mergeCells>
  <pageMargins left="0" right="0" top="0" bottom="0" header="0.313888888888889" footer="0.313888888888889"/>
  <pageSetup paperSize="9"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7172" name="Check Box 4" r:id="rId3">
              <controlPr defaultSize="0">
                <anchor moveWithCells="1">
                  <from>
                    <xdr:col>9</xdr:col>
                    <xdr:colOff>0</xdr:colOff>
                    <xdr:row>8</xdr:row>
                    <xdr:rowOff>38100</xdr:rowOff>
                  </from>
                  <to>
                    <xdr:col>11</xdr:col>
                    <xdr:colOff>68580</xdr:colOff>
                    <xdr:row>8</xdr:row>
                    <xdr:rowOff>251460</xdr:rowOff>
                  </to>
                </anchor>
              </controlPr>
            </control>
          </mc:Choice>
        </mc:AlternateContent>
        <mc:AlternateContent xmlns:mc="http://schemas.openxmlformats.org/markup-compatibility/2006">
          <mc:Choice Requires="x14">
            <control shapeId="7173" name="Check Box 5" r:id="rId4">
              <controlPr defaultSize="0">
                <anchor moveWithCells="1">
                  <from>
                    <xdr:col>12</xdr:col>
                    <xdr:colOff>99060</xdr:colOff>
                    <xdr:row>8</xdr:row>
                    <xdr:rowOff>38100</xdr:rowOff>
                  </from>
                  <to>
                    <xdr:col>14</xdr:col>
                    <xdr:colOff>22860</xdr:colOff>
                    <xdr:row>8</xdr:row>
                    <xdr:rowOff>251460</xdr:rowOff>
                  </to>
                </anchor>
              </controlPr>
            </control>
          </mc:Choice>
        </mc:AlternateContent>
        <mc:AlternateContent xmlns:mc="http://schemas.openxmlformats.org/markup-compatibility/2006">
          <mc:Choice Requires="x14">
            <control shapeId="7174" name="Check Box 6" r:id="rId5">
              <controlPr defaultSize="0">
                <anchor moveWithCells="1">
                  <from>
                    <xdr:col>24</xdr:col>
                    <xdr:colOff>0</xdr:colOff>
                    <xdr:row>8</xdr:row>
                    <xdr:rowOff>45720</xdr:rowOff>
                  </from>
                  <to>
                    <xdr:col>25</xdr:col>
                    <xdr:colOff>99060</xdr:colOff>
                    <xdr:row>8</xdr:row>
                    <xdr:rowOff>259080</xdr:rowOff>
                  </to>
                </anchor>
              </controlPr>
            </control>
          </mc:Choice>
        </mc:AlternateContent>
        <mc:AlternateContent xmlns:mc="http://schemas.openxmlformats.org/markup-compatibility/2006">
          <mc:Choice Requires="x14">
            <control shapeId="7175" name="Check Box 7" r:id="rId6">
              <controlPr defaultSize="0">
                <anchor moveWithCells="1">
                  <from>
                    <xdr:col>28</xdr:col>
                    <xdr:colOff>30480</xdr:colOff>
                    <xdr:row>8</xdr:row>
                    <xdr:rowOff>45720</xdr:rowOff>
                  </from>
                  <to>
                    <xdr:col>29</xdr:col>
                    <xdr:colOff>38100</xdr:colOff>
                    <xdr:row>8</xdr:row>
                    <xdr:rowOff>259080</xdr:rowOff>
                  </to>
                </anchor>
              </controlPr>
            </control>
          </mc:Choice>
        </mc:AlternateContent>
        <mc:AlternateContent xmlns:mc="http://schemas.openxmlformats.org/markup-compatibility/2006">
          <mc:Choice Requires="x14">
            <control shapeId="7176" name="Check Box 8" r:id="rId7">
              <controlPr defaultSize="0">
                <anchor moveWithCells="1">
                  <from>
                    <xdr:col>9</xdr:col>
                    <xdr:colOff>22860</xdr:colOff>
                    <xdr:row>10</xdr:row>
                    <xdr:rowOff>60960</xdr:rowOff>
                  </from>
                  <to>
                    <xdr:col>11</xdr:col>
                    <xdr:colOff>83820</xdr:colOff>
                    <xdr:row>10</xdr:row>
                    <xdr:rowOff>266700</xdr:rowOff>
                  </to>
                </anchor>
              </controlPr>
            </control>
          </mc:Choice>
        </mc:AlternateContent>
        <mc:AlternateContent xmlns:mc="http://schemas.openxmlformats.org/markup-compatibility/2006">
          <mc:Choice Requires="x14">
            <control shapeId="7178" name="Check Box 10" r:id="rId8">
              <controlPr defaultSize="0">
                <anchor moveWithCells="1">
                  <from>
                    <xdr:col>14</xdr:col>
                    <xdr:colOff>45720</xdr:colOff>
                    <xdr:row>10</xdr:row>
                    <xdr:rowOff>60960</xdr:rowOff>
                  </from>
                  <to>
                    <xdr:col>14</xdr:col>
                    <xdr:colOff>350520</xdr:colOff>
                    <xdr:row>10</xdr:row>
                    <xdr:rowOff>266700</xdr:rowOff>
                  </to>
                </anchor>
              </controlPr>
            </control>
          </mc:Choice>
        </mc:AlternateContent>
        <mc:AlternateContent xmlns:mc="http://schemas.openxmlformats.org/markup-compatibility/2006">
          <mc:Choice Requires="x14">
            <control shapeId="7179" name="Check Box 11" r:id="rId9">
              <controlPr defaultSize="0">
                <anchor moveWithCells="1">
                  <from>
                    <xdr:col>20</xdr:col>
                    <xdr:colOff>45720</xdr:colOff>
                    <xdr:row>10</xdr:row>
                    <xdr:rowOff>60960</xdr:rowOff>
                  </from>
                  <to>
                    <xdr:col>20</xdr:col>
                    <xdr:colOff>350520</xdr:colOff>
                    <xdr:row>10</xdr:row>
                    <xdr:rowOff>266700</xdr:rowOff>
                  </to>
                </anchor>
              </controlPr>
            </control>
          </mc:Choice>
        </mc:AlternateContent>
        <mc:AlternateContent xmlns:mc="http://schemas.openxmlformats.org/markup-compatibility/2006">
          <mc:Choice Requires="x14">
            <control shapeId="7180" name="Check Box 12" r:id="rId10">
              <controlPr defaultSize="0">
                <anchor moveWithCells="1">
                  <from>
                    <xdr:col>28</xdr:col>
                    <xdr:colOff>152400</xdr:colOff>
                    <xdr:row>10</xdr:row>
                    <xdr:rowOff>60960</xdr:rowOff>
                  </from>
                  <to>
                    <xdr:col>29</xdr:col>
                    <xdr:colOff>160020</xdr:colOff>
                    <xdr:row>10</xdr:row>
                    <xdr:rowOff>266700</xdr:rowOff>
                  </to>
                </anchor>
              </controlPr>
            </control>
          </mc:Choice>
        </mc:AlternateContent>
        <mc:AlternateContent xmlns:mc="http://schemas.openxmlformats.org/markup-compatibility/2006">
          <mc:Choice Requires="x14">
            <control shapeId="7181" name="Check Box 13" r:id="rId11">
              <controlPr defaultSize="0">
                <anchor moveWithCells="1">
                  <from>
                    <xdr:col>28</xdr:col>
                    <xdr:colOff>152400</xdr:colOff>
                    <xdr:row>11</xdr:row>
                    <xdr:rowOff>60960</xdr:rowOff>
                  </from>
                  <to>
                    <xdr:col>29</xdr:col>
                    <xdr:colOff>160020</xdr:colOff>
                    <xdr:row>11</xdr:row>
                    <xdr:rowOff>266700</xdr:rowOff>
                  </to>
                </anchor>
              </controlPr>
            </control>
          </mc:Choice>
        </mc:AlternateContent>
        <mc:AlternateContent xmlns:mc="http://schemas.openxmlformats.org/markup-compatibility/2006">
          <mc:Choice Requires="x14">
            <control shapeId="7182" name="Check Box 14" r:id="rId12">
              <controlPr defaultSize="0">
                <anchor moveWithCells="1">
                  <from>
                    <xdr:col>20</xdr:col>
                    <xdr:colOff>60960</xdr:colOff>
                    <xdr:row>11</xdr:row>
                    <xdr:rowOff>60960</xdr:rowOff>
                  </from>
                  <to>
                    <xdr:col>20</xdr:col>
                    <xdr:colOff>365760</xdr:colOff>
                    <xdr:row>11</xdr:row>
                    <xdr:rowOff>266700</xdr:rowOff>
                  </to>
                </anchor>
              </controlPr>
            </control>
          </mc:Choice>
        </mc:AlternateContent>
        <mc:AlternateContent xmlns:mc="http://schemas.openxmlformats.org/markup-compatibility/2006">
          <mc:Choice Requires="x14">
            <control shapeId="7183" name="Check Box 15" r:id="rId13">
              <controlPr defaultSize="0">
                <anchor moveWithCells="1">
                  <from>
                    <xdr:col>14</xdr:col>
                    <xdr:colOff>45720</xdr:colOff>
                    <xdr:row>11</xdr:row>
                    <xdr:rowOff>60960</xdr:rowOff>
                  </from>
                  <to>
                    <xdr:col>14</xdr:col>
                    <xdr:colOff>350520</xdr:colOff>
                    <xdr:row>11</xdr:row>
                    <xdr:rowOff>266700</xdr:rowOff>
                  </to>
                </anchor>
              </controlPr>
            </control>
          </mc:Choice>
        </mc:AlternateContent>
        <mc:AlternateContent xmlns:mc="http://schemas.openxmlformats.org/markup-compatibility/2006">
          <mc:Choice Requires="x14">
            <control shapeId="7184" name="Check Box 16" r:id="rId14">
              <controlPr defaultSize="0">
                <anchor moveWithCells="1">
                  <from>
                    <xdr:col>9</xdr:col>
                    <xdr:colOff>22860</xdr:colOff>
                    <xdr:row>11</xdr:row>
                    <xdr:rowOff>60960</xdr:rowOff>
                  </from>
                  <to>
                    <xdr:col>11</xdr:col>
                    <xdr:colOff>83820</xdr:colOff>
                    <xdr:row>11</xdr:row>
                    <xdr:rowOff>266700</xdr:rowOff>
                  </to>
                </anchor>
              </controlPr>
            </control>
          </mc:Choice>
        </mc:AlternateContent>
        <mc:AlternateContent xmlns:mc="http://schemas.openxmlformats.org/markup-compatibility/2006">
          <mc:Choice Requires="x14">
            <control shapeId="7185" name="Check Box 17" r:id="rId15">
              <controlPr defaultSize="0">
                <anchor moveWithCells="1">
                  <from>
                    <xdr:col>11</xdr:col>
                    <xdr:colOff>38100</xdr:colOff>
                    <xdr:row>16</xdr:row>
                    <xdr:rowOff>60960</xdr:rowOff>
                  </from>
                  <to>
                    <xdr:col>12</xdr:col>
                    <xdr:colOff>106680</xdr:colOff>
                    <xdr:row>16</xdr:row>
                    <xdr:rowOff>266700</xdr:rowOff>
                  </to>
                </anchor>
              </controlPr>
            </control>
          </mc:Choice>
        </mc:AlternateContent>
        <mc:AlternateContent xmlns:mc="http://schemas.openxmlformats.org/markup-compatibility/2006">
          <mc:Choice Requires="x14">
            <control shapeId="7198" name="Check Box 30" r:id="rId16">
              <controlPr defaultSize="0">
                <anchor moveWithCells="1">
                  <from>
                    <xdr:col>29</xdr:col>
                    <xdr:colOff>0</xdr:colOff>
                    <xdr:row>17</xdr:row>
                    <xdr:rowOff>76200</xdr:rowOff>
                  </from>
                  <to>
                    <xdr:col>29</xdr:col>
                    <xdr:colOff>304800</xdr:colOff>
                    <xdr:row>17</xdr:row>
                    <xdr:rowOff>289560</xdr:rowOff>
                  </to>
                </anchor>
              </controlPr>
            </control>
          </mc:Choice>
        </mc:AlternateContent>
        <mc:AlternateContent xmlns:mc="http://schemas.openxmlformats.org/markup-compatibility/2006">
          <mc:Choice Requires="x14">
            <control shapeId="7203" name="Check Box 35" r:id="rId17">
              <controlPr defaultSize="0">
                <anchor moveWithCells="1">
                  <from>
                    <xdr:col>29</xdr:col>
                    <xdr:colOff>0</xdr:colOff>
                    <xdr:row>18</xdr:row>
                    <xdr:rowOff>76200</xdr:rowOff>
                  </from>
                  <to>
                    <xdr:col>29</xdr:col>
                    <xdr:colOff>304800</xdr:colOff>
                    <xdr:row>18</xdr:row>
                    <xdr:rowOff>289560</xdr:rowOff>
                  </to>
                </anchor>
              </controlPr>
            </control>
          </mc:Choice>
        </mc:AlternateContent>
        <mc:AlternateContent xmlns:mc="http://schemas.openxmlformats.org/markup-compatibility/2006">
          <mc:Choice Requires="x14">
            <control shapeId="7204" name="Check Box 36" r:id="rId18">
              <controlPr defaultSize="0">
                <anchor moveWithCells="1">
                  <from>
                    <xdr:col>29</xdr:col>
                    <xdr:colOff>0</xdr:colOff>
                    <xdr:row>19</xdr:row>
                    <xdr:rowOff>76200</xdr:rowOff>
                  </from>
                  <to>
                    <xdr:col>29</xdr:col>
                    <xdr:colOff>304800</xdr:colOff>
                    <xdr:row>19</xdr:row>
                    <xdr:rowOff>289560</xdr:rowOff>
                  </to>
                </anchor>
              </controlPr>
            </control>
          </mc:Choice>
        </mc:AlternateContent>
        <mc:AlternateContent xmlns:mc="http://schemas.openxmlformats.org/markup-compatibility/2006">
          <mc:Choice Requires="x14">
            <control shapeId="7205" name="Check Box 37" r:id="rId19">
              <controlPr defaultSize="0">
                <anchor moveWithCells="1">
                  <from>
                    <xdr:col>29</xdr:col>
                    <xdr:colOff>0</xdr:colOff>
                    <xdr:row>20</xdr:row>
                    <xdr:rowOff>76200</xdr:rowOff>
                  </from>
                  <to>
                    <xdr:col>29</xdr:col>
                    <xdr:colOff>304800</xdr:colOff>
                    <xdr:row>20</xdr:row>
                    <xdr:rowOff>289560</xdr:rowOff>
                  </to>
                </anchor>
              </controlPr>
            </control>
          </mc:Choice>
        </mc:AlternateContent>
        <mc:AlternateContent xmlns:mc="http://schemas.openxmlformats.org/markup-compatibility/2006">
          <mc:Choice Requires="x14">
            <control shapeId="7206" name="Check Box 38" r:id="rId20">
              <controlPr defaultSize="0">
                <anchor moveWithCells="1">
                  <from>
                    <xdr:col>29</xdr:col>
                    <xdr:colOff>0</xdr:colOff>
                    <xdr:row>21</xdr:row>
                    <xdr:rowOff>76200</xdr:rowOff>
                  </from>
                  <to>
                    <xdr:col>29</xdr:col>
                    <xdr:colOff>304800</xdr:colOff>
                    <xdr:row>21</xdr:row>
                    <xdr:rowOff>289560</xdr:rowOff>
                  </to>
                </anchor>
              </controlPr>
            </control>
          </mc:Choice>
        </mc:AlternateContent>
        <mc:AlternateContent xmlns:mc="http://schemas.openxmlformats.org/markup-compatibility/2006">
          <mc:Choice Requires="x14">
            <control shapeId="7207" name="Check Box 39" r:id="rId21">
              <controlPr defaultSize="0">
                <anchor moveWithCells="1">
                  <from>
                    <xdr:col>15</xdr:col>
                    <xdr:colOff>373380</xdr:colOff>
                    <xdr:row>17</xdr:row>
                    <xdr:rowOff>60960</xdr:rowOff>
                  </from>
                  <to>
                    <xdr:col>17</xdr:col>
                    <xdr:colOff>0</xdr:colOff>
                    <xdr:row>17</xdr:row>
                    <xdr:rowOff>266700</xdr:rowOff>
                  </to>
                </anchor>
              </controlPr>
            </control>
          </mc:Choice>
        </mc:AlternateContent>
        <mc:AlternateContent xmlns:mc="http://schemas.openxmlformats.org/markup-compatibility/2006">
          <mc:Choice Requires="x14">
            <control shapeId="7214" name="Check Box 46" r:id="rId22">
              <controlPr defaultSize="0">
                <anchor moveWithCells="1">
                  <from>
                    <xdr:col>15</xdr:col>
                    <xdr:colOff>373380</xdr:colOff>
                    <xdr:row>16</xdr:row>
                    <xdr:rowOff>60960</xdr:rowOff>
                  </from>
                  <to>
                    <xdr:col>17</xdr:col>
                    <xdr:colOff>0</xdr:colOff>
                    <xdr:row>16</xdr:row>
                    <xdr:rowOff>266700</xdr:rowOff>
                  </to>
                </anchor>
              </controlPr>
            </control>
          </mc:Choice>
        </mc:AlternateContent>
        <mc:AlternateContent xmlns:mc="http://schemas.openxmlformats.org/markup-compatibility/2006">
          <mc:Choice Requires="x14">
            <control shapeId="7215" name="Check Box 47" r:id="rId23">
              <controlPr defaultSize="0">
                <anchor moveWithCells="1">
                  <from>
                    <xdr:col>21</xdr:col>
                    <xdr:colOff>30480</xdr:colOff>
                    <xdr:row>16</xdr:row>
                    <xdr:rowOff>60960</xdr:rowOff>
                  </from>
                  <to>
                    <xdr:col>21</xdr:col>
                    <xdr:colOff>335280</xdr:colOff>
                    <xdr:row>16</xdr:row>
                    <xdr:rowOff>266700</xdr:rowOff>
                  </to>
                </anchor>
              </controlPr>
            </control>
          </mc:Choice>
        </mc:AlternateContent>
        <mc:AlternateContent xmlns:mc="http://schemas.openxmlformats.org/markup-compatibility/2006">
          <mc:Choice Requires="x14">
            <control shapeId="7216" name="Check Box 48" r:id="rId24">
              <controlPr defaultSize="0">
                <anchor moveWithCells="1">
                  <from>
                    <xdr:col>28</xdr:col>
                    <xdr:colOff>152400</xdr:colOff>
                    <xdr:row>16</xdr:row>
                    <xdr:rowOff>60960</xdr:rowOff>
                  </from>
                  <to>
                    <xdr:col>29</xdr:col>
                    <xdr:colOff>160020</xdr:colOff>
                    <xdr:row>16</xdr:row>
                    <xdr:rowOff>266700</xdr:rowOff>
                  </to>
                </anchor>
              </controlPr>
            </control>
          </mc:Choice>
        </mc:AlternateContent>
        <mc:AlternateContent xmlns:mc="http://schemas.openxmlformats.org/markup-compatibility/2006">
          <mc:Choice Requires="x14">
            <control shapeId="7217" name="Check Box 49" r:id="rId25">
              <controlPr defaultSize="0">
                <anchor moveWithCells="1">
                  <from>
                    <xdr:col>9</xdr:col>
                    <xdr:colOff>22860</xdr:colOff>
                    <xdr:row>14</xdr:row>
                    <xdr:rowOff>45720</xdr:rowOff>
                  </from>
                  <to>
                    <xdr:col>11</xdr:col>
                    <xdr:colOff>83820</xdr:colOff>
                    <xdr:row>14</xdr:row>
                    <xdr:rowOff>259080</xdr:rowOff>
                  </to>
                </anchor>
              </controlPr>
            </control>
          </mc:Choice>
        </mc:AlternateContent>
        <mc:AlternateContent xmlns:mc="http://schemas.openxmlformats.org/markup-compatibility/2006">
          <mc:Choice Requires="x14">
            <control shapeId="7218" name="Check Box 50" r:id="rId26">
              <controlPr defaultSize="0">
                <anchor moveWithCells="1">
                  <from>
                    <xdr:col>12</xdr:col>
                    <xdr:colOff>68580</xdr:colOff>
                    <xdr:row>14</xdr:row>
                    <xdr:rowOff>45720</xdr:rowOff>
                  </from>
                  <to>
                    <xdr:col>13</xdr:col>
                    <xdr:colOff>60960</xdr:colOff>
                    <xdr:row>14</xdr:row>
                    <xdr:rowOff>259080</xdr:rowOff>
                  </to>
                </anchor>
              </controlPr>
            </control>
          </mc:Choice>
        </mc:AlternateContent>
        <mc:AlternateContent xmlns:mc="http://schemas.openxmlformats.org/markup-compatibility/2006">
          <mc:Choice Requires="x14">
            <control shapeId="7219" name="Check Box 51" r:id="rId27">
              <controlPr defaultSize="0">
                <anchor moveWithCells="1">
                  <from>
                    <xdr:col>15</xdr:col>
                    <xdr:colOff>373380</xdr:colOff>
                    <xdr:row>18</xdr:row>
                    <xdr:rowOff>60960</xdr:rowOff>
                  </from>
                  <to>
                    <xdr:col>17</xdr:col>
                    <xdr:colOff>0</xdr:colOff>
                    <xdr:row>18</xdr:row>
                    <xdr:rowOff>266700</xdr:rowOff>
                  </to>
                </anchor>
              </controlPr>
            </control>
          </mc:Choice>
        </mc:AlternateContent>
        <mc:AlternateContent xmlns:mc="http://schemas.openxmlformats.org/markup-compatibility/2006">
          <mc:Choice Requires="x14">
            <control shapeId="7220" name="Check Box 52" r:id="rId28">
              <controlPr defaultSize="0">
                <anchor moveWithCells="1">
                  <from>
                    <xdr:col>15</xdr:col>
                    <xdr:colOff>373380</xdr:colOff>
                    <xdr:row>19</xdr:row>
                    <xdr:rowOff>60960</xdr:rowOff>
                  </from>
                  <to>
                    <xdr:col>17</xdr:col>
                    <xdr:colOff>0</xdr:colOff>
                    <xdr:row>19</xdr:row>
                    <xdr:rowOff>266700</xdr:rowOff>
                  </to>
                </anchor>
              </controlPr>
            </control>
          </mc:Choice>
        </mc:AlternateContent>
        <mc:AlternateContent xmlns:mc="http://schemas.openxmlformats.org/markup-compatibility/2006">
          <mc:Choice Requires="x14">
            <control shapeId="7221" name="Check Box 53" r:id="rId29">
              <controlPr defaultSize="0">
                <anchor moveWithCells="1">
                  <from>
                    <xdr:col>15</xdr:col>
                    <xdr:colOff>373380</xdr:colOff>
                    <xdr:row>20</xdr:row>
                    <xdr:rowOff>60960</xdr:rowOff>
                  </from>
                  <to>
                    <xdr:col>17</xdr:col>
                    <xdr:colOff>0</xdr:colOff>
                    <xdr:row>20</xdr:row>
                    <xdr:rowOff>266700</xdr:rowOff>
                  </to>
                </anchor>
              </controlPr>
            </control>
          </mc:Choice>
        </mc:AlternateContent>
        <mc:AlternateContent xmlns:mc="http://schemas.openxmlformats.org/markup-compatibility/2006">
          <mc:Choice Requires="x14">
            <control shapeId="7222" name="Check Box 54" r:id="rId30">
              <controlPr defaultSize="0">
                <anchor moveWithCells="1">
                  <from>
                    <xdr:col>15</xdr:col>
                    <xdr:colOff>373380</xdr:colOff>
                    <xdr:row>21</xdr:row>
                    <xdr:rowOff>60960</xdr:rowOff>
                  </from>
                  <to>
                    <xdr:col>17</xdr:col>
                    <xdr:colOff>0</xdr:colOff>
                    <xdr:row>21</xdr:row>
                    <xdr:rowOff>266700</xdr:rowOff>
                  </to>
                </anchor>
              </controlPr>
            </control>
          </mc:Choice>
        </mc:AlternateContent>
        <mc:AlternateContent xmlns:mc="http://schemas.openxmlformats.org/markup-compatibility/2006">
          <mc:Choice Requires="x14">
            <control shapeId="7223" name="Check Box 55" r:id="rId31">
              <controlPr defaultSize="0">
                <anchor moveWithCells="1">
                  <from>
                    <xdr:col>24</xdr:col>
                    <xdr:colOff>0</xdr:colOff>
                    <xdr:row>14</xdr:row>
                    <xdr:rowOff>45720</xdr:rowOff>
                  </from>
                  <to>
                    <xdr:col>25</xdr:col>
                    <xdr:colOff>99060</xdr:colOff>
                    <xdr:row>14</xdr:row>
                    <xdr:rowOff>259080</xdr:rowOff>
                  </to>
                </anchor>
              </controlPr>
            </control>
          </mc:Choice>
        </mc:AlternateContent>
        <mc:AlternateContent xmlns:mc="http://schemas.openxmlformats.org/markup-compatibility/2006">
          <mc:Choice Requires="x14">
            <control shapeId="7224" name="Check Box 56" r:id="rId32">
              <controlPr defaultSize="0">
                <anchor moveWithCells="1">
                  <from>
                    <xdr:col>28</xdr:col>
                    <xdr:colOff>22860</xdr:colOff>
                    <xdr:row>14</xdr:row>
                    <xdr:rowOff>45720</xdr:rowOff>
                  </from>
                  <to>
                    <xdr:col>29</xdr:col>
                    <xdr:colOff>30480</xdr:colOff>
                    <xdr:row>14</xdr:row>
                    <xdr:rowOff>259080</xdr:rowOff>
                  </to>
                </anchor>
              </controlPr>
            </control>
          </mc:Choice>
        </mc:AlternateContent>
        <mc:AlternateContent xmlns:mc="http://schemas.openxmlformats.org/markup-compatibility/2006">
          <mc:Choice Requires="x14">
            <control shapeId="7225" name="Check Box 57" r:id="rId33">
              <controlPr defaultSize="0">
                <anchor moveWithCells="1">
                  <from>
                    <xdr:col>9</xdr:col>
                    <xdr:colOff>38100</xdr:colOff>
                    <xdr:row>22</xdr:row>
                    <xdr:rowOff>45720</xdr:rowOff>
                  </from>
                  <to>
                    <xdr:col>11</xdr:col>
                    <xdr:colOff>106680</xdr:colOff>
                    <xdr:row>22</xdr:row>
                    <xdr:rowOff>259080</xdr:rowOff>
                  </to>
                </anchor>
              </controlPr>
            </control>
          </mc:Choice>
        </mc:AlternateContent>
        <mc:AlternateContent xmlns:mc="http://schemas.openxmlformats.org/markup-compatibility/2006">
          <mc:Choice Requires="x14">
            <control shapeId="7226" name="Check Box 58" r:id="rId34">
              <controlPr defaultSize="0">
                <anchor moveWithCells="1">
                  <from>
                    <xdr:col>14</xdr:col>
                    <xdr:colOff>76200</xdr:colOff>
                    <xdr:row>22</xdr:row>
                    <xdr:rowOff>45720</xdr:rowOff>
                  </from>
                  <to>
                    <xdr:col>15</xdr:col>
                    <xdr:colOff>0</xdr:colOff>
                    <xdr:row>22</xdr:row>
                    <xdr:rowOff>259080</xdr:rowOff>
                  </to>
                </anchor>
              </controlPr>
            </control>
          </mc:Choice>
        </mc:AlternateContent>
        <mc:AlternateContent xmlns:mc="http://schemas.openxmlformats.org/markup-compatibility/2006">
          <mc:Choice Requires="x14">
            <control shapeId="7227" name="Check Box 59" r:id="rId35">
              <controlPr defaultSize="0">
                <anchor moveWithCells="1">
                  <from>
                    <xdr:col>9</xdr:col>
                    <xdr:colOff>38100</xdr:colOff>
                    <xdr:row>23</xdr:row>
                    <xdr:rowOff>45720</xdr:rowOff>
                  </from>
                  <to>
                    <xdr:col>11</xdr:col>
                    <xdr:colOff>106680</xdr:colOff>
                    <xdr:row>23</xdr:row>
                    <xdr:rowOff>259080</xdr:rowOff>
                  </to>
                </anchor>
              </controlPr>
            </control>
          </mc:Choice>
        </mc:AlternateContent>
        <mc:AlternateContent xmlns:mc="http://schemas.openxmlformats.org/markup-compatibility/2006">
          <mc:Choice Requires="x14">
            <control shapeId="7228" name="Check Box 60" r:id="rId36">
              <controlPr defaultSize="0">
                <anchor moveWithCells="1">
                  <from>
                    <xdr:col>14</xdr:col>
                    <xdr:colOff>76200</xdr:colOff>
                    <xdr:row>23</xdr:row>
                    <xdr:rowOff>45720</xdr:rowOff>
                  </from>
                  <to>
                    <xdr:col>15</xdr:col>
                    <xdr:colOff>0</xdr:colOff>
                    <xdr:row>23</xdr:row>
                    <xdr:rowOff>259080</xdr:rowOff>
                  </to>
                </anchor>
              </controlPr>
            </control>
          </mc:Choice>
        </mc:AlternateContent>
        <mc:AlternateContent xmlns:mc="http://schemas.openxmlformats.org/markup-compatibility/2006">
          <mc:Choice Requires="x14">
            <control shapeId="7229" name="Check Box 61" r:id="rId37">
              <controlPr defaultSize="0">
                <anchor moveWithCells="1">
                  <from>
                    <xdr:col>9</xdr:col>
                    <xdr:colOff>38100</xdr:colOff>
                    <xdr:row>24</xdr:row>
                    <xdr:rowOff>45720</xdr:rowOff>
                  </from>
                  <to>
                    <xdr:col>11</xdr:col>
                    <xdr:colOff>106680</xdr:colOff>
                    <xdr:row>24</xdr:row>
                    <xdr:rowOff>259080</xdr:rowOff>
                  </to>
                </anchor>
              </controlPr>
            </control>
          </mc:Choice>
        </mc:AlternateContent>
        <mc:AlternateContent xmlns:mc="http://schemas.openxmlformats.org/markup-compatibility/2006">
          <mc:Choice Requires="x14">
            <control shapeId="7230" name="Check Box 62" r:id="rId38">
              <controlPr defaultSize="0">
                <anchor moveWithCells="1">
                  <from>
                    <xdr:col>14</xdr:col>
                    <xdr:colOff>76200</xdr:colOff>
                    <xdr:row>24</xdr:row>
                    <xdr:rowOff>45720</xdr:rowOff>
                  </from>
                  <to>
                    <xdr:col>15</xdr:col>
                    <xdr:colOff>0</xdr:colOff>
                    <xdr:row>24</xdr:row>
                    <xdr:rowOff>259080</xdr:rowOff>
                  </to>
                </anchor>
              </controlPr>
            </control>
          </mc:Choice>
        </mc:AlternateContent>
        <mc:AlternateContent xmlns:mc="http://schemas.openxmlformats.org/markup-compatibility/2006">
          <mc:Choice Requires="x14">
            <control shapeId="7231" name="Check Box 63" r:id="rId39">
              <controlPr defaultSize="0">
                <anchor moveWithCells="1">
                  <from>
                    <xdr:col>21</xdr:col>
                    <xdr:colOff>350520</xdr:colOff>
                    <xdr:row>3</xdr:row>
                    <xdr:rowOff>45720</xdr:rowOff>
                  </from>
                  <to>
                    <xdr:col>24</xdr:col>
                    <xdr:colOff>99060</xdr:colOff>
                    <xdr:row>3</xdr:row>
                    <xdr:rowOff>259080</xdr:rowOff>
                  </to>
                </anchor>
              </controlPr>
            </control>
          </mc:Choice>
        </mc:AlternateContent>
        <mc:AlternateContent xmlns:mc="http://schemas.openxmlformats.org/markup-compatibility/2006">
          <mc:Choice Requires="x14">
            <control shapeId="7232" name="Check Box 64" r:id="rId40">
              <controlPr defaultSize="0">
                <anchor moveWithCells="1">
                  <from>
                    <xdr:col>26</xdr:col>
                    <xdr:colOff>60960</xdr:colOff>
                    <xdr:row>3</xdr:row>
                    <xdr:rowOff>45720</xdr:rowOff>
                  </from>
                  <to>
                    <xdr:col>28</xdr:col>
                    <xdr:colOff>38100</xdr:colOff>
                    <xdr:row>3</xdr:row>
                    <xdr:rowOff>259080</xdr:rowOff>
                  </to>
                </anchor>
              </controlPr>
            </control>
          </mc:Choice>
        </mc:AlternateContent>
        <mc:AlternateContent xmlns:mc="http://schemas.openxmlformats.org/markup-compatibility/2006">
          <mc:Choice Requires="x14">
            <control shapeId="7233" name="Check Box 65" r:id="rId41">
              <controlPr defaultSize="0">
                <anchor moveWithCells="1">
                  <from>
                    <xdr:col>29</xdr:col>
                    <xdr:colOff>114300</xdr:colOff>
                    <xdr:row>3</xdr:row>
                    <xdr:rowOff>45720</xdr:rowOff>
                  </from>
                  <to>
                    <xdr:col>30</xdr:col>
                    <xdr:colOff>38100</xdr:colOff>
                    <xdr:row>3</xdr:row>
                    <xdr:rowOff>259080</xdr:rowOff>
                  </to>
                </anchor>
              </controlPr>
            </control>
          </mc:Choice>
        </mc:AlternateContent>
      </controls>
    </mc:Choice>
  </mc:AlternateConten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0"/>
  <dimension ref="B1:G35"/>
  <sheetViews>
    <sheetView topLeftCell="A16" workbookViewId="0">
      <selection activeCell="J16" sqref="J16"/>
    </sheetView>
  </sheetViews>
  <sheetFormatPr defaultColWidth="9" defaultRowHeight="13.5" outlineLevelCol="6"/>
  <cols>
    <col min="1" max="1" width="9" style="245"/>
    <col min="2" max="2" width="4" style="245" customWidth="1"/>
    <col min="3" max="3" width="15.775" style="245" customWidth="1"/>
    <col min="4" max="4" width="18.775" style="245" customWidth="1"/>
    <col min="5" max="5" width="14.1083333333333" style="245" customWidth="1"/>
    <col min="6" max="6" width="6.66666666666667" style="245" customWidth="1"/>
    <col min="7" max="7" width="14" style="245" customWidth="1"/>
    <col min="8" max="8" width="5.66666666666667" style="245" customWidth="1"/>
    <col min="9" max="16384" width="9" style="245"/>
  </cols>
  <sheetData>
    <row r="1" ht="27.75" customHeight="1" spans="2:7">
      <c r="D1" s="246" t="s">
        <v>603</v>
      </c>
    </row>
    <row r="2" ht="7.5" customHeight="1"/>
    <row r="3" ht="26.25" customHeight="1" spans="2:7">
      <c r="C3" s="247" t="s">
        <v>604</v>
      </c>
    </row>
    <row r="4" ht="26.25" customHeight="1" spans="2:7">
      <c r="D4" s="248" t="s">
        <v>605</v>
      </c>
    </row>
    <row r="5" ht="6" customHeight="1"/>
    <row r="6" ht="18.75" customHeight="1" spans="2:7">
      <c r="F6" s="249" t="s">
        <v>606</v>
      </c>
      <c r="G6" s="250"/>
    </row>
    <row r="8" ht="21" customHeight="1" spans="2:7">
      <c r="B8" s="251" t="s">
        <v>607</v>
      </c>
    </row>
    <row r="9" ht="15.75" customHeight="1" spans="2:7">
      <c r="B9" s="252" t="s">
        <v>608</v>
      </c>
    </row>
    <row r="10" ht="9" customHeight="1"/>
    <row r="11" ht="18" customHeight="1" spans="2:7">
      <c r="C11" s="253" t="s">
        <v>609</v>
      </c>
    </row>
    <row r="12" ht="15" spans="2:7">
      <c r="C12" s="254" t="s">
        <v>610</v>
      </c>
    </row>
    <row r="13" ht="15" spans="2:7">
      <c r="B13" s="254" t="s">
        <v>611</v>
      </c>
    </row>
    <row r="14" ht="17.25" customHeight="1"/>
    <row r="15" ht="23.25" customHeight="1" spans="2:7">
      <c r="B15" s="255" t="s">
        <v>612</v>
      </c>
      <c r="D15" s="256" t="str">
        <f>'Gen Inb'!I6</f>
        <v>环球01 </v>
      </c>
      <c r="E15" s="255" t="s">
        <v>487</v>
      </c>
      <c r="F15" s="256" t="str">
        <f>'Gen Inb'!F8</f>
        <v>利比里亚</v>
      </c>
      <c r="G15" s="256"/>
    </row>
    <row r="16" ht="23.25" customHeight="1" spans="2:7">
      <c r="B16" s="257" t="s">
        <v>613</v>
      </c>
      <c r="D16" s="259" t="str">
        <f>'Gen Inb'!I7</f>
        <v>GLOBAO 01</v>
      </c>
      <c r="E16" s="252" t="s">
        <v>338</v>
      </c>
      <c r="F16" s="259" t="str">
        <f>'Gen Inb'!F9</f>
        <v>LIBERIA</v>
      </c>
      <c r="G16" s="259"/>
    </row>
    <row r="17" ht="23.25" customHeight="1" spans="2:7">
      <c r="B17" s="255" t="s">
        <v>614</v>
      </c>
      <c r="D17" s="260" t="str">
        <f>'Gen Inb'!I10</f>
        <v>IMO:1234567</v>
      </c>
      <c r="E17" s="255" t="s">
        <v>615</v>
      </c>
      <c r="F17" s="256" t="s">
        <v>616</v>
      </c>
      <c r="G17" s="256"/>
    </row>
    <row r="18" ht="23.25" customHeight="1" spans="2:7">
      <c r="B18" s="252" t="s">
        <v>617</v>
      </c>
      <c r="D18" s="261"/>
      <c r="E18" s="262" t="s">
        <v>618</v>
      </c>
      <c r="F18" s="259" t="s">
        <v>619</v>
      </c>
      <c r="G18" s="259"/>
    </row>
    <row r="19" ht="23.25" customHeight="1" spans="2:7">
      <c r="B19" s="255" t="s">
        <v>620</v>
      </c>
      <c r="D19" s="256" t="str">
        <f>'Gen Inb'!W8</f>
        <v>俄罗斯东方港</v>
      </c>
      <c r="E19" s="255" t="s">
        <v>621</v>
      </c>
      <c r="F19" s="263"/>
      <c r="G19" s="263"/>
    </row>
    <row r="20" ht="23.25" customHeight="1" spans="2:7">
      <c r="B20" s="257" t="s">
        <v>622</v>
      </c>
      <c r="D20" s="259" t="str">
        <f>'Gen Inb'!W9</f>
        <v>VOSTOCHNIY</v>
      </c>
      <c r="E20" s="264" t="s">
        <v>623</v>
      </c>
      <c r="F20" s="261" t="s">
        <v>417</v>
      </c>
      <c r="G20" s="261"/>
    </row>
    <row r="21" ht="23.25" customHeight="1" spans="2:7">
      <c r="B21" s="255" t="s">
        <v>624</v>
      </c>
      <c r="D21" s="256" t="str">
        <f>'Gen Inb'!S6</f>
        <v>南沙新港</v>
      </c>
      <c r="E21" s="255" t="s">
        <v>625</v>
      </c>
      <c r="G21" s="265">
        <f>'Gen Inb'!X6</f>
        <v>46219</v>
      </c>
    </row>
    <row r="22" ht="23.25" customHeight="1" spans="2:7">
      <c r="B22" s="266" t="s">
        <v>626</v>
      </c>
      <c r="D22" s="259" t="str">
        <f>'Gen Inb'!S7</f>
        <v>NANSHA NEW PORT</v>
      </c>
      <c r="E22" s="266" t="s">
        <v>627</v>
      </c>
      <c r="G22" s="261"/>
    </row>
    <row r="23" ht="23.25" customHeight="1" spans="2:7">
      <c r="B23" s="255" t="s">
        <v>533</v>
      </c>
      <c r="D23" s="260">
        <f>'Gen Inb'!E12</f>
        <v>15257</v>
      </c>
      <c r="E23" s="255" t="s">
        <v>628</v>
      </c>
      <c r="G23" s="260" t="s">
        <v>417</v>
      </c>
    </row>
    <row r="24" ht="23.25" customHeight="1" spans="2:7">
      <c r="B24" s="252" t="s">
        <v>629</v>
      </c>
      <c r="D24" s="261"/>
      <c r="E24" s="264" t="s">
        <v>630</v>
      </c>
      <c r="G24" s="261"/>
    </row>
    <row r="25" ht="23.25" customHeight="1" spans="2:7">
      <c r="B25" s="255" t="s">
        <v>15</v>
      </c>
      <c r="D25" s="256" t="s">
        <v>631</v>
      </c>
      <c r="E25" s="255" t="s">
        <v>632</v>
      </c>
      <c r="G25" s="267">
        <f>'Gen Inb'!P12</f>
        <v>0</v>
      </c>
    </row>
    <row r="26" ht="23.25" customHeight="1" spans="2:7">
      <c r="B26" s="252" t="s">
        <v>633</v>
      </c>
      <c r="D26" s="258" t="s">
        <v>634</v>
      </c>
      <c r="E26" s="266" t="s">
        <v>635</v>
      </c>
      <c r="G26" s="259" t="str">
        <f>IF(G25="示例船务代理有限公司","UNISCOGZ","")</f>
        <v/>
      </c>
    </row>
    <row r="27" ht="23.25" customHeight="1" spans="2:7">
      <c r="B27" s="255" t="s">
        <v>636</v>
      </c>
      <c r="D27" s="263" t="str">
        <f>'Gen Inb'!V12</f>
        <v>联系人</v>
      </c>
      <c r="E27" s="255" t="s">
        <v>637</v>
      </c>
      <c r="F27" s="268">
        <f>'Gen Inb'!V14</f>
        <v>1234567</v>
      </c>
      <c r="G27" s="268"/>
    </row>
    <row r="28" ht="23.25" customHeight="1" spans="2:7">
      <c r="B28" s="252" t="s">
        <v>635</v>
      </c>
      <c r="D28" s="269"/>
      <c r="E28" s="252" t="s">
        <v>638</v>
      </c>
      <c r="F28" s="261"/>
      <c r="G28" s="261"/>
    </row>
    <row r="29" ht="23.25" customHeight="1" spans="2:7">
      <c r="B29" s="252" t="s">
        <v>639</v>
      </c>
      <c r="D29" s="260"/>
      <c r="E29" s="270" t="s">
        <v>640</v>
      </c>
      <c r="G29" s="265">
        <f ca="1">TODAY()</f>
        <v>46224</v>
      </c>
    </row>
    <row r="30" ht="23.25" customHeight="1" spans="2:7">
      <c r="B30" s="252" t="s">
        <v>641</v>
      </c>
      <c r="D30" s="261"/>
      <c r="E30" s="264" t="s">
        <v>642</v>
      </c>
      <c r="G30" s="261"/>
    </row>
    <row r="31" ht="23.25" customHeight="1"/>
    <row r="32" ht="23.25" customHeight="1" spans="2:7">
      <c r="C32" s="271" t="s">
        <v>643</v>
      </c>
      <c r="D32" s="272" t="s">
        <v>644</v>
      </c>
      <c r="E32" s="273" t="s">
        <v>645</v>
      </c>
      <c r="F32" s="274" t="s">
        <v>646</v>
      </c>
      <c r="G32" s="275"/>
    </row>
    <row r="33" ht="23.25" customHeight="1" spans="2:7">
      <c r="C33" s="276" t="s">
        <v>647</v>
      </c>
      <c r="D33" s="277" t="s">
        <v>648</v>
      </c>
      <c r="E33" s="278" t="s">
        <v>649</v>
      </c>
      <c r="F33" s="279" t="s">
        <v>650</v>
      </c>
      <c r="G33" s="280"/>
    </row>
    <row r="34" ht="23.25" customHeight="1" spans="2:7">
      <c r="B34" s="245" t="s">
        <v>651</v>
      </c>
      <c r="F34" s="245" t="s">
        <v>652</v>
      </c>
    </row>
    <row r="35" ht="23.25" customHeight="1"/>
  </sheetData>
  <mergeCells count="16">
    <mergeCell ref="F15:G15"/>
    <mergeCell ref="F16:G16"/>
    <mergeCell ref="F17:G17"/>
    <mergeCell ref="F18:G18"/>
    <mergeCell ref="F19:G19"/>
    <mergeCell ref="F20:G20"/>
    <mergeCell ref="F32:G32"/>
    <mergeCell ref="F33:G33"/>
    <mergeCell ref="D17:D18"/>
    <mergeCell ref="D23:D24"/>
    <mergeCell ref="D27:D28"/>
    <mergeCell ref="D29:D30"/>
    <mergeCell ref="G21:G22"/>
    <mergeCell ref="G23:G24"/>
    <mergeCell ref="G29:G30"/>
    <mergeCell ref="F27:G28"/>
  </mergeCells>
  <pageMargins left="0.235416666666667" right="0.235416666666667" top="0.747916666666667" bottom="0.747916666666667" header="0.313888888888889" footer="0.313888888888889"/>
  <pageSetup paperSize="9"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1"/>
  <dimension ref="B1:G35"/>
  <sheetViews>
    <sheetView topLeftCell="A22" workbookViewId="0">
      <selection activeCell="J9" sqref="J9"/>
    </sheetView>
  </sheetViews>
  <sheetFormatPr defaultColWidth="9" defaultRowHeight="13.5" outlineLevelCol="6"/>
  <cols>
    <col min="1" max="1" width="9" style="245"/>
    <col min="2" max="2" width="4" style="245" customWidth="1"/>
    <col min="3" max="3" width="15.775" style="245" customWidth="1"/>
    <col min="4" max="4" width="22.6666666666667" style="245" customWidth="1"/>
    <col min="5" max="5" width="14.1083333333333" style="245" customWidth="1"/>
    <col min="6" max="6" width="6.66666666666667" style="245" customWidth="1"/>
    <col min="7" max="7" width="14" style="245" customWidth="1"/>
    <col min="8" max="8" width="5.66666666666667" style="245" customWidth="1"/>
    <col min="9" max="16384" width="9" style="245"/>
  </cols>
  <sheetData>
    <row r="1" ht="27.75" customHeight="1" spans="2:7">
      <c r="D1" s="246" t="s">
        <v>653</v>
      </c>
    </row>
    <row r="2" ht="7.5" customHeight="1"/>
    <row r="3" ht="26.25" customHeight="1" spans="2:7">
      <c r="C3" s="247" t="s">
        <v>604</v>
      </c>
    </row>
    <row r="4" ht="26.25" customHeight="1" spans="2:7">
      <c r="D4" s="248" t="s">
        <v>654</v>
      </c>
    </row>
    <row r="5" ht="6" customHeight="1"/>
    <row r="6" ht="18.75" customHeight="1" spans="2:7">
      <c r="F6" s="249" t="s">
        <v>606</v>
      </c>
      <c r="G6" s="250"/>
    </row>
    <row r="8" ht="21" customHeight="1" spans="2:7">
      <c r="B8" s="251" t="s">
        <v>607</v>
      </c>
    </row>
    <row r="9" ht="15.75" customHeight="1" spans="2:7">
      <c r="B9" s="252" t="s">
        <v>608</v>
      </c>
    </row>
    <row r="10" ht="9" customHeight="1"/>
    <row r="11" ht="18" customHeight="1" spans="2:7">
      <c r="C11" s="253" t="s">
        <v>655</v>
      </c>
    </row>
    <row r="12" ht="15" spans="2:7">
      <c r="C12" s="254" t="s">
        <v>656</v>
      </c>
    </row>
    <row r="13" ht="15" spans="2:7">
      <c r="B13" s="254" t="s">
        <v>657</v>
      </c>
    </row>
    <row r="14" ht="17.25" customHeight="1"/>
    <row r="15" ht="23.25" customHeight="1" spans="2:7">
      <c r="B15" s="255" t="s">
        <v>612</v>
      </c>
      <c r="D15" s="256" t="str">
        <f>'Gen Inb'!I6</f>
        <v>环球01 </v>
      </c>
      <c r="E15" s="255" t="s">
        <v>487</v>
      </c>
      <c r="F15" s="256" t="str">
        <f>'Gen Inb'!F8</f>
        <v>利比里亚</v>
      </c>
      <c r="G15" s="256"/>
    </row>
    <row r="16" ht="23.25" customHeight="1" spans="2:7">
      <c r="B16" s="257" t="s">
        <v>613</v>
      </c>
      <c r="D16" s="258" t="str">
        <f>'Gen Inb'!I7</f>
        <v>GLOBAO 01</v>
      </c>
      <c r="E16" s="252" t="s">
        <v>338</v>
      </c>
      <c r="F16" s="259" t="str">
        <f>'Gen Inb'!F9</f>
        <v>LIBERIA</v>
      </c>
      <c r="G16" s="259"/>
    </row>
    <row r="17" ht="23.25" customHeight="1" spans="2:7">
      <c r="B17" s="255" t="s">
        <v>614</v>
      </c>
      <c r="D17" s="260" t="str">
        <f>'Gen Inb'!I10</f>
        <v>IMO:1234567</v>
      </c>
      <c r="E17" s="255" t="s">
        <v>615</v>
      </c>
      <c r="F17" s="256" t="s">
        <v>616</v>
      </c>
      <c r="G17" s="256"/>
    </row>
    <row r="18" ht="23.25" customHeight="1" spans="2:7">
      <c r="B18" s="252" t="s">
        <v>617</v>
      </c>
      <c r="D18" s="261"/>
      <c r="E18" s="262" t="s">
        <v>618</v>
      </c>
      <c r="F18" s="259" t="s">
        <v>619</v>
      </c>
      <c r="G18" s="259"/>
    </row>
    <row r="19" ht="23.25" customHeight="1" spans="2:7">
      <c r="B19" s="255" t="s">
        <v>620</v>
      </c>
      <c r="D19" s="256" t="str">
        <f>'Gen Outb'!S6</f>
        <v>南沙新港</v>
      </c>
      <c r="E19" s="255" t="s">
        <v>621</v>
      </c>
      <c r="F19" s="263"/>
      <c r="G19" s="263"/>
    </row>
    <row r="20" ht="23.25" customHeight="1" spans="2:7">
      <c r="B20" s="257" t="s">
        <v>622</v>
      </c>
      <c r="D20" s="259" t="str">
        <f>'Gen Outb'!S7</f>
        <v>NANSHA NEW PORT</v>
      </c>
      <c r="E20" s="264" t="s">
        <v>623</v>
      </c>
      <c r="F20" s="261" t="s">
        <v>417</v>
      </c>
      <c r="G20" s="261"/>
    </row>
    <row r="21" ht="23.25" customHeight="1" spans="2:7">
      <c r="B21" s="255" t="s">
        <v>624</v>
      </c>
      <c r="D21" s="256" t="str">
        <f>'Gen Outb'!W8</f>
        <v>示例国籍</v>
      </c>
      <c r="E21" s="255" t="s">
        <v>658</v>
      </c>
      <c r="G21" s="265">
        <f>'Gen Outb'!X6</f>
        <v>44160</v>
      </c>
    </row>
    <row r="22" ht="23.25" customHeight="1" spans="2:7">
      <c r="B22" s="266" t="s">
        <v>626</v>
      </c>
      <c r="D22" s="259" t="str">
        <f>'Gen Outb'!W9</f>
        <v>HONGKONG</v>
      </c>
      <c r="E22" s="257" t="s">
        <v>659</v>
      </c>
      <c r="G22" s="261"/>
    </row>
    <row r="23" ht="23.25" customHeight="1" spans="2:7">
      <c r="B23" s="255" t="s">
        <v>533</v>
      </c>
      <c r="D23" s="260">
        <f>'Gen Inb'!E12</f>
        <v>15257</v>
      </c>
      <c r="E23" s="255" t="s">
        <v>628</v>
      </c>
      <c r="G23" s="260" t="s">
        <v>417</v>
      </c>
    </row>
    <row r="24" ht="23.25" customHeight="1" spans="2:7">
      <c r="B24" s="252" t="s">
        <v>629</v>
      </c>
      <c r="D24" s="261"/>
      <c r="E24" s="264" t="s">
        <v>630</v>
      </c>
      <c r="G24" s="261"/>
    </row>
    <row r="25" ht="23.25" customHeight="1" spans="2:7">
      <c r="B25" s="255" t="s">
        <v>15</v>
      </c>
      <c r="D25" s="256" t="s">
        <v>631</v>
      </c>
      <c r="E25" s="255" t="s">
        <v>632</v>
      </c>
      <c r="G25" s="267">
        <f>'Gen Inb'!P12</f>
        <v>0</v>
      </c>
    </row>
    <row r="26" ht="23.25" customHeight="1" spans="2:7">
      <c r="B26" s="252" t="s">
        <v>633</v>
      </c>
      <c r="D26" s="258" t="s">
        <v>634</v>
      </c>
      <c r="E26" s="266" t="s">
        <v>635</v>
      </c>
      <c r="G26" s="259" t="str">
        <f>IF(G25="示例船务代理有限公司","UNISCOGZ","")</f>
        <v/>
      </c>
    </row>
    <row r="27" ht="23.25" customHeight="1" spans="2:7">
      <c r="B27" s="255" t="s">
        <v>636</v>
      </c>
      <c r="D27" s="263" t="str">
        <f>'Gen Inb'!V12</f>
        <v>联系人</v>
      </c>
      <c r="E27" s="255" t="s">
        <v>637</v>
      </c>
      <c r="F27" s="268">
        <f>'Gen Inb'!V14</f>
        <v>1234567</v>
      </c>
      <c r="G27" s="268"/>
    </row>
    <row r="28" ht="23.25" customHeight="1" spans="2:7">
      <c r="B28" s="266" t="s">
        <v>635</v>
      </c>
      <c r="D28" s="269"/>
      <c r="E28" s="252" t="s">
        <v>638</v>
      </c>
      <c r="F28" s="261"/>
      <c r="G28" s="261"/>
    </row>
    <row r="29" ht="23.25" customHeight="1" spans="2:7">
      <c r="B29" s="252" t="s">
        <v>639</v>
      </c>
      <c r="D29" s="260"/>
      <c r="E29" s="270" t="s">
        <v>640</v>
      </c>
      <c r="G29" s="265">
        <f ca="1">TODAY()</f>
        <v>46224</v>
      </c>
    </row>
    <row r="30" ht="23.25" customHeight="1" spans="2:7">
      <c r="B30" s="252" t="s">
        <v>641</v>
      </c>
      <c r="D30" s="261"/>
      <c r="E30" s="257" t="s">
        <v>642</v>
      </c>
      <c r="G30" s="261"/>
    </row>
    <row r="31" ht="23.25" customHeight="1"/>
    <row r="32" ht="23.25" customHeight="1" spans="2:7">
      <c r="C32" s="271" t="s">
        <v>643</v>
      </c>
      <c r="D32" s="272" t="s">
        <v>644</v>
      </c>
      <c r="E32" s="273" t="s">
        <v>645</v>
      </c>
      <c r="F32" s="274" t="s">
        <v>646</v>
      </c>
      <c r="G32" s="275"/>
    </row>
    <row r="33" ht="23.25" customHeight="1" spans="2:7">
      <c r="C33" s="276" t="s">
        <v>647</v>
      </c>
      <c r="D33" s="277" t="s">
        <v>648</v>
      </c>
      <c r="E33" s="278" t="s">
        <v>649</v>
      </c>
      <c r="F33" s="279" t="s">
        <v>650</v>
      </c>
      <c r="G33" s="280"/>
    </row>
    <row r="34" ht="23.25" customHeight="1" spans="2:7">
      <c r="B34" s="245" t="s">
        <v>651</v>
      </c>
      <c r="F34" s="245" t="s">
        <v>652</v>
      </c>
    </row>
    <row r="35" ht="23.25" customHeight="1"/>
  </sheetData>
  <mergeCells count="16">
    <mergeCell ref="F15:G15"/>
    <mergeCell ref="F16:G16"/>
    <mergeCell ref="F17:G17"/>
    <mergeCell ref="F18:G18"/>
    <mergeCell ref="F19:G19"/>
    <mergeCell ref="F20:G20"/>
    <mergeCell ref="F32:G32"/>
    <mergeCell ref="F33:G33"/>
    <mergeCell ref="D17:D18"/>
    <mergeCell ref="D23:D24"/>
    <mergeCell ref="D27:D28"/>
    <mergeCell ref="D29:D30"/>
    <mergeCell ref="G21:G22"/>
    <mergeCell ref="G23:G24"/>
    <mergeCell ref="G29:G30"/>
    <mergeCell ref="F27:G28"/>
  </mergeCells>
  <pageMargins left="0.25" right="0.25"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2"/>
  <dimension ref="B1:O25"/>
  <sheetViews>
    <sheetView topLeftCell="A25" workbookViewId="0">
      <selection activeCell="H37" sqref="H37"/>
    </sheetView>
  </sheetViews>
  <sheetFormatPr defaultColWidth="9" defaultRowHeight="28.5" customHeight="1"/>
  <cols>
    <col min="1" max="1" width="3" style="201" customWidth="1"/>
    <col min="2" max="2" width="9" style="201"/>
    <col min="3" max="3" width="18.2166666666667" style="201" customWidth="1"/>
    <col min="4" max="4" width="6.33333333333333" style="201" customWidth="1"/>
    <col min="5" max="6" width="12.3333333333333" style="201" customWidth="1"/>
    <col min="7" max="7" width="6.10833333333333" style="201" customWidth="1"/>
    <col min="8" max="8" width="19.6666666666667" style="201" customWidth="1"/>
    <col min="9" max="16384" width="9" style="201"/>
  </cols>
  <sheetData>
    <row r="1" customHeight="1" spans="2:15">
      <c r="E1" s="202" t="s">
        <v>660</v>
      </c>
    </row>
    <row r="2" customHeight="1" spans="2:15">
      <c r="E2" s="203" t="s">
        <v>661</v>
      </c>
    </row>
    <row r="4" customHeight="1" spans="2:15">
      <c r="G4" s="204" t="s">
        <v>526</v>
      </c>
      <c r="H4" s="205"/>
    </row>
    <row r="5" ht="13.5" customHeight="1"/>
    <row r="6" customHeight="1" spans="2:15">
      <c r="B6" s="206" t="s">
        <v>662</v>
      </c>
      <c r="C6" s="207" t="s">
        <v>663</v>
      </c>
      <c r="D6" s="208"/>
      <c r="E6" s="208"/>
      <c r="F6" s="208" t="s">
        <v>664</v>
      </c>
      <c r="G6" s="208"/>
      <c r="H6" s="209"/>
    </row>
    <row r="7" customHeight="1" spans="2:15">
      <c r="B7" s="210"/>
      <c r="C7" s="211" t="s">
        <v>665</v>
      </c>
      <c r="D7" s="211"/>
      <c r="E7" s="211" t="s">
        <v>666</v>
      </c>
      <c r="F7" s="211"/>
      <c r="G7" s="211" t="s">
        <v>667</v>
      </c>
      <c r="H7" s="212"/>
      <c r="O7" s="201" t="s">
        <v>668</v>
      </c>
    </row>
    <row r="8" customHeight="1" spans="2:15">
      <c r="B8" s="210"/>
      <c r="C8" s="213" t="s">
        <v>669</v>
      </c>
      <c r="D8" s="214"/>
      <c r="E8" s="214"/>
      <c r="F8" s="214"/>
      <c r="G8" s="214"/>
      <c r="H8" s="215"/>
    </row>
    <row r="9" customHeight="1" spans="2:15">
      <c r="B9" s="216"/>
      <c r="C9" s="217" t="s">
        <v>670</v>
      </c>
      <c r="D9" s="217"/>
      <c r="E9" s="217"/>
      <c r="F9" s="217" t="s">
        <v>664</v>
      </c>
      <c r="G9" s="217"/>
      <c r="H9" s="218"/>
    </row>
    <row r="10" customHeight="1" spans="2:15">
      <c r="B10" s="219" t="s">
        <v>671</v>
      </c>
      <c r="C10" s="220"/>
      <c r="D10" s="220"/>
      <c r="E10" s="220"/>
      <c r="F10" s="220"/>
      <c r="G10" s="220"/>
      <c r="H10" s="221" t="s">
        <v>672</v>
      </c>
    </row>
    <row r="11" customHeight="1" spans="2:15">
      <c r="B11" s="222" t="s">
        <v>673</v>
      </c>
      <c r="C11" s="223"/>
      <c r="D11" s="223"/>
      <c r="E11" s="223"/>
      <c r="F11" s="223"/>
      <c r="G11" s="223"/>
      <c r="H11" s="224"/>
    </row>
    <row r="12" customHeight="1" spans="2:15">
      <c r="B12" s="225" t="s">
        <v>674</v>
      </c>
      <c r="C12" s="226"/>
      <c r="D12" s="226"/>
      <c r="E12" s="226"/>
      <c r="F12" s="226"/>
      <c r="G12" s="226"/>
      <c r="H12" s="227" t="s">
        <v>672</v>
      </c>
    </row>
    <row r="13" customHeight="1" spans="2:15">
      <c r="B13" s="228" t="s">
        <v>675</v>
      </c>
      <c r="C13" s="229"/>
      <c r="D13" s="230"/>
      <c r="E13" s="230"/>
      <c r="F13" s="230"/>
      <c r="G13" s="230"/>
      <c r="H13" s="231"/>
    </row>
    <row r="14" customHeight="1" spans="2:15">
      <c r="B14" s="210"/>
      <c r="C14" s="232"/>
      <c r="D14" s="233"/>
      <c r="E14" s="233"/>
      <c r="F14" s="233"/>
      <c r="G14" s="233"/>
      <c r="H14" s="234"/>
    </row>
    <row r="15" customHeight="1" spans="2:15">
      <c r="B15" s="210"/>
      <c r="C15" s="232"/>
      <c r="D15" s="233"/>
      <c r="E15" s="233"/>
      <c r="F15" s="233"/>
      <c r="G15" s="233"/>
      <c r="H15" s="234"/>
    </row>
    <row r="16" customHeight="1" spans="2:15">
      <c r="B16" s="210"/>
      <c r="C16" s="232"/>
      <c r="D16" s="233"/>
      <c r="E16" s="233"/>
      <c r="F16" s="233"/>
      <c r="G16" s="233"/>
      <c r="H16" s="234"/>
    </row>
    <row r="17" customHeight="1" spans="2:8">
      <c r="B17" s="210"/>
      <c r="C17" s="232"/>
      <c r="D17" s="233"/>
      <c r="E17" s="233"/>
      <c r="F17" s="233"/>
      <c r="G17" s="233"/>
      <c r="H17" s="234"/>
    </row>
    <row r="18" customHeight="1" spans="2:8">
      <c r="B18" s="210"/>
      <c r="C18" s="232"/>
      <c r="D18" s="233"/>
      <c r="E18" s="233"/>
      <c r="F18" s="233"/>
      <c r="G18" s="233"/>
      <c r="H18" s="234"/>
    </row>
    <row r="19" customHeight="1" spans="2:8">
      <c r="B19" s="210"/>
      <c r="C19" s="232"/>
      <c r="D19" s="233"/>
      <c r="E19" s="233"/>
      <c r="F19" s="233"/>
      <c r="G19" s="233"/>
      <c r="H19" s="234"/>
    </row>
    <row r="20" customHeight="1" spans="2:8">
      <c r="B20" s="210"/>
      <c r="C20" s="232"/>
      <c r="D20" s="233"/>
      <c r="E20" s="233"/>
      <c r="F20" s="233"/>
      <c r="G20" s="233"/>
      <c r="H20" s="234"/>
    </row>
    <row r="21" customHeight="1" spans="2:8">
      <c r="B21" s="210"/>
      <c r="C21" s="232"/>
      <c r="D21" s="233"/>
      <c r="E21" s="233"/>
      <c r="F21" s="233"/>
      <c r="G21" s="233"/>
      <c r="H21" s="234"/>
    </row>
    <row r="22" customHeight="1" spans="2:8">
      <c r="B22" s="235"/>
      <c r="C22" s="236"/>
      <c r="D22" s="237"/>
      <c r="E22" s="237"/>
      <c r="F22" s="237"/>
      <c r="G22" s="237"/>
      <c r="H22" s="238"/>
    </row>
    <row r="23" customHeight="1" spans="2:8">
      <c r="B23" s="239" t="s">
        <v>676</v>
      </c>
      <c r="C23" s="240"/>
      <c r="D23" s="240" t="s">
        <v>672</v>
      </c>
      <c r="E23" s="240"/>
      <c r="F23" s="241" t="s">
        <v>677</v>
      </c>
      <c r="G23" s="242"/>
      <c r="H23" s="243"/>
    </row>
    <row r="24" customHeight="1" spans="2:8">
      <c r="B24" s="219" t="s">
        <v>678</v>
      </c>
      <c r="C24" s="220"/>
      <c r="D24" s="220" t="s">
        <v>672</v>
      </c>
      <c r="E24" s="220"/>
      <c r="F24" s="219"/>
      <c r="G24" s="220"/>
      <c r="H24" s="221"/>
    </row>
    <row r="25" customHeight="1" spans="2:8">
      <c r="B25" s="204" t="s">
        <v>679</v>
      </c>
      <c r="C25" s="244" t="s">
        <v>680</v>
      </c>
    </row>
  </sheetData>
  <mergeCells count="18">
    <mergeCell ref="D6:E6"/>
    <mergeCell ref="F6:G6"/>
    <mergeCell ref="C7:D7"/>
    <mergeCell ref="E7:F7"/>
    <mergeCell ref="G7:H7"/>
    <mergeCell ref="C8:H8"/>
    <mergeCell ref="D9:E9"/>
    <mergeCell ref="F9:G9"/>
    <mergeCell ref="C10:G10"/>
    <mergeCell ref="B11:H11"/>
    <mergeCell ref="C12:G12"/>
    <mergeCell ref="D23:E23"/>
    <mergeCell ref="F23:H23"/>
    <mergeCell ref="D24:E24"/>
    <mergeCell ref="F24:H24"/>
    <mergeCell ref="B6:B9"/>
    <mergeCell ref="B13:B22"/>
    <mergeCell ref="C13:H22"/>
  </mergeCells>
  <pageMargins left="0.699305555555556" right="0.699305555555556"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3">
    <pageSetUpPr fitToPage="1"/>
  </sheetPr>
  <dimension ref="C1:K6"/>
  <sheetViews>
    <sheetView workbookViewId="0">
      <selection activeCell="M10" sqref="M10"/>
    </sheetView>
  </sheetViews>
  <sheetFormatPr defaultColWidth="9" defaultRowHeight="30" customHeight="1" outlineLevelRow="5"/>
  <cols>
    <col min="1" max="1" width="9" style="193"/>
    <col min="2" max="2" width="3.775" style="193" customWidth="1"/>
    <col min="3" max="16384" width="9" style="193"/>
  </cols>
  <sheetData>
    <row r="1" ht="52.5" customHeight="1"/>
    <row r="2" ht="37.5" customHeight="1" spans="3:11">
      <c r="C2" s="194" t="s">
        <v>681</v>
      </c>
      <c r="H2" s="62"/>
    </row>
    <row r="3" customHeight="1" spans="3:11">
      <c r="C3" s="195"/>
      <c r="D3" s="196" t="str">
        <f>'Gen Inb'!I6</f>
        <v>环球01 </v>
      </c>
      <c r="E3" s="196"/>
      <c r="F3" s="196"/>
      <c r="G3" s="196"/>
      <c r="H3" s="196" t="str">
        <f>'Gen Inb'!F8</f>
        <v>利比里亚</v>
      </c>
      <c r="I3" s="196"/>
      <c r="J3" s="196"/>
      <c r="K3" s="196"/>
    </row>
    <row r="4" customHeight="1" spans="3:11">
      <c r="C4" s="195"/>
      <c r="D4" s="196"/>
      <c r="E4" s="196"/>
      <c r="F4" s="196"/>
      <c r="G4" s="196"/>
      <c r="H4" s="196"/>
      <c r="I4" s="196"/>
      <c r="J4" s="196"/>
      <c r="K4" s="196"/>
    </row>
    <row r="5" customHeight="1" spans="3:11">
      <c r="C5" s="197"/>
      <c r="D5" s="198" t="str">
        <f>'Gen Inb'!I7</f>
        <v>GLOBAO 01</v>
      </c>
      <c r="E5" s="198"/>
      <c r="F5" s="198"/>
      <c r="G5" s="199"/>
      <c r="H5" s="200" t="str">
        <f>'Gen Inb'!K14</f>
        <v>一期   W</v>
      </c>
      <c r="I5" s="200"/>
      <c r="J5" s="200"/>
      <c r="K5" s="200"/>
    </row>
    <row r="6" customHeight="1" spans="3:11">
      <c r="C6" s="197"/>
      <c r="D6" s="198"/>
      <c r="E6" s="198"/>
      <c r="F6" s="198"/>
      <c r="G6" s="199"/>
      <c r="H6" s="200"/>
      <c r="I6" s="200"/>
      <c r="J6" s="200"/>
      <c r="K6" s="200"/>
    </row>
  </sheetData>
  <mergeCells count="4">
    <mergeCell ref="D3:F4"/>
    <mergeCell ref="H3:K4"/>
    <mergeCell ref="D5:F6"/>
    <mergeCell ref="H5:K6"/>
  </mergeCells>
  <pageMargins left="0.707638888888889" right="0.707638888888889" top="0.747916666666667" bottom="0.747916666666667" header="0.313888888888889" footer="0.313888888888889"/>
  <pageSetup paperSize="9" scale="95"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4"/>
  <dimension ref="B1:L27"/>
  <sheetViews>
    <sheetView topLeftCell="A7" workbookViewId="0">
      <selection activeCell="N10" sqref="N10"/>
    </sheetView>
  </sheetViews>
  <sheetFormatPr defaultColWidth="9" defaultRowHeight="15.75"/>
  <cols>
    <col min="1" max="1" width="9" style="177"/>
    <col min="2" max="2" width="8.44166666666667" style="177" customWidth="1"/>
    <col min="3" max="3" width="8.66666666666667" style="177" customWidth="1"/>
    <col min="4" max="4" width="9" style="177"/>
    <col min="5" max="5" width="5.10833333333333" style="177" customWidth="1"/>
    <col min="6" max="6" width="6.66666666666667" style="177" customWidth="1"/>
    <col min="7" max="7" width="2.775" style="177" customWidth="1"/>
    <col min="8" max="8" width="7.88333333333333" style="177" customWidth="1"/>
    <col min="9" max="9" width="6.66666666666667" style="177" customWidth="1"/>
    <col min="10" max="10" width="7.10833333333333" style="177" customWidth="1"/>
    <col min="11" max="11" width="7.44166666666667" style="177" customWidth="1"/>
    <col min="12" max="12" width="6.775" style="177" customWidth="1"/>
    <col min="13" max="16384" width="9" style="177"/>
  </cols>
  <sheetData>
    <row r="1" ht="28.5" customHeight="1"/>
    <row r="2" ht="21" customHeight="1" spans="2:12">
      <c r="K2" s="189" t="s">
        <v>682</v>
      </c>
      <c r="L2" s="190"/>
    </row>
    <row r="3" ht="6" customHeight="1" spans="2:12">
      <c r="L3" s="159"/>
    </row>
    <row r="4" ht="28.5" customHeight="1" spans="2:12">
      <c r="C4" s="162" t="str">
        <f>'Gen Inb'!I6&amp;""&amp;'Gen Inb'!I7</f>
        <v>环球01 GLOBAO 01</v>
      </c>
      <c r="D4" s="162"/>
      <c r="E4" s="162"/>
      <c r="F4" s="162"/>
      <c r="J4" s="178" t="str">
        <f>'Parts A'!B5</f>
        <v>IMO:1234567</v>
      </c>
      <c r="K4" s="178"/>
      <c r="L4" s="178"/>
    </row>
    <row r="5" ht="28.5" customHeight="1" spans="2:12">
      <c r="C5" s="178" t="str">
        <f>'Parts A'!B6</f>
        <v>5LKM2</v>
      </c>
      <c r="D5" s="178"/>
      <c r="E5" s="178"/>
      <c r="F5" s="178"/>
      <c r="J5" s="162" t="str">
        <f>'Gen Inb'!S6&amp;""&amp;'Gen Inb'!S7</f>
        <v>南沙新港NANSHA NEW PORT</v>
      </c>
      <c r="K5" s="162"/>
      <c r="L5" s="162"/>
    </row>
    <row r="6" ht="28.5" customHeight="1" spans="2:12">
      <c r="C6" s="184">
        <f>'Gen Inb'!X6</f>
        <v>46219</v>
      </c>
      <c r="D6" s="184"/>
      <c r="E6" s="191">
        <f>'Gen Inb'!X7</f>
        <v>0</v>
      </c>
      <c r="F6" s="186" t="s">
        <v>596</v>
      </c>
      <c r="J6" s="162" t="str">
        <f>'Parts A'!E3&amp;""&amp;'Parts A'!E4</f>
        <v>利比里亚LIBERIA</v>
      </c>
      <c r="K6" s="162"/>
      <c r="L6" s="162"/>
    </row>
    <row r="7" ht="28.5" customHeight="1" spans="2:12">
      <c r="C7" s="164" t="str">
        <f>'Gen Inb'!M8</f>
        <v>张宏</v>
      </c>
      <c r="D7" s="164"/>
      <c r="E7" s="164"/>
      <c r="F7" s="164"/>
      <c r="J7" s="162" t="str">
        <f>'Gen Inb'!W8&amp;""&amp;'Gen Inb'!W9</f>
        <v>俄罗斯东方港VOSTOCHNIY</v>
      </c>
      <c r="K7" s="162"/>
      <c r="L7" s="162"/>
    </row>
    <row r="8" ht="28.5" customHeight="1"/>
    <row r="9" ht="28.5" customHeight="1" spans="2:12">
      <c r="B9" s="178"/>
      <c r="C9" s="178"/>
      <c r="D9" s="178"/>
      <c r="E9" s="178"/>
      <c r="F9" s="178"/>
      <c r="G9" s="164" t="str">
        <f>'Gen Inb'!P12&amp;"："&amp;'Gen Inb'!V12</f>
        <v>：联系人</v>
      </c>
      <c r="H9" s="164"/>
      <c r="I9" s="164"/>
      <c r="J9" s="164"/>
      <c r="K9" s="164"/>
      <c r="L9" s="164"/>
    </row>
    <row r="10" ht="28.5" customHeight="1" spans="2:12">
      <c r="B10" s="178">
        <f>'Parts A'!E5</f>
        <v>15257</v>
      </c>
      <c r="C10" s="178"/>
      <c r="E10" s="176">
        <f>'Parts A'!G5</f>
        <v>7877</v>
      </c>
      <c r="F10" s="176"/>
      <c r="G10" s="178" t="str">
        <f>'Gen Inb'!P14&amp;"  "&amp;'Gen Inb'!V14</f>
        <v>13800000000  13800000000</v>
      </c>
      <c r="H10" s="178"/>
      <c r="I10" s="178"/>
      <c r="J10" s="178"/>
      <c r="K10" s="178"/>
      <c r="L10" s="178"/>
    </row>
    <row r="11" ht="28.5" customHeight="1" spans="2:12">
      <c r="D11" s="178" t="str">
        <f>'Gen Inb'!K14</f>
        <v>一期   W</v>
      </c>
      <c r="E11" s="178"/>
      <c r="F11" s="178"/>
      <c r="G11" s="178"/>
      <c r="H11" s="178"/>
      <c r="I11" s="178"/>
      <c r="J11" s="178"/>
      <c r="K11" s="178"/>
      <c r="L11" s="178"/>
    </row>
    <row r="12" ht="27" customHeight="1"/>
    <row r="13" ht="47.25" customHeight="1" spans="2:12">
      <c r="B13" s="164" t="str">
        <f>'Gen Inb'!G18&amp;"  "&amp;"("&amp;'Gen Inb'!G19&amp;")"&amp;"——"&amp;'Gen Inb'!M18&amp;"  "&amp;"("&amp;'Gen Inb'!M19&amp;")"</f>
        <v>俄罗斯东方港  (VOSTOCHNIY)——南沙新港  (NANSHA NEW PORT)</v>
      </c>
      <c r="C13" s="164"/>
      <c r="D13" s="164"/>
      <c r="E13" s="164"/>
      <c r="F13" s="164"/>
      <c r="G13" s="164"/>
      <c r="H13" s="164"/>
      <c r="I13" s="164"/>
      <c r="J13" s="164"/>
      <c r="K13" s="164"/>
      <c r="L13" s="187"/>
    </row>
    <row r="14" ht="12.75" customHeight="1"/>
    <row r="15" ht="24.75" customHeight="1" spans="2:12">
      <c r="D15" s="177" t="str">
        <f>'Gen Inb'!J21&amp;'Gen Inb'!M21&amp;" "&amp;'Gen Inb'!O21</f>
        <v>总重量：5181.7 吨</v>
      </c>
    </row>
    <row r="16" ht="24.75" customHeight="1" spans="2:12">
      <c r="C16" s="157" t="str">
        <f>'Gen Inb'!E22&amp;'Gen Inb'!F22&amp;"  "&amp;'Gen Inb'!P22&amp;'Gen Inb'!R22&amp;" "&amp;'Gen Inb'!T22&amp;'Gen Inb'!V22&amp;'Gen Inb'!W22&amp;" "&amp;'Gen Inb'!X22</f>
        <v>进口柜：20F×22, 40F×55, 20E×35, 40E×0  总共：167 TEU，1074.7 吨；</v>
      </c>
    </row>
    <row r="17" ht="24.75" customHeight="1" spans="3:12">
      <c r="C17" s="163" t="str">
        <f>'Gen Inb'!E23&amp;'Gen Inb'!F23&amp;"  "&amp;'Gen Inb'!P23&amp;'Gen Inb'!R23&amp;" "&amp;'Gen Inb'!T23&amp;'Gen Inb'!V23&amp;'Gen Inb'!W23&amp;" "&amp;'Gen Inb'!X23</f>
        <v>过境柜：20F×133, 40F×124  总共：381 TEU，4107 吨；</v>
      </c>
    </row>
    <row r="18" ht="6.75" customHeight="1"/>
    <row r="19" ht="26.25" customHeight="1" spans="3:12">
      <c r="C19" s="178">
        <f>COUNTA('Crew Outb'!C11:C30)</f>
        <v>20</v>
      </c>
      <c r="F19" s="178" t="str">
        <f>'Gen Inb'!N24</f>
        <v>nil</v>
      </c>
      <c r="G19" s="178"/>
    </row>
    <row r="20" ht="23.25" customHeight="1" spans="3:12">
      <c r="I20" s="178" t="str">
        <f>'Gen Inb'!R24</f>
        <v>无武器</v>
      </c>
      <c r="J20" s="178"/>
      <c r="K20" s="178"/>
      <c r="L20" s="178"/>
    </row>
    <row r="21" ht="9.75" customHeight="1" spans="3:12">
      <c r="I21" s="137" t="str">
        <f>"船公司："&amp;'Gen Inb'!R28</f>
        <v>船公司：东方致远航运有限公司</v>
      </c>
      <c r="J21" s="137"/>
      <c r="K21" s="137"/>
      <c r="L21" s="137"/>
    </row>
    <row r="22" ht="12.75" customHeight="1" spans="3:12">
      <c r="C22" s="178">
        <v>1</v>
      </c>
      <c r="F22" s="178"/>
      <c r="G22" s="178"/>
      <c r="I22" s="137"/>
      <c r="J22" s="137"/>
      <c r="K22" s="137"/>
      <c r="L22" s="137"/>
    </row>
    <row r="23" ht="21" customHeight="1" spans="3:12">
      <c r="C23" s="178"/>
      <c r="F23" s="178"/>
      <c r="G23" s="178"/>
      <c r="I23" s="192"/>
      <c r="J23" s="188"/>
      <c r="K23" s="188"/>
      <c r="L23" s="188"/>
    </row>
    <row r="24" ht="33.75" customHeight="1" spans="3:12">
      <c r="C24" s="178">
        <v>1</v>
      </c>
      <c r="F24" s="178" t="s">
        <v>146</v>
      </c>
      <c r="G24" s="178"/>
    </row>
    <row r="25" ht="37.5" customHeight="1" spans="3:12">
      <c r="F25" s="178"/>
      <c r="G25" s="178"/>
    </row>
    <row r="26" ht="32.25" customHeight="1" spans="3:12">
      <c r="I26" s="178">
        <f>YEAR('Gen Inb'!X6)</f>
        <v>2026</v>
      </c>
      <c r="J26" s="178"/>
      <c r="K26" s="178">
        <f>MONTH('Gen Inb'!X6)</f>
        <v>7</v>
      </c>
      <c r="L26" s="159">
        <f>DAY('Gen Inb'!X6)</f>
        <v>16</v>
      </c>
    </row>
    <row r="27" customHeight="1"/>
  </sheetData>
  <mergeCells count="25">
    <mergeCell ref="C4:F4"/>
    <mergeCell ref="J4:L4"/>
    <mergeCell ref="C5:F5"/>
    <mergeCell ref="J5:L5"/>
    <mergeCell ref="C6:D6"/>
    <mergeCell ref="J6:L6"/>
    <mergeCell ref="C7:F7"/>
    <mergeCell ref="J7:L7"/>
    <mergeCell ref="B9:F9"/>
    <mergeCell ref="G9:L9"/>
    <mergeCell ref="B10:C10"/>
    <mergeCell ref="E10:F10"/>
    <mergeCell ref="G10:L10"/>
    <mergeCell ref="D11:F11"/>
    <mergeCell ref="G11:L11"/>
    <mergeCell ref="B13:K13"/>
    <mergeCell ref="F19:G19"/>
    <mergeCell ref="I20:L20"/>
    <mergeCell ref="I23:L23"/>
    <mergeCell ref="F24:G24"/>
    <mergeCell ref="F25:G25"/>
    <mergeCell ref="I26:J26"/>
    <mergeCell ref="C22:C23"/>
    <mergeCell ref="F22:G23"/>
    <mergeCell ref="I21:L22"/>
  </mergeCells>
  <pageMargins left="0.707638888888889" right="0.707638888888889" top="0.747916666666667" bottom="0.747916666666667" header="0.313888888888889" footer="0.313888888888889"/>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5"/>
  <dimension ref="B1:L27"/>
  <sheetViews>
    <sheetView topLeftCell="A13" workbookViewId="0">
      <selection activeCell="B13" sqref="B13:K13"/>
    </sheetView>
  </sheetViews>
  <sheetFormatPr defaultColWidth="9" defaultRowHeight="15.75"/>
  <cols>
    <col min="1" max="1" width="9" style="177"/>
    <col min="2" max="2" width="8.44166666666667" style="177" customWidth="1"/>
    <col min="3" max="3" width="8.66666666666667" style="177" customWidth="1"/>
    <col min="4" max="4" width="9" style="177"/>
    <col min="5" max="5" width="5.10833333333333" style="177" customWidth="1"/>
    <col min="6" max="6" width="6.66666666666667" style="177" customWidth="1"/>
    <col min="7" max="7" width="2.775" style="177" customWidth="1"/>
    <col min="8" max="8" width="7.88333333333333" style="177" customWidth="1"/>
    <col min="9" max="9" width="6.66666666666667" style="177" customWidth="1"/>
    <col min="10" max="10" width="7.10833333333333" style="177" customWidth="1"/>
    <col min="11" max="11" width="7.44166666666667" style="177" customWidth="1"/>
    <col min="12" max="12" width="6.775" style="177" customWidth="1"/>
    <col min="13" max="16384" width="9" style="177"/>
  </cols>
  <sheetData>
    <row r="1" ht="37.5" customHeight="1"/>
    <row r="2" ht="21" customHeight="1" spans="2:12">
      <c r="K2" s="182"/>
      <c r="L2" s="183" t="s">
        <v>683</v>
      </c>
    </row>
    <row r="3" ht="6" customHeight="1" spans="2:12">
      <c r="L3" s="159"/>
    </row>
    <row r="4" ht="28.5" customHeight="1" spans="2:12">
      <c r="C4" s="162" t="str">
        <f>'IMO Gen Inb'!C4</f>
        <v>环球01 GLOBAO 01</v>
      </c>
      <c r="D4" s="162"/>
      <c r="E4" s="162"/>
      <c r="F4" s="162"/>
      <c r="J4" s="178" t="str">
        <f>'IMO Gen Inb'!J4</f>
        <v>IMO:1234567</v>
      </c>
      <c r="K4" s="178"/>
      <c r="L4" s="178"/>
    </row>
    <row r="5" ht="28.5" customHeight="1" spans="2:12">
      <c r="C5" s="178" t="str">
        <f>'Parts A'!B6</f>
        <v>5LKM2</v>
      </c>
      <c r="D5" s="178"/>
      <c r="E5" s="178"/>
      <c r="F5" s="178"/>
      <c r="J5" s="162" t="str">
        <f>'IMO Gen Inb'!J5</f>
        <v>南沙新港NANSHA NEW PORT</v>
      </c>
      <c r="K5" s="162"/>
      <c r="L5" s="162"/>
    </row>
    <row r="6" ht="28.5" customHeight="1" spans="2:12">
      <c r="C6" s="184">
        <f>'Gen Outb'!X6</f>
        <v>44160</v>
      </c>
      <c r="D6" s="184"/>
      <c r="E6" s="185">
        <f>'Gen Outb'!X7</f>
        <v>0</v>
      </c>
      <c r="F6" s="186" t="s">
        <v>596</v>
      </c>
      <c r="J6" s="162" t="str">
        <f>'IMO Gen Inb'!J6</f>
        <v>利比里亚LIBERIA</v>
      </c>
      <c r="K6" s="162"/>
      <c r="L6" s="162"/>
    </row>
    <row r="7" ht="28.5" customHeight="1" spans="2:12">
      <c r="C7" s="164" t="str">
        <f>'IMO Gen Inb'!C7</f>
        <v>张宏</v>
      </c>
      <c r="D7" s="164"/>
      <c r="E7" s="164"/>
      <c r="F7" s="164"/>
      <c r="J7" s="162" t="str">
        <f>'Gen Outb'!W8&amp;""&amp;'Gen Outb'!W9</f>
        <v>示例国籍HONGKONG</v>
      </c>
      <c r="K7" s="162"/>
      <c r="L7" s="162"/>
    </row>
    <row r="8" ht="28.5" customHeight="1"/>
    <row r="9" ht="28.5" customHeight="1" spans="2:12">
      <c r="B9" s="178"/>
      <c r="C9" s="178"/>
      <c r="D9" s="178"/>
      <c r="E9" s="178"/>
      <c r="F9" s="178"/>
      <c r="G9" s="164" t="str">
        <f>'Gen Inb'!P12&amp;"："&amp;'Gen Inb'!V12</f>
        <v>：联系人</v>
      </c>
      <c r="H9" s="164"/>
      <c r="I9" s="164"/>
      <c r="J9" s="164"/>
      <c r="K9" s="164"/>
      <c r="L9" s="164"/>
    </row>
    <row r="10" ht="28.5" customHeight="1" spans="2:12">
      <c r="B10" s="178">
        <f>'IMO Gen Inb'!B10</f>
        <v>15257</v>
      </c>
      <c r="C10" s="178"/>
      <c r="E10" s="176">
        <f>'IMO Gen Inb'!E10</f>
        <v>7877</v>
      </c>
      <c r="F10" s="176"/>
      <c r="G10" s="178" t="str">
        <f>'Gen Inb'!P14&amp;"  "&amp;'Gen Inb'!V14</f>
        <v>13800000000  13800000000</v>
      </c>
      <c r="H10" s="178"/>
      <c r="I10" s="178"/>
      <c r="J10" s="178"/>
      <c r="K10" s="178"/>
      <c r="L10" s="178"/>
    </row>
    <row r="11" ht="28.5" customHeight="1" spans="2:12">
      <c r="D11" s="178" t="str">
        <f>'IMO Gen Inb'!D11</f>
        <v>一期   W</v>
      </c>
      <c r="E11" s="178"/>
      <c r="F11" s="178"/>
      <c r="G11" s="178"/>
      <c r="H11" s="178"/>
      <c r="I11" s="178"/>
      <c r="J11" s="178"/>
      <c r="K11" s="178"/>
      <c r="L11" s="178"/>
    </row>
    <row r="12" ht="27" customHeight="1"/>
    <row r="13" ht="47.25" customHeight="1" spans="2:12">
      <c r="B13" s="164" t="str">
        <f>'Gen Outb'!M18&amp;"  "&amp;"("&amp;'Gen Outb'!M19&amp;")"&amp;"——"&amp;'Gen Outb'!T18&amp;"  "&amp;"("&amp;'Gen Outb'!T19&amp;")"</f>
        <v>南沙新港  (NANSHA NEW PORT)——示例国籍  (HONGKONG)</v>
      </c>
      <c r="C13" s="164"/>
      <c r="D13" s="164"/>
      <c r="E13" s="164"/>
      <c r="F13" s="164"/>
      <c r="G13" s="164"/>
      <c r="H13" s="164"/>
      <c r="I13" s="164"/>
      <c r="J13" s="164"/>
      <c r="K13" s="164"/>
      <c r="L13" s="187"/>
    </row>
    <row r="14" ht="12.75" customHeight="1"/>
    <row r="15" ht="24.75" customHeight="1" spans="2:12">
      <c r="D15" s="177" t="str">
        <f>'Gen Outb'!J21&amp;'Gen Outb'!M21&amp;" "&amp;'Gen Outb'!O21</f>
        <v>总重量：12363.5 吨</v>
      </c>
    </row>
    <row r="16" ht="24.75" customHeight="1" spans="2:12">
      <c r="C16" s="157" t="str">
        <f>'Gen Outb'!E22&amp;'Gen Outb'!F22&amp;"  "&amp;'Gen Outb'!P22&amp;'Gen Outb'!R22&amp;" "&amp;'Gen Outb'!T22&amp;'Gen Outb'!V22&amp;'Gen Outb'!W22&amp;" "&amp;'Gen Outb'!X22</f>
        <v>出口柜：NIL  总共：0 TEU，8256.5 吨；</v>
      </c>
    </row>
    <row r="17" ht="24.75" customHeight="1" spans="3:12">
      <c r="C17" s="163" t="str">
        <f>'Gen Inb'!E23&amp;'Gen Inb'!F23&amp;"  "&amp;'Gen Inb'!P23&amp;'Gen Inb'!R23&amp;" "&amp;'Gen Inb'!T23&amp;'Gen Inb'!V23&amp;'Gen Inb'!W23&amp;" "&amp;'Gen Inb'!X23</f>
        <v>过境柜：20F×133, 40F×124  总共：381 TEU，4107 吨；</v>
      </c>
    </row>
    <row r="18" ht="6.75" customHeight="1"/>
    <row r="19" ht="26.25" customHeight="1" spans="3:12">
      <c r="C19" s="178">
        <v>20</v>
      </c>
      <c r="F19" s="178" t="str">
        <f>'Gen Inb'!N24</f>
        <v>nil</v>
      </c>
      <c r="G19" s="178"/>
    </row>
    <row r="20" ht="23.25" customHeight="1" spans="3:12">
      <c r="I20" s="178" t="str">
        <f>'IMO Gen Inb'!I20</f>
        <v>无武器</v>
      </c>
      <c r="J20" s="178"/>
      <c r="K20" s="178"/>
      <c r="L20" s="178"/>
    </row>
    <row r="21" ht="9.75" customHeight="1" spans="3:12">
      <c r="I21" s="137" t="str">
        <f>'IMO Gen Inb'!I21</f>
        <v>船公司：东方致远航运有限公司</v>
      </c>
      <c r="J21" s="137"/>
      <c r="K21" s="137"/>
      <c r="L21" s="137"/>
    </row>
    <row r="22" ht="12.75" customHeight="1" spans="3:12">
      <c r="C22" s="178">
        <v>1</v>
      </c>
      <c r="F22" s="178"/>
      <c r="G22" s="178"/>
      <c r="I22" s="137"/>
      <c r="J22" s="137"/>
      <c r="K22" s="137"/>
      <c r="L22" s="137"/>
    </row>
    <row r="23" ht="21" customHeight="1" spans="3:12">
      <c r="C23" s="178"/>
      <c r="F23" s="178"/>
      <c r="G23" s="178"/>
      <c r="I23" s="188"/>
      <c r="J23" s="188"/>
      <c r="K23" s="188"/>
      <c r="L23" s="188"/>
    </row>
    <row r="24" ht="33.75" customHeight="1" spans="3:12">
      <c r="C24" s="178">
        <v>1</v>
      </c>
      <c r="F24" s="178">
        <v>0</v>
      </c>
      <c r="G24" s="178"/>
    </row>
    <row r="25" ht="37.5" customHeight="1" spans="3:12">
      <c r="F25" s="178"/>
      <c r="G25" s="178"/>
    </row>
    <row r="26" ht="32.25" customHeight="1" spans="3:12">
      <c r="I26" s="178">
        <f>YEAR('Gen Outb'!X6)</f>
        <v>2020</v>
      </c>
      <c r="J26" s="178"/>
      <c r="K26" s="178">
        <f>MONTH('Gen Outb'!X6)</f>
        <v>11</v>
      </c>
      <c r="L26" s="159">
        <f>DAY('Gen Outb'!X6)</f>
        <v>25</v>
      </c>
    </row>
    <row r="27" customHeight="1"/>
  </sheetData>
  <mergeCells count="25">
    <mergeCell ref="C4:F4"/>
    <mergeCell ref="J4:L4"/>
    <mergeCell ref="C5:F5"/>
    <mergeCell ref="J5:L5"/>
    <mergeCell ref="C6:D6"/>
    <mergeCell ref="J6:L6"/>
    <mergeCell ref="C7:F7"/>
    <mergeCell ref="J7:L7"/>
    <mergeCell ref="B9:F9"/>
    <mergeCell ref="G9:L9"/>
    <mergeCell ref="B10:C10"/>
    <mergeCell ref="E10:F10"/>
    <mergeCell ref="G10:L10"/>
    <mergeCell ref="D11:F11"/>
    <mergeCell ref="G11:L11"/>
    <mergeCell ref="B13:K13"/>
    <mergeCell ref="F19:G19"/>
    <mergeCell ref="I20:L20"/>
    <mergeCell ref="I23:L23"/>
    <mergeCell ref="F24:G24"/>
    <mergeCell ref="F25:G25"/>
    <mergeCell ref="I26:J26"/>
    <mergeCell ref="C22:C23"/>
    <mergeCell ref="I21:L22"/>
    <mergeCell ref="F22:G23"/>
  </mergeCells>
  <pageMargins left="0.707638888888889" right="0.707638888888889" top="0.747916666666667" bottom="0.747916666666667" header="0.313888888888889" footer="0.313888888888889"/>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6">
    <pageSetUpPr fitToPage="1"/>
  </sheetPr>
  <dimension ref="C1:J28"/>
  <sheetViews>
    <sheetView topLeftCell="A7" workbookViewId="0">
      <selection activeCell="F10" sqref="F10"/>
    </sheetView>
  </sheetViews>
  <sheetFormatPr defaultColWidth="9" defaultRowHeight="23.25" customHeight="1"/>
  <cols>
    <col min="1" max="1" width="9" style="177"/>
    <col min="2" max="2" width="7.775" style="177" customWidth="1"/>
    <col min="3" max="6" width="9" style="177"/>
    <col min="7" max="7" width="9.775" style="177" customWidth="1"/>
    <col min="8" max="8" width="9" style="177"/>
    <col min="9" max="9" width="9.66666666666667" style="177" customWidth="1"/>
    <col min="10" max="16384" width="9" style="177"/>
  </cols>
  <sheetData>
    <row r="1" ht="34.5" customHeight="1"/>
    <row r="2" ht="38.25" customHeight="1" spans="3:10">
      <c r="G2" s="176" t="s">
        <v>682</v>
      </c>
    </row>
    <row r="3" ht="33.75" customHeight="1" spans="3:10">
      <c r="C3" s="179" t="str">
        <f>'IMO Gen Inb'!C4</f>
        <v>环球01 GLOBAO 01</v>
      </c>
      <c r="D3" s="179"/>
      <c r="G3" s="177" t="str">
        <f>'IMO Gen Inb'!J4</f>
        <v>IMO:1234567</v>
      </c>
      <c r="J3" s="177" t="str">
        <f>'IMO Gen Inb'!C5</f>
        <v>5LKM2</v>
      </c>
    </row>
    <row r="4" ht="33.75" customHeight="1" spans="3:10">
      <c r="C4" s="180" t="str">
        <f>'IMO Gen Inb'!J5</f>
        <v>南沙新港NANSHA NEW PORT</v>
      </c>
      <c r="D4" s="180"/>
      <c r="E4" s="180"/>
      <c r="H4" s="162" t="str">
        <f>'IMO Gen Inb'!J6</f>
        <v>利比里亚LIBERIA</v>
      </c>
      <c r="I4" s="162"/>
      <c r="J4" s="162"/>
    </row>
    <row r="5" ht="33.75" customHeight="1" spans="3:10">
      <c r="C5" s="163" t="str">
        <f>'IMO Gen Inb'!C7</f>
        <v>张宏</v>
      </c>
      <c r="H5" s="162" t="str">
        <f>'IMO Gen Inb'!J7</f>
        <v>俄罗斯东方港VOSTOCHNIY</v>
      </c>
      <c r="I5" s="162"/>
      <c r="J5" s="162"/>
    </row>
    <row r="10" customHeight="1" spans="3:10">
      <c r="E10" s="177" t="str">
        <f>'Gen Inb'!J21&amp;'Gen Inb'!M21&amp;" "&amp;'Gen Inb'!O21</f>
        <v>总重量：5181.7 吨</v>
      </c>
    </row>
    <row r="12" customHeight="1" spans="3:10">
      <c r="D12" s="177" t="str">
        <f>'Gen Inb'!E22&amp;'Gen Inb'!F22</f>
        <v>进口柜：20F×22, 40F×55, 20E×35, 40E×0</v>
      </c>
    </row>
    <row r="13" customHeight="1" spans="3:10">
      <c r="E13" s="177" t="str">
        <f>'Gen Inb'!P22&amp;'Gen Inb'!R22&amp;" "&amp;'Gen Inb'!T22&amp;'Gen Inb'!V22&amp;'Gen Inb'!W22&amp;" "&amp;'Gen Inb'!X22</f>
        <v>总共：167 TEU，1074.7 吨；</v>
      </c>
    </row>
    <row r="14" customHeight="1" spans="3:10">
      <c r="D14" s="177" t="str">
        <f>'Gen Inb'!E23&amp;'Gen Inb'!F23</f>
        <v>过境柜：20F×133, 40F×124</v>
      </c>
    </row>
    <row r="15" customHeight="1" spans="3:10">
      <c r="E15" s="177" t="str">
        <f>'Gen Inb'!P23&amp;'Gen Inb'!R23&amp;" "&amp;'Gen Inb'!T23&amp;'Gen Inb'!V23&amp;'Gen Inb'!W23&amp;" "&amp;'Gen Inb'!X23</f>
        <v>总共：381 TEU，4107 吨；</v>
      </c>
    </row>
    <row r="23" customHeight="1" spans="4:10">
      <c r="D23" s="177" t="str">
        <f>'Gen Inb'!P12&amp;"："&amp;'Gen Inb'!V12</f>
        <v>：联系人</v>
      </c>
    </row>
    <row r="24" customHeight="1" spans="4:10">
      <c r="D24" s="177" t="str">
        <f>'Gen Inb'!P14&amp;"，"&amp;'Gen Inb'!V14</f>
        <v>13800000000，13800000000</v>
      </c>
    </row>
    <row r="28" customHeight="1" spans="4:10">
      <c r="H28" s="175">
        <f>YEAR('Gen Inb'!X6)</f>
        <v>2026</v>
      </c>
      <c r="I28" s="181">
        <f>MONTH('Gen Inb'!X6)</f>
        <v>7</v>
      </c>
      <c r="J28" s="181">
        <f>DAY('Gen Inb'!X6)</f>
        <v>16</v>
      </c>
    </row>
  </sheetData>
  <mergeCells count="4">
    <mergeCell ref="C3:D3"/>
    <mergeCell ref="C4:E4"/>
    <mergeCell ref="H4:J4"/>
    <mergeCell ref="H5:J5"/>
  </mergeCells>
  <pageMargins left="0.707638888888889" right="0.707638888888889" top="0.747916666666667" bottom="0.747916666666667" header="0.313888888888889" footer="0.313888888888889"/>
  <pageSetup paperSize="9" scale="98"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7">
    <pageSetUpPr fitToPage="1"/>
  </sheetPr>
  <dimension ref="C1:M28"/>
  <sheetViews>
    <sheetView workbookViewId="0">
      <selection activeCell="J3" sqref="J3"/>
    </sheetView>
  </sheetViews>
  <sheetFormatPr defaultColWidth="9" defaultRowHeight="23.25" customHeight="1"/>
  <cols>
    <col min="1" max="1" width="9" style="177"/>
    <col min="2" max="2" width="7.775" style="177" customWidth="1"/>
    <col min="3" max="6" width="9" style="177"/>
    <col min="7" max="7" width="9.775" style="177" customWidth="1"/>
    <col min="8" max="8" width="9" style="177"/>
    <col min="9" max="9" width="9.66666666666667" style="177" customWidth="1"/>
    <col min="10" max="16384" width="9" style="177"/>
  </cols>
  <sheetData>
    <row r="1" ht="36.75" customHeight="1"/>
    <row r="2" ht="27" customHeight="1" spans="3:10">
      <c r="G2" s="178"/>
      <c r="H2" s="178" t="s">
        <v>683</v>
      </c>
    </row>
    <row r="3" ht="33.75" customHeight="1" spans="3:10">
      <c r="C3" s="179" t="str">
        <f>'IMO Gen Outb'!C4</f>
        <v>环球01 GLOBAO 01</v>
      </c>
      <c r="D3" s="179"/>
      <c r="G3" s="178" t="str">
        <f>'IMO Gen Outb'!J4</f>
        <v>IMO:1234567</v>
      </c>
      <c r="J3" s="177" t="str">
        <f>'IMO Gen Outb'!C5</f>
        <v>5LKM2</v>
      </c>
    </row>
    <row r="4" ht="33.75" customHeight="1" spans="3:10">
      <c r="C4" s="180" t="str">
        <f>'IMO Gen Outb'!J5</f>
        <v>南沙新港NANSHA NEW PORT</v>
      </c>
      <c r="D4" s="180"/>
      <c r="E4" s="180"/>
      <c r="H4" s="162" t="str">
        <f>'IMO Gen Outb'!J6</f>
        <v>利比里亚LIBERIA</v>
      </c>
      <c r="I4" s="162"/>
      <c r="J4" s="162"/>
    </row>
    <row r="5" ht="33.75" customHeight="1" spans="3:10">
      <c r="C5" s="163" t="str">
        <f>'IMO Gen Outb'!C7</f>
        <v>张宏</v>
      </c>
      <c r="H5" s="162" t="str">
        <f>'IMO Gen Outb'!J7</f>
        <v>示例国籍HONGKONG</v>
      </c>
      <c r="I5" s="162"/>
      <c r="J5" s="162"/>
    </row>
    <row r="11" customHeight="1" spans="3:10">
      <c r="E11" s="177" t="str">
        <f>'Gen Outb'!J21&amp;'Gen Outb'!M21&amp;" "&amp;'Gen Outb'!O21</f>
        <v>总重量：12363.5 吨</v>
      </c>
    </row>
    <row r="12" customHeight="1" spans="3:10">
      <c r="D12" s="177" t="str">
        <f>'Gen Outb'!E22&amp;'Gen Outb'!F22</f>
        <v>出口柜：NIL</v>
      </c>
    </row>
    <row r="13" customHeight="1" spans="3:10">
      <c r="E13" s="177" t="str">
        <f>'Gen Outb'!P22&amp;'Gen Outb'!R22&amp;" "&amp;'Gen Outb'!T22&amp;'Gen Outb'!V22&amp;'Gen Outb'!W22&amp;" "&amp;'Gen Outb'!X22</f>
        <v>总共：0 TEU，8256.5 吨；</v>
      </c>
    </row>
    <row r="14" customHeight="1" spans="3:10">
      <c r="D14" s="177" t="str">
        <f>'Gen Inb'!E23&amp;'Gen Inb'!F23</f>
        <v>过境柜：20F×133, 40F×124</v>
      </c>
    </row>
    <row r="15" customHeight="1" spans="3:10">
      <c r="E15" s="177" t="str">
        <f>'Gen Inb'!P23&amp;'Gen Inb'!R23&amp;" "&amp;'Gen Inb'!T23&amp;'Gen Inb'!V23&amp;'Gen Inb'!W23&amp;" "&amp;'Gen Inb'!X23</f>
        <v>总共：381 TEU，4107 吨；</v>
      </c>
    </row>
    <row r="23" customHeight="1" spans="4:13">
      <c r="D23" s="177" t="str">
        <f>'Gen Inb'!P12&amp;"："&amp;'Gen Inb'!V12</f>
        <v>：联系人</v>
      </c>
    </row>
    <row r="24" customHeight="1" spans="4:13">
      <c r="D24" s="177" t="str">
        <f>'Gen Inb'!P14&amp;"，"&amp;'Gen Inb'!V14</f>
        <v>13800000000，13800000000</v>
      </c>
      <c r="M24" s="177" t="s">
        <v>684</v>
      </c>
    </row>
    <row r="28" customHeight="1" spans="4:13">
      <c r="H28" s="175">
        <f>YEAR('Gen Outb'!X6)</f>
        <v>2020</v>
      </c>
      <c r="I28" s="181">
        <f>MONTH('Gen Outb'!X6)</f>
        <v>11</v>
      </c>
      <c r="J28" s="181">
        <f>DAY('Gen Outb'!X6)</f>
        <v>25</v>
      </c>
    </row>
  </sheetData>
  <mergeCells count="4">
    <mergeCell ref="C3:D3"/>
    <mergeCell ref="C4:E4"/>
    <mergeCell ref="H4:J4"/>
    <mergeCell ref="H5:J5"/>
  </mergeCells>
  <pageMargins left="0.707638888888889" right="0.707638888888889" top="0.747916666666667" bottom="0.747916666666667" header="0.313888888888889" footer="0.313888888888889"/>
  <pageSetup paperSize="9" scale="76"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8"/>
  <dimension ref="B2:L52"/>
  <sheetViews>
    <sheetView workbookViewId="0">
      <selection activeCell="C26" sqref="C26"/>
    </sheetView>
  </sheetViews>
  <sheetFormatPr defaultColWidth="9" defaultRowHeight="25.5" customHeight="1"/>
  <cols>
    <col min="1" max="1" width="7.44166666666667" customWidth="1"/>
    <col min="2" max="2" width="5.21666666666667" style="1" customWidth="1"/>
    <col min="3" max="3" width="14.6666666666667" customWidth="1"/>
    <col min="4" max="4" width="4.21666666666667" customWidth="1"/>
    <col min="5" max="6" width="7.88333333333333" customWidth="1"/>
    <col min="7" max="7" width="9.88333333333333" style="59" customWidth="1"/>
    <col min="8" max="8" width="12.4416666666667" customWidth="1"/>
    <col min="9" max="10" width="5.21666666666667" customWidth="1"/>
    <col min="11" max="11" width="5.88333333333333" customWidth="1"/>
    <col min="12" max="12" width="9.10833333333333" customWidth="1"/>
    <col min="13" max="13" width="2.44166666666667" customWidth="1"/>
  </cols>
  <sheetData>
    <row r="2" customHeight="1" spans="2:12">
      <c r="G2" s="175"/>
      <c r="H2" s="175"/>
    </row>
    <row r="3" ht="22.5" customHeight="1" spans="2:12">
      <c r="H3" s="175" t="s">
        <v>682</v>
      </c>
      <c r="I3" s="68"/>
      <c r="J3" s="68"/>
    </row>
    <row r="4" s="157" customFormat="1" ht="30" customHeight="1" spans="2:12">
      <c r="B4" s="161"/>
      <c r="C4" s="162" t="str">
        <f>'IMO Gen Inb'!C4</f>
        <v>环球01 GLOBAO 01</v>
      </c>
      <c r="D4" s="162"/>
      <c r="E4" s="162"/>
      <c r="G4" s="163"/>
      <c r="H4" s="164" t="str">
        <f>'IMO Gen Inb'!J4</f>
        <v>IMO:1234567</v>
      </c>
      <c r="L4" s="164" t="str">
        <f>'IMO Gen Inb'!C5</f>
        <v>5LKM2</v>
      </c>
    </row>
    <row r="5" s="157" customFormat="1" ht="30" customHeight="1" spans="2:12">
      <c r="B5" s="161"/>
      <c r="C5" s="162" t="str">
        <f>'IMO Gen Inb'!J5</f>
        <v>南沙新港NANSHA NEW PORT</v>
      </c>
      <c r="D5" s="162"/>
      <c r="E5" s="162"/>
      <c r="F5" s="162"/>
      <c r="G5" s="163"/>
      <c r="I5" s="165">
        <f>'IMO Gen Inb'!C6</f>
        <v>46219</v>
      </c>
      <c r="J5" s="165"/>
      <c r="K5" s="165"/>
      <c r="L5" s="165"/>
    </row>
    <row r="6" s="157" customFormat="1" ht="30" customHeight="1" spans="2:12">
      <c r="B6" s="161"/>
      <c r="C6" s="162" t="str">
        <f>'IMO Gen Inb'!J6</f>
        <v>利比里亚LIBERIA</v>
      </c>
      <c r="D6" s="162"/>
      <c r="E6" s="162"/>
      <c r="F6" s="162"/>
      <c r="G6" s="163"/>
      <c r="I6" s="162" t="str">
        <f>'IMO Gen Inb'!J7</f>
        <v>俄罗斯东方港VOSTOCHNIY</v>
      </c>
      <c r="J6" s="162"/>
      <c r="K6" s="162"/>
      <c r="L6" s="162"/>
    </row>
    <row r="7" ht="42.75" customHeight="1"/>
    <row r="8" s="158" customFormat="1" customHeight="1" spans="2:12">
      <c r="B8" s="166">
        <f>IF(C8&lt;&gt;"",COUNTA(C$8:C8),"")</f>
        <v>1</v>
      </c>
      <c r="C8" s="167" t="str">
        <f>IF('Crew Inb'!C11&lt;&gt;"",'Crew Inb'!C11&amp;" "&amp;'Crew Inb'!D11,"")</f>
        <v>涂潜 </v>
      </c>
      <c r="D8" s="166" t="str">
        <f>IF('Crew Inb'!E11&lt;&gt;"",'Crew Inb'!E11,"")</f>
        <v>M</v>
      </c>
      <c r="E8" s="168" t="str">
        <f>IF('Crew Inb'!F11&lt;&gt;"",'Crew Inb'!F11,"")</f>
        <v>Master</v>
      </c>
      <c r="F8" s="169" t="str">
        <f>IF('Crew Inb'!G11&lt;&gt;"",'Crew Inb'!G11,"")</f>
        <v>Montenegro</v>
      </c>
      <c r="G8" s="170">
        <f>IF('Crew Inb'!H11&lt;&gt;"",'Crew Inb'!H11,"")</f>
        <v>29228</v>
      </c>
      <c r="H8" s="171" t="str">
        <f>IF('Crew Inb'!I11&lt;&gt;"",'Crew Inb'!I11,"")</f>
        <v>Montenegro</v>
      </c>
      <c r="I8" s="171"/>
      <c r="J8" s="172" t="s">
        <v>685</v>
      </c>
      <c r="K8" s="1219" t="str">
        <f>IF('Crew Inb'!K11&lt;&gt;"",'Crew Inb'!K11,"")</f>
        <v>TEST0001</v>
      </c>
      <c r="L8" s="166"/>
    </row>
    <row r="9" s="158" customFormat="1" customHeight="1" spans="2:12">
      <c r="B9" s="166">
        <f>IF(C9&lt;&gt;"",COUNTA(C$8:C9),"")</f>
        <v>2</v>
      </c>
      <c r="C9" s="167" t="str">
        <f>IF('Crew Inb'!C12&lt;&gt;"",'Crew Inb'!C12&amp;" "&amp;'Crew Inb'!D12,"")</f>
        <v>FERNANDEZ REYNALDO JR </v>
      </c>
      <c r="D9" s="166" t="str">
        <f>IF('Crew Inb'!E12&lt;&gt;"",'Crew Inb'!E12,"")</f>
        <v>M</v>
      </c>
      <c r="E9" s="168" t="str">
        <f>IF('Crew Inb'!F12&lt;&gt;"",'Crew Inb'!F12,"")</f>
        <v>Chief Officer</v>
      </c>
      <c r="F9" s="169" t="str">
        <f>IF('Crew Inb'!G12&lt;&gt;"",'Crew Inb'!G12,"")</f>
        <v>Ukraine</v>
      </c>
      <c r="G9" s="170">
        <f>IF('Crew Inb'!H12&lt;&gt;"",'Crew Inb'!H12,"")</f>
        <v>24515</v>
      </c>
      <c r="H9" s="171" t="str">
        <f>IF('Crew Inb'!I12&lt;&gt;"",'Crew Inb'!I12,"")</f>
        <v>Ukraine</v>
      </c>
      <c r="I9" s="171"/>
      <c r="J9" s="172" t="s">
        <v>685</v>
      </c>
      <c r="K9" s="166" t="str">
        <f>IF('Crew Inb'!K12&lt;&gt;"",'Crew Inb'!K12,"")</f>
        <v>TEST0002</v>
      </c>
      <c r="L9" s="166"/>
    </row>
    <row r="10" s="158" customFormat="1" customHeight="1" spans="2:12">
      <c r="B10" s="166">
        <f>IF(C10&lt;&gt;"",COUNTA(C$8:C10),"")</f>
        <v>3</v>
      </c>
      <c r="C10" s="167" t="str">
        <f>IF('Crew Inb'!C13&lt;&gt;"",'Crew Inb'!C13&amp;" "&amp;'Crew Inb'!D13,"")</f>
        <v>FERNANDEZ REYNALDO JR </v>
      </c>
      <c r="D10" s="166" t="str">
        <f>IF('Crew Inb'!E13&lt;&gt;"",'Crew Inb'!E13,"")</f>
        <v>M</v>
      </c>
      <c r="E10" s="168" t="str">
        <f>IF('Crew Inb'!F13&lt;&gt;"",'Crew Inb'!F13,"")</f>
        <v>Second Officer</v>
      </c>
      <c r="F10" s="169" t="str">
        <f>IF('Crew Inb'!G13&lt;&gt;"",'Crew Inb'!G13,"")</f>
        <v>Filipino</v>
      </c>
      <c r="G10" s="170">
        <f>IF('Crew Inb'!H13&lt;&gt;"",'Crew Inb'!H13,"")</f>
        <v>29167</v>
      </c>
      <c r="H10" s="171" t="str">
        <f>IF('Crew Inb'!I13&lt;&gt;"",'Crew Inb'!I13,"")</f>
        <v>Filipino</v>
      </c>
      <c r="I10" s="171"/>
      <c r="J10" s="172" t="s">
        <v>685</v>
      </c>
      <c r="K10" s="166" t="str">
        <f>IF('Crew Inb'!K13&lt;&gt;"",'Crew Inb'!K13,"")</f>
        <v>TEST0003</v>
      </c>
      <c r="L10" s="166"/>
    </row>
    <row r="11" s="158" customFormat="1" customHeight="1" spans="2:12">
      <c r="B11" s="166">
        <f>IF(C11&lt;&gt;"",COUNTA(C$8:C11),"")</f>
        <v>4</v>
      </c>
      <c r="C11" s="167" t="str">
        <f>IF('Crew Inb'!C14&lt;&gt;"",'Crew Inb'!C14&amp;" "&amp;'Crew Inb'!D14,"")</f>
        <v>赵六 </v>
      </c>
      <c r="D11" s="166" t="str">
        <f>IF('Crew Inb'!E14&lt;&gt;"",'Crew Inb'!E14,"")</f>
        <v>M</v>
      </c>
      <c r="E11" s="168" t="str">
        <f>IF('Crew Inb'!F14&lt;&gt;"",'Crew Inb'!F14,"")</f>
        <v>Third Officer</v>
      </c>
      <c r="F11" s="169" t="str">
        <f>IF('Crew Inb'!G14&lt;&gt;"",'Crew Inb'!G14,"")</f>
        <v>Filipino</v>
      </c>
      <c r="G11" s="170">
        <f>IF('Crew Inb'!H14&lt;&gt;"",'Crew Inb'!H14,"")</f>
        <v>34095</v>
      </c>
      <c r="H11" s="171" t="str">
        <f>IF('Crew Inb'!I14&lt;&gt;"",'Crew Inb'!I14,"")</f>
        <v>Filipino</v>
      </c>
      <c r="I11" s="171"/>
      <c r="J11" s="172" t="s">
        <v>685</v>
      </c>
      <c r="K11" s="166" t="str">
        <f>IF('Crew Inb'!K14&lt;&gt;"",'Crew Inb'!K14,"")</f>
        <v>TEST0004</v>
      </c>
      <c r="L11" s="166"/>
    </row>
    <row r="12" s="158" customFormat="1" customHeight="1" spans="2:12">
      <c r="B12" s="166">
        <f>IF(C12&lt;&gt;"",COUNTA(C$8:C12),"")</f>
        <v>5</v>
      </c>
      <c r="C12" s="167" t="str">
        <f>IF('Crew Inb'!C15&lt;&gt;"",'Crew Inb'!C15&amp;" "&amp;'Crew Inb'!D15,"")</f>
        <v>钱七 </v>
      </c>
      <c r="D12" s="166" t="str">
        <f>IF('Crew Inb'!E15&lt;&gt;"",'Crew Inb'!E15,"")</f>
        <v>M</v>
      </c>
      <c r="E12" s="168" t="str">
        <f>IF('Crew Inb'!F15&lt;&gt;"",'Crew Inb'!F15,"")</f>
        <v>Chief Engineer</v>
      </c>
      <c r="F12" s="169" t="str">
        <f>IF('Crew Inb'!G15&lt;&gt;"",'Crew Inb'!G15,"")</f>
        <v>Ukraine</v>
      </c>
      <c r="G12" s="170">
        <f>IF('Crew Inb'!H15&lt;&gt;"",'Crew Inb'!H15,"")</f>
        <v>27961</v>
      </c>
      <c r="H12" s="171" t="str">
        <f>IF('Crew Inb'!I15&lt;&gt;"",'Crew Inb'!I15,"")</f>
        <v>Ukraine</v>
      </c>
      <c r="I12" s="171"/>
      <c r="J12" s="172" t="s">
        <v>685</v>
      </c>
      <c r="K12" s="166" t="str">
        <f>IF('Crew Inb'!K15&lt;&gt;"",'Crew Inb'!K15,"")</f>
        <v>TEST0005</v>
      </c>
      <c r="L12" s="166"/>
    </row>
    <row r="13" s="158" customFormat="1" customHeight="1" spans="2:12">
      <c r="B13" s="166">
        <f>IF(C13&lt;&gt;"",COUNTA(C$8:C13),"")</f>
        <v>6</v>
      </c>
      <c r="C13" s="167" t="str">
        <f>IF('Crew Inb'!C16&lt;&gt;"",'Crew Inb'!C16&amp;" "&amp;'Crew Inb'!D16,"")</f>
        <v>孙八 </v>
      </c>
      <c r="D13" s="166" t="str">
        <f>IF('Crew Inb'!E16&lt;&gt;"",'Crew Inb'!E16,"")</f>
        <v>M</v>
      </c>
      <c r="E13" s="168" t="str">
        <f>IF('Crew Inb'!F16&lt;&gt;"",'Crew Inb'!F16,"")</f>
        <v>Second Engineer</v>
      </c>
      <c r="F13" s="169" t="str">
        <f>IF('Crew Inb'!G16&lt;&gt;"",'Crew Inb'!G16,"")</f>
        <v>Ukraine</v>
      </c>
      <c r="G13" s="170">
        <f>IF('Crew Inb'!H16&lt;&gt;"",'Crew Inb'!H16,"")</f>
        <v>24595</v>
      </c>
      <c r="H13" s="171" t="str">
        <f>IF('Crew Inb'!I16&lt;&gt;"",'Crew Inb'!I16,"")</f>
        <v>Ukraine</v>
      </c>
      <c r="I13" s="171"/>
      <c r="J13" s="172" t="s">
        <v>685</v>
      </c>
      <c r="K13" s="166" t="str">
        <f>IF('Crew Inb'!K16&lt;&gt;"",'Crew Inb'!K16,"")</f>
        <v>TEST0006</v>
      </c>
      <c r="L13" s="166"/>
    </row>
    <row r="14" s="158" customFormat="1" customHeight="1" spans="2:12">
      <c r="B14" s="166">
        <f>IF(C14&lt;&gt;"",COUNTA(C$8:C14),"")</f>
        <v>7</v>
      </c>
      <c r="C14" s="167" t="str">
        <f>IF('Crew Inb'!C17&lt;&gt;"",'Crew Inb'!C17&amp;" "&amp;'Crew Inb'!D17,"")</f>
        <v>周九 </v>
      </c>
      <c r="D14" s="166" t="str">
        <f>IF('Crew Inb'!E17&lt;&gt;"",'Crew Inb'!E17,"")</f>
        <v>M</v>
      </c>
      <c r="E14" s="168" t="str">
        <f>IF('Crew Inb'!F17&lt;&gt;"",'Crew Inb'!F17,"")</f>
        <v>Junior Engineer</v>
      </c>
      <c r="F14" s="169" t="str">
        <f>IF('Crew Inb'!G17&lt;&gt;"",'Crew Inb'!G17,"")</f>
        <v>Filipino</v>
      </c>
      <c r="G14" s="170">
        <f>IF('Crew Inb'!H17&lt;&gt;"",'Crew Inb'!H17,"")</f>
        <v>34157</v>
      </c>
      <c r="H14" s="171" t="str">
        <f>IF('Crew Inb'!I17&lt;&gt;"",'Crew Inb'!I17,"")</f>
        <v>Filipino</v>
      </c>
      <c r="I14" s="171"/>
      <c r="J14" s="172" t="s">
        <v>685</v>
      </c>
      <c r="K14" s="166" t="str">
        <f>IF('Crew Inb'!K17&lt;&gt;"",'Crew Inb'!K17,"")</f>
        <v>TEST0007</v>
      </c>
      <c r="L14" s="166"/>
    </row>
    <row r="15" s="158" customFormat="1" customHeight="1" spans="2:12">
      <c r="B15" s="166">
        <f>IF(C15&lt;&gt;"",COUNTA(C$8:C15),"")</f>
        <v>8</v>
      </c>
      <c r="C15" s="167" t="str">
        <f>IF('Crew Inb'!C18&lt;&gt;"",'Crew Inb'!C18&amp;" "&amp;'Crew Inb'!D18,"")</f>
        <v>吴十 </v>
      </c>
      <c r="D15" s="166" t="str">
        <f>IF('Crew Inb'!E18&lt;&gt;"",'Crew Inb'!E18,"")</f>
        <v>M</v>
      </c>
      <c r="E15" s="168" t="str">
        <f>IF('Crew Inb'!F18&lt;&gt;"",'Crew Inb'!F18,"")</f>
        <v> Junior Electrician</v>
      </c>
      <c r="F15" s="169" t="str">
        <f>IF('Crew Inb'!G18&lt;&gt;"",'Crew Inb'!G18,"")</f>
        <v>Filipino</v>
      </c>
      <c r="G15" s="170">
        <f>IF('Crew Inb'!H18&lt;&gt;"",'Crew Inb'!H18,"")</f>
        <v>32956</v>
      </c>
      <c r="H15" s="171" t="str">
        <f>IF('Crew Inb'!I18&lt;&gt;"",'Crew Inb'!I18,"")</f>
        <v>Filipino</v>
      </c>
      <c r="I15" s="171"/>
      <c r="J15" s="172" t="s">
        <v>685</v>
      </c>
      <c r="K15" s="166" t="str">
        <f>IF('Crew Inb'!K18&lt;&gt;"",'Crew Inb'!K18,"")</f>
        <v>TEST0008</v>
      </c>
      <c r="L15" s="166"/>
    </row>
    <row r="16" s="158" customFormat="1" customHeight="1" spans="2:12">
      <c r="B16" s="166">
        <f>IF(C16&lt;&gt;"",COUNTA(C$8:C16),"")</f>
        <v>9</v>
      </c>
      <c r="C16" s="167" t="str">
        <f>IF('Crew Inb'!C19&lt;&gt;"",'Crew Inb'!C19&amp;" "&amp;'Crew Inb'!D19,"")</f>
        <v>郑一 </v>
      </c>
      <c r="D16" s="166" t="str">
        <f>IF('Crew Inb'!E19&lt;&gt;"",'Crew Inb'!E19,"")</f>
        <v>M</v>
      </c>
      <c r="E16" s="168" t="str">
        <f>IF('Crew Inb'!F19&lt;&gt;"",'Crew Inb'!F19,"")</f>
        <v>Bosun</v>
      </c>
      <c r="F16" s="169" t="str">
        <f>IF('Crew Inb'!G19&lt;&gt;"",'Crew Inb'!G19,"")</f>
        <v>Filipino</v>
      </c>
      <c r="G16" s="170">
        <f>IF('Crew Inb'!H19&lt;&gt;"",'Crew Inb'!H19,"")</f>
        <v>25430</v>
      </c>
      <c r="H16" s="171" t="str">
        <f>IF('Crew Inb'!I19&lt;&gt;"",'Crew Inb'!I19,"")</f>
        <v>Filipino</v>
      </c>
      <c r="I16" s="171"/>
      <c r="J16" s="172" t="s">
        <v>685</v>
      </c>
      <c r="K16" s="166" t="str">
        <f>IF('Crew Inb'!K19&lt;&gt;"",'Crew Inb'!K19,"")</f>
        <v>TEST0009</v>
      </c>
      <c r="L16" s="166"/>
    </row>
    <row r="17" s="158" customFormat="1" customHeight="1" spans="2:12">
      <c r="B17" s="166">
        <f>IF(C17&lt;&gt;"",COUNTA(C$8:C17),"")</f>
        <v>10</v>
      </c>
      <c r="C17" s="167" t="str">
        <f>IF('Crew Inb'!C20&lt;&gt;"",'Crew Inb'!C20&amp;" "&amp;'Crew Inb'!D20,"")</f>
        <v>王一 </v>
      </c>
      <c r="D17" s="166" t="str">
        <f>IF('Crew Inb'!E20&lt;&gt;"",'Crew Inb'!E20,"")</f>
        <v>M</v>
      </c>
      <c r="E17" s="168" t="str">
        <f>IF('Crew Inb'!F20&lt;&gt;"",'Crew Inb'!F20,"")</f>
        <v>Able Seaman</v>
      </c>
      <c r="F17" s="169" t="str">
        <f>IF('Crew Inb'!G20&lt;&gt;"",'Crew Inb'!G20,"")</f>
        <v>Filipino</v>
      </c>
      <c r="G17" s="170">
        <f>IF('Crew Inb'!H20&lt;&gt;"",'Crew Inb'!H20,"")</f>
        <v>29746</v>
      </c>
      <c r="H17" s="171" t="str">
        <f>IF('Crew Inb'!I20&lt;&gt;"",'Crew Inb'!I20,"")</f>
        <v>Filipino</v>
      </c>
      <c r="I17" s="171"/>
      <c r="J17" s="172" t="s">
        <v>685</v>
      </c>
      <c r="K17" s="166" t="str">
        <f>IF('Crew Inb'!K20&lt;&gt;"",'Crew Inb'!K20,"")</f>
        <v>TEST0010</v>
      </c>
      <c r="L17" s="166"/>
    </row>
    <row r="18" s="158" customFormat="1" customHeight="1" spans="2:12">
      <c r="B18" s="166">
        <f>IF(C18&lt;&gt;"",COUNTA(C$8:C18),"")</f>
        <v>11</v>
      </c>
      <c r="C18" s="167" t="str">
        <f>IF('Crew Inb'!C21&lt;&gt;"",'Crew Inb'!C21&amp;" "&amp;'Crew Inb'!D21,"")</f>
        <v>李一 </v>
      </c>
      <c r="D18" s="166" t="str">
        <f>IF('Crew Inb'!E21&lt;&gt;"",'Crew Inb'!E21,"")</f>
        <v>M</v>
      </c>
      <c r="E18" s="168" t="str">
        <f>IF('Crew Inb'!F21&lt;&gt;"",'Crew Inb'!F21,"")</f>
        <v>Able Seaman</v>
      </c>
      <c r="F18" s="169" t="str">
        <f>IF('Crew Inb'!G21&lt;&gt;"",'Crew Inb'!G21,"")</f>
        <v>Filipino</v>
      </c>
      <c r="G18" s="170">
        <f>IF('Crew Inb'!H21&lt;&gt;"",'Crew Inb'!H21,"")</f>
        <v>28234</v>
      </c>
      <c r="H18" s="171" t="str">
        <f>IF('Crew Inb'!I21&lt;&gt;"",'Crew Inb'!I21,"")</f>
        <v>Filipino</v>
      </c>
      <c r="I18" s="171"/>
      <c r="J18" s="172" t="s">
        <v>685</v>
      </c>
      <c r="K18" s="166" t="str">
        <f>IF('Crew Inb'!K21&lt;&gt;"",'Crew Inb'!K21,"")</f>
        <v>TEST0011</v>
      </c>
      <c r="L18" s="166"/>
    </row>
    <row r="19" s="158" customFormat="1" customHeight="1" spans="2:12">
      <c r="B19" s="166">
        <f>IF(C19&lt;&gt;"",COUNTA(C$8:C19),"")</f>
        <v>12</v>
      </c>
      <c r="C19" s="167" t="str">
        <f>IF('Crew Inb'!C22&lt;&gt;"",'Crew Inb'!C22&amp;" "&amp;'Crew Inb'!D22,"")</f>
        <v>赵一 </v>
      </c>
      <c r="D19" s="166" t="str">
        <f>IF('Crew Inb'!E22&lt;&gt;"",'Crew Inb'!E22,"")</f>
        <v>M</v>
      </c>
      <c r="E19" s="168" t="str">
        <f>IF('Crew Inb'!F22&lt;&gt;"",'Crew Inb'!F22,"")</f>
        <v>Able Seaman</v>
      </c>
      <c r="F19" s="169" t="str">
        <f>IF('Crew Inb'!G22&lt;&gt;"",'Crew Inb'!G22,"")</f>
        <v>Filipino</v>
      </c>
      <c r="G19" s="170">
        <f>IF('Crew Inb'!H22&lt;&gt;"",'Crew Inb'!H22,"")</f>
        <v>30471</v>
      </c>
      <c r="H19" s="171" t="str">
        <f>IF('Crew Inb'!I22&lt;&gt;"",'Crew Inb'!I22,"")</f>
        <v>Filipino</v>
      </c>
      <c r="I19" s="171"/>
      <c r="J19" s="172" t="s">
        <v>685</v>
      </c>
      <c r="K19" s="166" t="str">
        <f>IF('Crew Inb'!K22&lt;&gt;"",'Crew Inb'!K22,"")</f>
        <v>TEST0012</v>
      </c>
      <c r="L19" s="166"/>
    </row>
    <row r="20" s="158" customFormat="1" customHeight="1" spans="2:12">
      <c r="B20" s="166">
        <f>IF(C20&lt;&gt;"",COUNTA(C$8:C20),"")</f>
        <v>13</v>
      </c>
      <c r="C20" s="167" t="str">
        <f>IF('Crew Inb'!C23&lt;&gt;"",'Crew Inb'!C23&amp;" "&amp;'Crew Inb'!D23,"")</f>
        <v>陈一 </v>
      </c>
      <c r="D20" s="166" t="str">
        <f>IF('Crew Inb'!E23&lt;&gt;"",'Crew Inb'!E23,"")</f>
        <v>M</v>
      </c>
      <c r="E20" s="168" t="str">
        <f>IF('Crew Inb'!F23&lt;&gt;"",'Crew Inb'!F23,"")</f>
        <v>Ordinary Seaman</v>
      </c>
      <c r="F20" s="169" t="str">
        <f>IF('Crew Inb'!G23&lt;&gt;"",'Crew Inb'!G23,"")</f>
        <v>Filipino</v>
      </c>
      <c r="G20" s="170">
        <f>IF('Crew Inb'!H23&lt;&gt;"",'Crew Inb'!H23,"")</f>
        <v>30822</v>
      </c>
      <c r="H20" s="171" t="str">
        <f>IF('Crew Inb'!I23&lt;&gt;"",'Crew Inb'!I23,"")</f>
        <v>Filipino</v>
      </c>
      <c r="I20" s="171"/>
      <c r="J20" s="172" t="s">
        <v>685</v>
      </c>
      <c r="K20" s="166" t="str">
        <f>IF('Crew Inb'!K23&lt;&gt;"",'Crew Inb'!K23,"")</f>
        <v>TEST0013</v>
      </c>
      <c r="L20" s="166"/>
    </row>
    <row r="21" s="158" customFormat="1" customHeight="1" spans="2:12">
      <c r="B21" s="166">
        <f>IF(C21&lt;&gt;"",COUNTA(C$8:C21),"")</f>
        <v>14</v>
      </c>
      <c r="C21" s="167" t="str">
        <f>IF('Crew Inb'!C24&lt;&gt;"",'Crew Inb'!C24&amp;" "&amp;'Crew Inb'!D24,"")</f>
        <v>刘一 </v>
      </c>
      <c r="D21" s="166" t="str">
        <f>IF('Crew Inb'!E24&lt;&gt;"",'Crew Inb'!E24,"")</f>
        <v>M</v>
      </c>
      <c r="E21" s="168" t="str">
        <f>IF('Crew Inb'!F24&lt;&gt;"",'Crew Inb'!F24,"")</f>
        <v>Ordinary Seaman</v>
      </c>
      <c r="F21" s="169" t="str">
        <f>IF('Crew Inb'!G24&lt;&gt;"",'Crew Inb'!G24,"")</f>
        <v>Filipino</v>
      </c>
      <c r="G21" s="170">
        <f>IF('Crew Inb'!H24&lt;&gt;"",'Crew Inb'!H24,"")</f>
        <v>33702</v>
      </c>
      <c r="H21" s="171" t="str">
        <f>IF('Crew Inb'!I24&lt;&gt;"",'Crew Inb'!I24,"")</f>
        <v>Filipino</v>
      </c>
      <c r="I21" s="171"/>
      <c r="J21" s="172" t="s">
        <v>685</v>
      </c>
      <c r="K21" s="166" t="str">
        <f>IF('Crew Inb'!K24&lt;&gt;"",'Crew Inb'!K24,"")</f>
        <v>TEST0014</v>
      </c>
      <c r="L21" s="166"/>
    </row>
    <row r="22" s="158" customFormat="1" customHeight="1" spans="2:12">
      <c r="B22" s="166">
        <f>IF(C22&lt;&gt;"",COUNTA(C$8:C22),"")</f>
        <v>15</v>
      </c>
      <c r="C22" s="167" t="str">
        <f>IF('Crew Inb'!C25&lt;&gt;"",'Crew Inb'!C25&amp;" "&amp;'Crew Inb'!D25,"")</f>
        <v>杨一 </v>
      </c>
      <c r="D22" s="166" t="str">
        <f>IF('Crew Inb'!E25&lt;&gt;"",'Crew Inb'!E25,"")</f>
        <v>M</v>
      </c>
      <c r="E22" s="168" t="str">
        <f>IF('Crew Inb'!F25&lt;&gt;"",'Crew Inb'!F25,"")</f>
        <v>Fitter</v>
      </c>
      <c r="F22" s="169" t="str">
        <f>IF('Crew Inb'!G25&lt;&gt;"",'Crew Inb'!G25,"")</f>
        <v>Filipino</v>
      </c>
      <c r="G22" s="170">
        <f>IF('Crew Inb'!H25&lt;&gt;"",'Crew Inb'!H25,"")</f>
        <v>24553</v>
      </c>
      <c r="H22" s="171" t="str">
        <f>IF('Crew Inb'!I25&lt;&gt;"",'Crew Inb'!I25,"")</f>
        <v>Filipino</v>
      </c>
      <c r="I22" s="171"/>
      <c r="J22" s="172" t="s">
        <v>685</v>
      </c>
      <c r="K22" s="166" t="str">
        <f>IF('Crew Inb'!K25&lt;&gt;"",'Crew Inb'!K25,"")</f>
        <v>TEST0015</v>
      </c>
      <c r="L22" s="166"/>
    </row>
    <row r="23" s="158" customFormat="1" customHeight="1" spans="2:12">
      <c r="B23" s="166">
        <f>IF(C23&lt;&gt;"",COUNTA(C$8:C23),"")</f>
        <v>16</v>
      </c>
      <c r="C23" s="167" t="str">
        <f>IF('Crew Inb'!C26&lt;&gt;"",'Crew Inb'!C26&amp;" "&amp;'Crew Inb'!D26,"")</f>
        <v>黄一 </v>
      </c>
      <c r="D23" s="166" t="str">
        <f>IF('Crew Inb'!E26&lt;&gt;"",'Crew Inb'!E26,"")</f>
        <v>M</v>
      </c>
      <c r="E23" s="168" t="str">
        <f>IF('Crew Inb'!F26&lt;&gt;"",'Crew Inb'!F26,"")</f>
        <v>Oiler</v>
      </c>
      <c r="F23" s="169" t="str">
        <f>IF('Crew Inb'!G26&lt;&gt;"",'Crew Inb'!G26,"")</f>
        <v>Filipino</v>
      </c>
      <c r="G23" s="170">
        <f>IF('Crew Inb'!H26&lt;&gt;"",'Crew Inb'!H26,"")</f>
        <v>28098</v>
      </c>
      <c r="H23" s="171" t="str">
        <f>IF('Crew Inb'!I26&lt;&gt;"",'Crew Inb'!I26,"")</f>
        <v>Filipino</v>
      </c>
      <c r="I23" s="171"/>
      <c r="J23" s="172" t="s">
        <v>685</v>
      </c>
      <c r="K23" s="166" t="str">
        <f>IF('Crew Inb'!K26&lt;&gt;"",'Crew Inb'!K26,"")</f>
        <v>TEST0016</v>
      </c>
      <c r="L23" s="166"/>
    </row>
    <row r="24" s="158" customFormat="1" customHeight="1" spans="2:12">
      <c r="B24" s="166">
        <f>IF(C24&lt;&gt;"",COUNTA(C$8:C24),"")</f>
        <v>17</v>
      </c>
      <c r="C24" s="167" t="str">
        <f>IF('Crew Inb'!C27&lt;&gt;"",'Crew Inb'!C27&amp;" "&amp;'Crew Inb'!D27,"")</f>
        <v>周一 </v>
      </c>
      <c r="D24" s="166" t="str">
        <f>IF('Crew Inb'!E27&lt;&gt;"",'Crew Inb'!E27,"")</f>
        <v>M</v>
      </c>
      <c r="E24" s="168" t="str">
        <f>IF('Crew Inb'!F27&lt;&gt;"",'Crew Inb'!F27,"")</f>
        <v>Wiper</v>
      </c>
      <c r="F24" s="169" t="str">
        <f>IF('Crew Inb'!G27&lt;&gt;"",'Crew Inb'!G27,"")</f>
        <v>Filipino</v>
      </c>
      <c r="G24" s="170">
        <f>IF('Crew Inb'!H27&lt;&gt;"",'Crew Inb'!H27,"")</f>
        <v>34260</v>
      </c>
      <c r="H24" s="171" t="str">
        <f>IF('Crew Inb'!I27&lt;&gt;"",'Crew Inb'!I27,"")</f>
        <v>Filipino</v>
      </c>
      <c r="I24" s="171"/>
      <c r="J24" s="172" t="s">
        <v>685</v>
      </c>
      <c r="K24" s="166" t="str">
        <f>IF('Crew Inb'!K27&lt;&gt;"",'Crew Inb'!K27,"")</f>
        <v>TEST0017</v>
      </c>
      <c r="L24" s="166"/>
    </row>
    <row r="25" s="158" customFormat="1" customHeight="1" spans="2:12">
      <c r="B25" s="166">
        <f>IF(C25&lt;&gt;"",COUNTA(C$8:C25),"")</f>
        <v>18</v>
      </c>
      <c r="C25" s="167" t="str">
        <f>IF('Crew Inb'!C28&lt;&gt;"",'Crew Inb'!C28&amp;" "&amp;'Crew Inb'!D28,"")</f>
        <v>吴一 </v>
      </c>
      <c r="D25" s="166" t="str">
        <f>IF('Crew Inb'!E28&lt;&gt;"",'Crew Inb'!E28,"")</f>
        <v>M</v>
      </c>
      <c r="E25" s="168" t="str">
        <f>IF('Crew Inb'!F28&lt;&gt;"",'Crew Inb'!F28,"")</f>
        <v>Wiper</v>
      </c>
      <c r="F25" s="169" t="str">
        <f>IF('Crew Inb'!G28&lt;&gt;"",'Crew Inb'!G28,"")</f>
        <v>Filipino</v>
      </c>
      <c r="G25" s="170">
        <f>IF('Crew Inb'!H28&lt;&gt;"",'Crew Inb'!H28,"")</f>
        <v>34455</v>
      </c>
      <c r="H25" s="171" t="str">
        <f>IF('Crew Inb'!I28&lt;&gt;"",'Crew Inb'!I28,"")</f>
        <v>Filipino</v>
      </c>
      <c r="I25" s="171"/>
      <c r="J25" s="172" t="s">
        <v>685</v>
      </c>
      <c r="K25" s="166" t="str">
        <f>IF('Crew Inb'!K28&lt;&gt;"",'Crew Inb'!K28,"")</f>
        <v>TEST0018</v>
      </c>
      <c r="L25" s="166"/>
    </row>
    <row r="26" s="158" customFormat="1" customHeight="1" spans="2:12">
      <c r="B26" s="166">
        <f>IF(C26&lt;&gt;"",COUNTA(C$8:C26),"")</f>
        <v>19</v>
      </c>
      <c r="C26" s="167" t="str">
        <f>IF('Crew Inb'!C29&lt;&gt;"",'Crew Inb'!C29&amp;" "&amp;'Crew Inb'!D29,"")</f>
        <v>徐一 </v>
      </c>
      <c r="D26" s="166" t="str">
        <f>IF('Crew Inb'!E29&lt;&gt;"",'Crew Inb'!E29,"")</f>
        <v>M</v>
      </c>
      <c r="E26" s="168" t="str">
        <f>IF('Crew Inb'!F29&lt;&gt;"",'Crew Inb'!F29,"")</f>
        <v>Chief Cook</v>
      </c>
      <c r="F26" s="169" t="str">
        <f>IF('Crew Inb'!G29&lt;&gt;"",'Crew Inb'!G29,"")</f>
        <v>Filipino</v>
      </c>
      <c r="G26" s="170">
        <f>IF('Crew Inb'!H29&lt;&gt;"",'Crew Inb'!H29,"")</f>
        <v>24484</v>
      </c>
      <c r="H26" s="171" t="str">
        <f>IF('Crew Inb'!I29&lt;&gt;"",'Crew Inb'!I29,"")</f>
        <v>Filipino</v>
      </c>
      <c r="I26" s="171"/>
      <c r="J26" s="172" t="s">
        <v>685</v>
      </c>
      <c r="K26" s="166" t="str">
        <f>IF('Crew Inb'!K29&lt;&gt;"",'Crew Inb'!K29,"")</f>
        <v>TEST0019</v>
      </c>
      <c r="L26" s="166"/>
    </row>
    <row r="27" customHeight="1" spans="2:12">
      <c r="B27" s="166"/>
      <c r="C27" s="167"/>
      <c r="D27" s="166"/>
      <c r="E27" s="169"/>
      <c r="F27" s="169"/>
      <c r="G27" s="170"/>
      <c r="I27" s="173">
        <f>YEAR('Gen Inb'!X6)</f>
        <v>2026</v>
      </c>
      <c r="J27" s="173"/>
      <c r="K27" s="174">
        <f>MONTH('Gen Inb'!X6)</f>
        <v>7</v>
      </c>
      <c r="L27" s="174">
        <f>DAY('Gen Inb'!X6)</f>
        <v>16</v>
      </c>
    </row>
    <row r="28" customHeight="1" spans="2:12">
      <c r="B28" s="166" t="str">
        <f>IF(C28&lt;&gt;"",COUNTA(C$8:C28),"")</f>
        <v/>
      </c>
      <c r="C28" s="167" t="str">
        <f>IF('Crew Inb'!C31&lt;&gt;"",'Crew Inb'!C31&amp;" "&amp;'Crew Inb'!D31,"")</f>
        <v/>
      </c>
      <c r="D28" s="166" t="str">
        <f>IF('Crew Inb'!E31&lt;&gt;"",'Crew Inb'!E31,"")</f>
        <v/>
      </c>
      <c r="E28" s="169" t="str">
        <f>IF('Crew Inb'!F31&lt;&gt;"",'Crew Inb'!F31,"")</f>
        <v/>
      </c>
      <c r="F28" s="169" t="str">
        <f>IF('Crew Inb'!G31&lt;&gt;"",'Crew Inb'!G31,"")</f>
        <v/>
      </c>
      <c r="G28" s="170" t="str">
        <f>IF('Crew Inb'!H31&lt;&gt;"",'Crew Inb'!H31,"")</f>
        <v/>
      </c>
    </row>
    <row r="30" ht="22.5" customHeight="1" spans="2:12">
      <c r="H30" s="176" t="s">
        <v>682</v>
      </c>
      <c r="I30" s="68"/>
      <c r="J30" s="68"/>
    </row>
    <row r="31" s="157" customFormat="1" ht="30" customHeight="1" spans="2:12">
      <c r="B31" s="161"/>
      <c r="C31" s="162" t="str">
        <f>'IMO Gen Inb'!C4</f>
        <v>环球01 GLOBAO 01</v>
      </c>
      <c r="D31" s="162"/>
      <c r="E31" s="162"/>
      <c r="F31" s="163"/>
      <c r="G31" s="163"/>
      <c r="H31" s="164" t="str">
        <f>'IMO Gen Inb'!J4</f>
        <v>IMO:1234567</v>
      </c>
      <c r="I31" s="163"/>
      <c r="J31" s="163"/>
      <c r="K31" s="163"/>
      <c r="L31" s="164" t="str">
        <f>'IMO Gen Inb'!C5</f>
        <v>5LKM2</v>
      </c>
    </row>
    <row r="32" s="157" customFormat="1" ht="30" customHeight="1" spans="2:12">
      <c r="B32" s="161"/>
      <c r="C32" s="162" t="str">
        <f>'IMO Gen Inb'!J5</f>
        <v>南沙新港NANSHA NEW PORT</v>
      </c>
      <c r="D32" s="162"/>
      <c r="E32" s="162"/>
      <c r="F32" s="162"/>
      <c r="G32" s="163"/>
      <c r="H32" s="163"/>
      <c r="I32" s="165">
        <f>'IMO Gen Inb'!C6</f>
        <v>46219</v>
      </c>
      <c r="J32" s="165"/>
      <c r="K32" s="165"/>
      <c r="L32" s="165"/>
    </row>
    <row r="33" s="157" customFormat="1" ht="30" customHeight="1" spans="2:12">
      <c r="B33" s="161"/>
      <c r="C33" s="162" t="str">
        <f>'IMO Gen Inb'!J6</f>
        <v>利比里亚LIBERIA</v>
      </c>
      <c r="D33" s="162"/>
      <c r="E33" s="162"/>
      <c r="F33" s="162"/>
      <c r="G33" s="163"/>
      <c r="H33" s="163"/>
      <c r="I33" s="162" t="str">
        <f>'IMO Gen Inb'!J7</f>
        <v>俄罗斯东方港VOSTOCHNIY</v>
      </c>
      <c r="J33" s="162"/>
      <c r="K33" s="162"/>
      <c r="L33" s="162"/>
    </row>
    <row r="34" ht="42.75" customHeight="1"/>
    <row r="35" s="158" customFormat="1" customHeight="1" spans="2:12">
      <c r="B35" s="166">
        <v>20</v>
      </c>
      <c r="C35" s="167" t="str">
        <f>IF('Crew Inb'!C30&lt;&gt;"",'Crew Inb'!C30&amp;" "&amp;'Crew Inb'!D30,"")</f>
        <v>孙一 </v>
      </c>
      <c r="D35" s="166" t="s">
        <v>232</v>
      </c>
      <c r="E35" s="168" t="str">
        <f>IF('Crew Inb'!F30&lt;&gt;"",'Crew Inb'!F30,"")</f>
        <v>Messboy</v>
      </c>
      <c r="F35" s="169" t="str">
        <f>IF('Crew Inb'!G30&lt;&gt;"",'Crew Inb'!G30,"")</f>
        <v>Filipino</v>
      </c>
      <c r="G35" s="170">
        <f>IF('Crew Inb'!H30&lt;&gt;"",'Crew Inb'!H30,"")</f>
        <v>31563</v>
      </c>
      <c r="H35" s="171" t="str">
        <f>IF('Crew Inb'!I30&lt;&gt;"",'Crew Inb'!I30,"")</f>
        <v>Filipino</v>
      </c>
      <c r="I35" s="171"/>
      <c r="J35" s="172" t="s">
        <v>685</v>
      </c>
      <c r="K35" s="166" t="str">
        <f>IF('Crew Inb'!K30&lt;&gt;"",'Crew Inb'!K30,"")</f>
        <v>TEST0020</v>
      </c>
      <c r="L35" s="166"/>
    </row>
    <row r="36" s="158" customFormat="1" customHeight="1" spans="2:12">
      <c r="B36" s="166"/>
      <c r="C36" s="167"/>
      <c r="D36" s="166"/>
      <c r="E36" s="169"/>
      <c r="F36" s="169"/>
      <c r="G36" s="170"/>
      <c r="H36" s="171"/>
      <c r="I36" s="171"/>
      <c r="J36" s="172"/>
      <c r="K36" s="166"/>
      <c r="L36" s="166"/>
    </row>
    <row r="37" s="158" customFormat="1" customHeight="1" spans="2:12">
      <c r="B37" s="166"/>
      <c r="C37" s="167"/>
      <c r="D37" s="166"/>
      <c r="E37" s="169"/>
      <c r="F37" s="169"/>
      <c r="G37" s="170"/>
      <c r="H37" s="171"/>
      <c r="I37" s="171"/>
      <c r="J37" s="172"/>
      <c r="K37" s="166"/>
      <c r="L37" s="166"/>
    </row>
    <row r="38" s="158" customFormat="1" customHeight="1" spans="2:12">
      <c r="B38" s="166"/>
      <c r="C38" s="167"/>
      <c r="D38" s="166"/>
      <c r="E38" s="169"/>
      <c r="F38" s="169"/>
      <c r="G38" s="170"/>
      <c r="H38" s="171"/>
      <c r="I38" s="171"/>
      <c r="J38" s="171"/>
      <c r="K38" s="166"/>
      <c r="L38" s="166"/>
    </row>
    <row r="39" s="158" customFormat="1" customHeight="1" spans="2:12">
      <c r="B39" s="166"/>
      <c r="C39" s="167"/>
      <c r="D39" s="166"/>
      <c r="E39" s="169"/>
      <c r="F39" s="169"/>
      <c r="G39" s="170"/>
      <c r="H39" s="171"/>
      <c r="I39" s="171"/>
      <c r="J39" s="171"/>
      <c r="K39" s="166"/>
      <c r="L39" s="166"/>
    </row>
    <row r="40" s="158" customFormat="1" customHeight="1" spans="2:12">
      <c r="B40" s="166"/>
      <c r="C40" s="167"/>
      <c r="D40" s="166"/>
      <c r="E40" s="169"/>
      <c r="F40" s="169"/>
      <c r="G40" s="170"/>
      <c r="H40" s="171"/>
      <c r="I40" s="171"/>
      <c r="J40" s="171"/>
      <c r="K40" s="166"/>
      <c r="L40" s="166"/>
    </row>
    <row r="41" s="158" customFormat="1" customHeight="1" spans="2:12">
      <c r="B41" s="166"/>
      <c r="C41" s="167"/>
      <c r="D41" s="166"/>
      <c r="E41" s="169"/>
      <c r="F41" s="169"/>
      <c r="G41" s="170"/>
      <c r="H41" s="171"/>
      <c r="I41" s="171"/>
      <c r="J41" s="171"/>
      <c r="K41" s="166"/>
      <c r="L41" s="166"/>
    </row>
    <row r="42" s="158" customFormat="1" customHeight="1" spans="2:12">
      <c r="B42" s="166"/>
      <c r="C42" s="167"/>
      <c r="D42" s="166"/>
      <c r="E42" s="169"/>
      <c r="F42" s="169"/>
      <c r="G42" s="170"/>
      <c r="H42" s="171"/>
      <c r="I42" s="171"/>
      <c r="J42" s="171"/>
      <c r="K42" s="166"/>
      <c r="L42" s="166"/>
    </row>
    <row r="43" s="158" customFormat="1" customHeight="1" spans="2:12">
      <c r="B43" s="166"/>
      <c r="C43" s="167"/>
      <c r="D43" s="166"/>
      <c r="E43" s="169"/>
      <c r="F43" s="169"/>
      <c r="G43" s="170"/>
      <c r="H43" s="171"/>
      <c r="I43" s="171"/>
      <c r="J43" s="171"/>
      <c r="K43" s="166"/>
      <c r="L43" s="166"/>
    </row>
    <row r="44" s="158" customFormat="1" customHeight="1" spans="2:12">
      <c r="B44" s="166"/>
      <c r="C44" s="167"/>
      <c r="D44" s="166"/>
      <c r="E44" s="169"/>
      <c r="F44" s="169"/>
      <c r="G44" s="170"/>
      <c r="H44" s="171"/>
      <c r="I44" s="171"/>
      <c r="J44" s="171"/>
      <c r="K44" s="166"/>
      <c r="L44" s="166"/>
    </row>
    <row r="45" s="158" customFormat="1" customHeight="1" spans="2:12">
      <c r="B45" s="166"/>
      <c r="C45" s="167"/>
      <c r="D45" s="166"/>
      <c r="E45" s="169"/>
      <c r="F45" s="169"/>
      <c r="G45" s="170"/>
      <c r="H45" s="171"/>
      <c r="I45" s="171"/>
      <c r="J45" s="171"/>
      <c r="K45" s="166"/>
      <c r="L45" s="166"/>
    </row>
    <row r="46" s="158" customFormat="1" customHeight="1" spans="2:12">
      <c r="B46" s="166"/>
      <c r="C46" s="167"/>
      <c r="D46" s="166"/>
      <c r="E46" s="169"/>
      <c r="F46" s="169"/>
      <c r="G46" s="170"/>
      <c r="H46" s="171"/>
      <c r="I46" s="171"/>
      <c r="J46" s="171"/>
      <c r="K46" s="166"/>
      <c r="L46" s="166"/>
    </row>
    <row r="47" s="158" customFormat="1" customHeight="1" spans="2:12">
      <c r="B47" s="166"/>
      <c r="C47" s="167"/>
      <c r="D47" s="166"/>
      <c r="E47" s="169"/>
      <c r="F47" s="169"/>
      <c r="G47" s="170"/>
      <c r="H47" s="171"/>
      <c r="I47" s="171"/>
      <c r="J47" s="171"/>
      <c r="K47" s="166"/>
      <c r="L47" s="166"/>
    </row>
    <row r="48" s="158" customFormat="1" customHeight="1" spans="2:12">
      <c r="B48" s="166"/>
      <c r="C48" s="167"/>
      <c r="D48" s="166"/>
      <c r="E48" s="169"/>
      <c r="F48" s="169"/>
      <c r="G48" s="170"/>
      <c r="H48" s="171"/>
      <c r="I48" s="171"/>
      <c r="J48" s="171"/>
      <c r="K48" s="166"/>
      <c r="L48" s="166"/>
    </row>
    <row r="49" s="158" customFormat="1" customHeight="1" spans="2:12">
      <c r="B49" s="166"/>
      <c r="C49" s="167"/>
      <c r="D49" s="166"/>
      <c r="E49" s="169"/>
      <c r="F49" s="169"/>
      <c r="G49" s="170"/>
      <c r="H49" s="171"/>
      <c r="I49" s="171"/>
      <c r="J49" s="171"/>
      <c r="K49" s="166"/>
      <c r="L49" s="166"/>
    </row>
    <row r="50" s="158" customFormat="1" customHeight="1" spans="2:12">
      <c r="B50" s="166"/>
      <c r="C50" s="167"/>
      <c r="D50" s="166"/>
      <c r="E50" s="169"/>
      <c r="F50" s="169"/>
      <c r="G50" s="170"/>
      <c r="H50" s="171"/>
      <c r="I50" s="171"/>
      <c r="J50" s="171"/>
      <c r="K50" s="166"/>
      <c r="L50" s="166"/>
    </row>
    <row r="51" s="158" customFormat="1" customHeight="1" spans="2:12">
      <c r="B51" s="166"/>
      <c r="C51" s="167"/>
      <c r="D51" s="166"/>
      <c r="E51" s="169"/>
      <c r="F51" s="169"/>
      <c r="G51" s="170"/>
      <c r="H51" s="171"/>
      <c r="I51" s="171"/>
      <c r="J51" s="171"/>
      <c r="K51" s="166"/>
      <c r="L51" s="166"/>
    </row>
    <row r="52" customHeight="1" spans="2:12">
      <c r="I52" s="173">
        <f>YEAR('Gen Inb'!X6)</f>
        <v>2026</v>
      </c>
      <c r="J52" s="173"/>
      <c r="K52" s="174">
        <f>MONTH('Gen Inb'!X6)</f>
        <v>7</v>
      </c>
      <c r="L52" s="174">
        <f>DAY('Gen Inb'!X6)</f>
        <v>16</v>
      </c>
    </row>
  </sheetData>
  <mergeCells count="82">
    <mergeCell ref="C4:E4"/>
    <mergeCell ref="C5:F5"/>
    <mergeCell ref="I5:L5"/>
    <mergeCell ref="C6:F6"/>
    <mergeCell ref="I6:L6"/>
    <mergeCell ref="H8:I8"/>
    <mergeCell ref="K8:L8"/>
    <mergeCell ref="H9:I9"/>
    <mergeCell ref="K9:L9"/>
    <mergeCell ref="H10:I10"/>
    <mergeCell ref="K10:L10"/>
    <mergeCell ref="H11:I11"/>
    <mergeCell ref="K11:L11"/>
    <mergeCell ref="H12:I12"/>
    <mergeCell ref="K12:L12"/>
    <mergeCell ref="H13:I13"/>
    <mergeCell ref="K13:L13"/>
    <mergeCell ref="H14:I14"/>
    <mergeCell ref="K14:L14"/>
    <mergeCell ref="H15:I15"/>
    <mergeCell ref="K15:L15"/>
    <mergeCell ref="H16:I16"/>
    <mergeCell ref="K16:L16"/>
    <mergeCell ref="H17:I17"/>
    <mergeCell ref="K17:L17"/>
    <mergeCell ref="H18:I18"/>
    <mergeCell ref="K18:L18"/>
    <mergeCell ref="H19:I19"/>
    <mergeCell ref="K19:L19"/>
    <mergeCell ref="H20:I20"/>
    <mergeCell ref="K20:L20"/>
    <mergeCell ref="H21:I21"/>
    <mergeCell ref="K21:L21"/>
    <mergeCell ref="H22:I22"/>
    <mergeCell ref="K22:L22"/>
    <mergeCell ref="H23:I23"/>
    <mergeCell ref="K23:L23"/>
    <mergeCell ref="H24:I24"/>
    <mergeCell ref="K24:L24"/>
    <mergeCell ref="H25:I25"/>
    <mergeCell ref="K25:L25"/>
    <mergeCell ref="H26:I26"/>
    <mergeCell ref="K26:L26"/>
    <mergeCell ref="C31:E31"/>
    <mergeCell ref="C32:F32"/>
    <mergeCell ref="I32:L32"/>
    <mergeCell ref="C33:F33"/>
    <mergeCell ref="I33:L33"/>
    <mergeCell ref="H35:I35"/>
    <mergeCell ref="K35:L35"/>
    <mergeCell ref="H36:I36"/>
    <mergeCell ref="K36:L36"/>
    <mergeCell ref="H37:I37"/>
    <mergeCell ref="K37:L37"/>
    <mergeCell ref="H38:I38"/>
    <mergeCell ref="K38:L38"/>
    <mergeCell ref="H39:I39"/>
    <mergeCell ref="K39:L39"/>
    <mergeCell ref="H40:I40"/>
    <mergeCell ref="K40:L40"/>
    <mergeCell ref="H41:I41"/>
    <mergeCell ref="K41:L41"/>
    <mergeCell ref="H42:I42"/>
    <mergeCell ref="K42:L42"/>
    <mergeCell ref="H43:I43"/>
    <mergeCell ref="K43:L43"/>
    <mergeCell ref="H44:I44"/>
    <mergeCell ref="K44:L44"/>
    <mergeCell ref="H45:I45"/>
    <mergeCell ref="K45:L45"/>
    <mergeCell ref="H46:I46"/>
    <mergeCell ref="K46:L46"/>
    <mergeCell ref="H47:I47"/>
    <mergeCell ref="K47:L47"/>
    <mergeCell ref="H48:I48"/>
    <mergeCell ref="K48:L48"/>
    <mergeCell ref="H49:I49"/>
    <mergeCell ref="K49:L49"/>
    <mergeCell ref="H50:I50"/>
    <mergeCell ref="K50:L50"/>
    <mergeCell ref="H51:I51"/>
    <mergeCell ref="K51:L51"/>
  </mergeCells>
  <pageMargins left="0.25" right="0.25" top="0.75" bottom="0.75" header="0.3" footer="0.3"/>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9"/>
  <dimension ref="B2:L52"/>
  <sheetViews>
    <sheetView workbookViewId="0">
      <selection activeCell="C9" sqref="C9"/>
    </sheetView>
  </sheetViews>
  <sheetFormatPr defaultColWidth="9" defaultRowHeight="25.5" customHeight="1"/>
  <cols>
    <col min="1" max="1" width="7.44166666666667" customWidth="1"/>
    <col min="2" max="2" width="5.21666666666667" style="1" customWidth="1"/>
    <col min="3" max="3" width="14.6666666666667" customWidth="1"/>
    <col min="4" max="4" width="4.21666666666667" customWidth="1"/>
    <col min="5" max="6" width="7.88333333333333" customWidth="1"/>
    <col min="7" max="7" width="9.88333333333333" style="59" customWidth="1"/>
    <col min="8" max="8" width="12.4416666666667" customWidth="1"/>
    <col min="9" max="10" width="5.21666666666667" customWidth="1"/>
    <col min="11" max="11" width="5.88333333333333" customWidth="1"/>
    <col min="12" max="12" width="9.10833333333333" customWidth="1"/>
    <col min="13" max="13" width="2.44166666666667" customWidth="1"/>
  </cols>
  <sheetData>
    <row r="2" customHeight="1" spans="2:12">
      <c r="G2" s="159"/>
      <c r="H2" s="159" t="s">
        <v>683</v>
      </c>
    </row>
    <row r="3" ht="22.5" customHeight="1" spans="2:12">
      <c r="H3" s="160"/>
      <c r="I3" s="68"/>
      <c r="J3" s="68"/>
    </row>
    <row r="4" s="157" customFormat="1" ht="30" customHeight="1" spans="2:12">
      <c r="B4" s="161"/>
      <c r="C4" s="162" t="str">
        <f>'IMO Gen Outb'!C4</f>
        <v>环球01 GLOBAO 01</v>
      </c>
      <c r="D4" s="162"/>
      <c r="E4" s="162"/>
      <c r="G4" s="163"/>
      <c r="H4" s="164" t="str">
        <f>'IMO Gen Outb'!J4</f>
        <v>IMO:1234567</v>
      </c>
      <c r="L4" s="164" t="str">
        <f>'IMO Gen Outb'!C5</f>
        <v>5LKM2</v>
      </c>
    </row>
    <row r="5" s="157" customFormat="1" ht="30" customHeight="1" spans="2:12">
      <c r="B5" s="161"/>
      <c r="C5" s="162" t="str">
        <f>'IMO Gen Outb'!J5</f>
        <v>南沙新港NANSHA NEW PORT</v>
      </c>
      <c r="D5" s="162"/>
      <c r="E5" s="162"/>
      <c r="F5" s="162"/>
      <c r="G5" s="163"/>
      <c r="I5" s="165">
        <f>'IMO Gen Outb'!C6</f>
        <v>44160</v>
      </c>
      <c r="J5" s="165"/>
      <c r="K5" s="165"/>
      <c r="L5" s="165"/>
    </row>
    <row r="6" s="157" customFormat="1" ht="30" customHeight="1" spans="2:12">
      <c r="B6" s="161"/>
      <c r="C6" s="162" t="str">
        <f>'IMO Gen Outb'!J6</f>
        <v>利比里亚LIBERIA</v>
      </c>
      <c r="D6" s="162"/>
      <c r="E6" s="162"/>
      <c r="F6" s="162"/>
      <c r="G6" s="163"/>
      <c r="I6" s="162" t="str">
        <f>'IMO Gen Outb'!J7</f>
        <v>示例国籍HONGKONG</v>
      </c>
      <c r="J6" s="162"/>
      <c r="K6" s="162"/>
      <c r="L6" s="162"/>
    </row>
    <row r="7" ht="42.75" customHeight="1"/>
    <row r="8" s="158" customFormat="1" customHeight="1" spans="2:12">
      <c r="B8" s="166">
        <f>IF(C8&lt;&gt;"",COUNTA(C$8:C8),"")</f>
        <v>1</v>
      </c>
      <c r="C8" s="167" t="str">
        <f>IF('Crew Inb'!C11&lt;&gt;"",'Crew Inb'!C11&amp;" "&amp;'Crew Inb'!D11,"")</f>
        <v>涂潜 </v>
      </c>
      <c r="D8" s="166" t="str">
        <f>IF('Crew Inb'!E11&lt;&gt;"",'Crew Inb'!E11,"")</f>
        <v>M</v>
      </c>
      <c r="E8" s="168" t="str">
        <f>IF('Crew Inb'!F11&lt;&gt;"",'Crew Inb'!F11,"")</f>
        <v>Master</v>
      </c>
      <c r="F8" s="169" t="str">
        <f>IF('Crew Inb'!G11&lt;&gt;"",'Crew Inb'!G11,"")</f>
        <v>Montenegro</v>
      </c>
      <c r="G8" s="170">
        <f>IF('Crew Inb'!H11&lt;&gt;"",'Crew Inb'!H11,"")</f>
        <v>29228</v>
      </c>
      <c r="H8" s="171" t="str">
        <f>IF('Crew Inb'!I11&lt;&gt;"",'Crew Inb'!I11,"")</f>
        <v>Montenegro</v>
      </c>
      <c r="I8" s="171"/>
      <c r="J8" s="172" t="s">
        <v>685</v>
      </c>
      <c r="K8" s="1219" t="str">
        <f>IF('Crew Inb'!K11&lt;&gt;"",'Crew Inb'!K11,"")</f>
        <v>TEST0001</v>
      </c>
      <c r="L8" s="166"/>
    </row>
    <row r="9" s="158" customFormat="1" customHeight="1" spans="2:12">
      <c r="B9" s="166">
        <f>IF(C9&lt;&gt;"",COUNTA(C$8:C9),"")</f>
        <v>2</v>
      </c>
      <c r="C9" s="167" t="str">
        <f>IF('Crew Inb'!C12&lt;&gt;"",'Crew Inb'!C12&amp;" "&amp;'Crew Inb'!D12,"")</f>
        <v>FERNANDEZ REYNALDO JR </v>
      </c>
      <c r="D9" s="166" t="str">
        <f>IF('Crew Inb'!E12&lt;&gt;"",'Crew Inb'!E12,"")</f>
        <v>M</v>
      </c>
      <c r="E9" s="168" t="str">
        <f>IF('Crew Inb'!F12&lt;&gt;"",'Crew Inb'!F12,"")</f>
        <v>Chief Officer</v>
      </c>
      <c r="F9" s="169" t="str">
        <f>IF('Crew Inb'!G12&lt;&gt;"",'Crew Inb'!G12,"")</f>
        <v>Ukraine</v>
      </c>
      <c r="G9" s="170">
        <f>IF('Crew Inb'!H12&lt;&gt;"",'Crew Inb'!H12,"")</f>
        <v>24515</v>
      </c>
      <c r="H9" s="171" t="str">
        <f>IF('Crew Inb'!I12&lt;&gt;"",'Crew Inb'!I12,"")</f>
        <v>Ukraine</v>
      </c>
      <c r="I9" s="171"/>
      <c r="J9" s="172" t="s">
        <v>685</v>
      </c>
      <c r="K9" s="166" t="str">
        <f>IF('Crew Inb'!K12&lt;&gt;"",'Crew Inb'!K12,"")</f>
        <v>TEST0002</v>
      </c>
      <c r="L9" s="166"/>
    </row>
    <row r="10" s="158" customFormat="1" customHeight="1" spans="2:12">
      <c r="B10" s="166">
        <f>IF(C10&lt;&gt;"",COUNTA(C$8:C10),"")</f>
        <v>3</v>
      </c>
      <c r="C10" s="167" t="str">
        <f>IF('Crew Inb'!C13&lt;&gt;"",'Crew Inb'!C13&amp;" "&amp;'Crew Inb'!D13,"")</f>
        <v>FERNANDEZ REYNALDO JR </v>
      </c>
      <c r="D10" s="166" t="str">
        <f>IF('Crew Inb'!E13&lt;&gt;"",'Crew Inb'!E13,"")</f>
        <v>M</v>
      </c>
      <c r="E10" s="168" t="str">
        <f>IF('Crew Inb'!F13&lt;&gt;"",'Crew Inb'!F13,"")</f>
        <v>Second Officer</v>
      </c>
      <c r="F10" s="169" t="str">
        <f>IF('Crew Inb'!G13&lt;&gt;"",'Crew Inb'!G13,"")</f>
        <v>Filipino</v>
      </c>
      <c r="G10" s="170">
        <f>IF('Crew Inb'!H13&lt;&gt;"",'Crew Inb'!H13,"")</f>
        <v>29167</v>
      </c>
      <c r="H10" s="171" t="str">
        <f>IF('Crew Inb'!I13&lt;&gt;"",'Crew Inb'!I13,"")</f>
        <v>Filipino</v>
      </c>
      <c r="I10" s="171"/>
      <c r="J10" s="172" t="s">
        <v>685</v>
      </c>
      <c r="K10" s="166" t="str">
        <f>IF('Crew Inb'!K13&lt;&gt;"",'Crew Inb'!K13,"")</f>
        <v>TEST0003</v>
      </c>
      <c r="L10" s="166"/>
    </row>
    <row r="11" s="158" customFormat="1" customHeight="1" spans="2:12">
      <c r="B11" s="166">
        <f>IF(C11&lt;&gt;"",COUNTA(C$8:C11),"")</f>
        <v>4</v>
      </c>
      <c r="C11" s="167" t="str">
        <f>IF('Crew Inb'!C14&lt;&gt;"",'Crew Inb'!C14&amp;" "&amp;'Crew Inb'!D14,"")</f>
        <v>赵六 </v>
      </c>
      <c r="D11" s="166" t="str">
        <f>IF('Crew Inb'!E14&lt;&gt;"",'Crew Inb'!E14,"")</f>
        <v>M</v>
      </c>
      <c r="E11" s="168" t="str">
        <f>IF('Crew Inb'!F14&lt;&gt;"",'Crew Inb'!F14,"")</f>
        <v>Third Officer</v>
      </c>
      <c r="F11" s="169" t="str">
        <f>IF('Crew Inb'!G14&lt;&gt;"",'Crew Inb'!G14,"")</f>
        <v>Filipino</v>
      </c>
      <c r="G11" s="170">
        <f>IF('Crew Inb'!H14&lt;&gt;"",'Crew Inb'!H14,"")</f>
        <v>34095</v>
      </c>
      <c r="H11" s="171" t="str">
        <f>IF('Crew Inb'!I14&lt;&gt;"",'Crew Inb'!I14,"")</f>
        <v>Filipino</v>
      </c>
      <c r="I11" s="171"/>
      <c r="J11" s="172" t="s">
        <v>685</v>
      </c>
      <c r="K11" s="166" t="str">
        <f>IF('Crew Inb'!K14&lt;&gt;"",'Crew Inb'!K14,"")</f>
        <v>TEST0004</v>
      </c>
      <c r="L11" s="166"/>
    </row>
    <row r="12" s="158" customFormat="1" customHeight="1" spans="2:12">
      <c r="B12" s="166">
        <f>IF(C12&lt;&gt;"",COUNTA(C$8:C12),"")</f>
        <v>5</v>
      </c>
      <c r="C12" s="167" t="str">
        <f>IF('Crew Inb'!C15&lt;&gt;"",'Crew Inb'!C15&amp;" "&amp;'Crew Inb'!D15,"")</f>
        <v>钱七 </v>
      </c>
      <c r="D12" s="166" t="str">
        <f>IF('Crew Inb'!E15&lt;&gt;"",'Crew Inb'!E15,"")</f>
        <v>M</v>
      </c>
      <c r="E12" s="168" t="str">
        <f>IF('Crew Inb'!F15&lt;&gt;"",'Crew Inb'!F15,"")</f>
        <v>Chief Engineer</v>
      </c>
      <c r="F12" s="169" t="str">
        <f>IF('Crew Inb'!G15&lt;&gt;"",'Crew Inb'!G15,"")</f>
        <v>Ukraine</v>
      </c>
      <c r="G12" s="170">
        <f>IF('Crew Inb'!H15&lt;&gt;"",'Crew Inb'!H15,"")</f>
        <v>27961</v>
      </c>
      <c r="H12" s="171" t="str">
        <f>IF('Crew Inb'!I15&lt;&gt;"",'Crew Inb'!I15,"")</f>
        <v>Ukraine</v>
      </c>
      <c r="I12" s="171"/>
      <c r="J12" s="172" t="s">
        <v>685</v>
      </c>
      <c r="K12" s="166" t="str">
        <f>IF('Crew Inb'!K15&lt;&gt;"",'Crew Inb'!K15,"")</f>
        <v>TEST0005</v>
      </c>
      <c r="L12" s="166"/>
    </row>
    <row r="13" s="158" customFormat="1" customHeight="1" spans="2:12">
      <c r="B13" s="166">
        <f>IF(C13&lt;&gt;"",COUNTA(C$8:C13),"")</f>
        <v>6</v>
      </c>
      <c r="C13" s="167" t="str">
        <f>IF('Crew Inb'!C16&lt;&gt;"",'Crew Inb'!C16&amp;" "&amp;'Crew Inb'!D16,"")</f>
        <v>孙八 </v>
      </c>
      <c r="D13" s="166" t="str">
        <f>IF('Crew Inb'!E16&lt;&gt;"",'Crew Inb'!E16,"")</f>
        <v>M</v>
      </c>
      <c r="E13" s="168" t="str">
        <f>IF('Crew Inb'!F16&lt;&gt;"",'Crew Inb'!F16,"")</f>
        <v>Second Engineer</v>
      </c>
      <c r="F13" s="169" t="str">
        <f>IF('Crew Inb'!G16&lt;&gt;"",'Crew Inb'!G16,"")</f>
        <v>Ukraine</v>
      </c>
      <c r="G13" s="170">
        <f>IF('Crew Inb'!H16&lt;&gt;"",'Crew Inb'!H16,"")</f>
        <v>24595</v>
      </c>
      <c r="H13" s="171" t="str">
        <f>IF('Crew Inb'!I16&lt;&gt;"",'Crew Inb'!I16,"")</f>
        <v>Ukraine</v>
      </c>
      <c r="I13" s="171"/>
      <c r="J13" s="172" t="s">
        <v>685</v>
      </c>
      <c r="K13" s="166" t="str">
        <f>IF('Crew Inb'!K16&lt;&gt;"",'Crew Inb'!K16,"")</f>
        <v>TEST0006</v>
      </c>
      <c r="L13" s="166"/>
    </row>
    <row r="14" s="158" customFormat="1" customHeight="1" spans="2:12">
      <c r="B14" s="166">
        <f>IF(C14&lt;&gt;"",COUNTA(C$8:C14),"")</f>
        <v>7</v>
      </c>
      <c r="C14" s="167" t="str">
        <f>IF('Crew Inb'!C17&lt;&gt;"",'Crew Inb'!C17&amp;" "&amp;'Crew Inb'!D17,"")</f>
        <v>周九 </v>
      </c>
      <c r="D14" s="166" t="str">
        <f>IF('Crew Inb'!E17&lt;&gt;"",'Crew Inb'!E17,"")</f>
        <v>M</v>
      </c>
      <c r="E14" s="168" t="str">
        <f>IF('Crew Inb'!F17&lt;&gt;"",'Crew Inb'!F17,"")</f>
        <v>Junior Engineer</v>
      </c>
      <c r="F14" s="169" t="str">
        <f>IF('Crew Inb'!G17&lt;&gt;"",'Crew Inb'!G17,"")</f>
        <v>Filipino</v>
      </c>
      <c r="G14" s="170">
        <f>IF('Crew Inb'!H17&lt;&gt;"",'Crew Inb'!H17,"")</f>
        <v>34157</v>
      </c>
      <c r="H14" s="171" t="str">
        <f>IF('Crew Inb'!I17&lt;&gt;"",'Crew Inb'!I17,"")</f>
        <v>Filipino</v>
      </c>
      <c r="I14" s="171"/>
      <c r="J14" s="172" t="s">
        <v>685</v>
      </c>
      <c r="K14" s="166" t="str">
        <f>IF('Crew Inb'!K17&lt;&gt;"",'Crew Inb'!K17,"")</f>
        <v>TEST0007</v>
      </c>
      <c r="L14" s="166"/>
    </row>
    <row r="15" s="158" customFormat="1" customHeight="1" spans="2:12">
      <c r="B15" s="166">
        <f>IF(C15&lt;&gt;"",COUNTA(C$8:C15),"")</f>
        <v>8</v>
      </c>
      <c r="C15" s="167" t="str">
        <f>IF('Crew Inb'!C18&lt;&gt;"",'Crew Inb'!C18&amp;" "&amp;'Crew Inb'!D18,"")</f>
        <v>吴十 </v>
      </c>
      <c r="D15" s="166" t="str">
        <f>IF('Crew Inb'!E18&lt;&gt;"",'Crew Inb'!E18,"")</f>
        <v>M</v>
      </c>
      <c r="E15" s="168" t="str">
        <f>IF('Crew Inb'!F18&lt;&gt;"",'Crew Inb'!F18,"")</f>
        <v> Junior Electrician</v>
      </c>
      <c r="F15" s="169" t="str">
        <f>IF('Crew Inb'!G18&lt;&gt;"",'Crew Inb'!G18,"")</f>
        <v>Filipino</v>
      </c>
      <c r="G15" s="170">
        <f>IF('Crew Inb'!H18&lt;&gt;"",'Crew Inb'!H18,"")</f>
        <v>32956</v>
      </c>
      <c r="H15" s="171" t="str">
        <f>IF('Crew Inb'!I18&lt;&gt;"",'Crew Inb'!I18,"")</f>
        <v>Filipino</v>
      </c>
      <c r="I15" s="171"/>
      <c r="J15" s="172" t="s">
        <v>685</v>
      </c>
      <c r="K15" s="166" t="str">
        <f>IF('Crew Inb'!K18&lt;&gt;"",'Crew Inb'!K18,"")</f>
        <v>TEST0008</v>
      </c>
      <c r="L15" s="166"/>
    </row>
    <row r="16" s="158" customFormat="1" customHeight="1" spans="2:12">
      <c r="B16" s="166">
        <f>IF(C16&lt;&gt;"",COUNTA(C$8:C16),"")</f>
        <v>9</v>
      </c>
      <c r="C16" s="167" t="str">
        <f>IF('Crew Inb'!C19&lt;&gt;"",'Crew Inb'!C19&amp;" "&amp;'Crew Inb'!D19,"")</f>
        <v>郑一 </v>
      </c>
      <c r="D16" s="166" t="str">
        <f>IF('Crew Inb'!E19&lt;&gt;"",'Crew Inb'!E19,"")</f>
        <v>M</v>
      </c>
      <c r="E16" s="168" t="str">
        <f>IF('Crew Inb'!F19&lt;&gt;"",'Crew Inb'!F19,"")</f>
        <v>Bosun</v>
      </c>
      <c r="F16" s="169" t="str">
        <f>IF('Crew Inb'!G19&lt;&gt;"",'Crew Inb'!G19,"")</f>
        <v>Filipino</v>
      </c>
      <c r="G16" s="170">
        <f>IF('Crew Inb'!H19&lt;&gt;"",'Crew Inb'!H19,"")</f>
        <v>25430</v>
      </c>
      <c r="H16" s="171" t="str">
        <f>IF('Crew Inb'!I19&lt;&gt;"",'Crew Inb'!I19,"")</f>
        <v>Filipino</v>
      </c>
      <c r="I16" s="171"/>
      <c r="J16" s="172" t="s">
        <v>685</v>
      </c>
      <c r="K16" s="166" t="str">
        <f>IF('Crew Inb'!K19&lt;&gt;"",'Crew Inb'!K19,"")</f>
        <v>TEST0009</v>
      </c>
      <c r="L16" s="166"/>
    </row>
    <row r="17" s="158" customFormat="1" customHeight="1" spans="2:12">
      <c r="B17" s="166">
        <f>IF(C17&lt;&gt;"",COUNTA(C$8:C17),"")</f>
        <v>10</v>
      </c>
      <c r="C17" s="167" t="str">
        <f>IF('Crew Inb'!C20&lt;&gt;"",'Crew Inb'!C20&amp;" "&amp;'Crew Inb'!D20,"")</f>
        <v>王一 </v>
      </c>
      <c r="D17" s="166" t="str">
        <f>IF('Crew Inb'!E20&lt;&gt;"",'Crew Inb'!E20,"")</f>
        <v>M</v>
      </c>
      <c r="E17" s="168" t="str">
        <f>IF('Crew Inb'!F20&lt;&gt;"",'Crew Inb'!F20,"")</f>
        <v>Able Seaman</v>
      </c>
      <c r="F17" s="169" t="str">
        <f>IF('Crew Inb'!G20&lt;&gt;"",'Crew Inb'!G20,"")</f>
        <v>Filipino</v>
      </c>
      <c r="G17" s="170">
        <f>IF('Crew Inb'!H20&lt;&gt;"",'Crew Inb'!H20,"")</f>
        <v>29746</v>
      </c>
      <c r="H17" s="171" t="str">
        <f>IF('Crew Inb'!I20&lt;&gt;"",'Crew Inb'!I20,"")</f>
        <v>Filipino</v>
      </c>
      <c r="I17" s="171"/>
      <c r="J17" s="172" t="s">
        <v>685</v>
      </c>
      <c r="K17" s="166" t="str">
        <f>IF('Crew Inb'!K20&lt;&gt;"",'Crew Inb'!K20,"")</f>
        <v>TEST0010</v>
      </c>
      <c r="L17" s="166"/>
    </row>
    <row r="18" s="158" customFormat="1" customHeight="1" spans="2:12">
      <c r="B18" s="166">
        <f>IF(C18&lt;&gt;"",COUNTA(C$8:C18),"")</f>
        <v>11</v>
      </c>
      <c r="C18" s="167" t="str">
        <f>IF('Crew Inb'!C21&lt;&gt;"",'Crew Inb'!C21&amp;" "&amp;'Crew Inb'!D21,"")</f>
        <v>李一 </v>
      </c>
      <c r="D18" s="166" t="str">
        <f>IF('Crew Inb'!E21&lt;&gt;"",'Crew Inb'!E21,"")</f>
        <v>M</v>
      </c>
      <c r="E18" s="168" t="str">
        <f>IF('Crew Inb'!F21&lt;&gt;"",'Crew Inb'!F21,"")</f>
        <v>Able Seaman</v>
      </c>
      <c r="F18" s="169" t="str">
        <f>IF('Crew Inb'!G21&lt;&gt;"",'Crew Inb'!G21,"")</f>
        <v>Filipino</v>
      </c>
      <c r="G18" s="170">
        <f>IF('Crew Inb'!H21&lt;&gt;"",'Crew Inb'!H21,"")</f>
        <v>28234</v>
      </c>
      <c r="H18" s="171" t="str">
        <f>IF('Crew Inb'!I21&lt;&gt;"",'Crew Inb'!I21,"")</f>
        <v>Filipino</v>
      </c>
      <c r="I18" s="171"/>
      <c r="J18" s="172" t="s">
        <v>685</v>
      </c>
      <c r="K18" s="166" t="str">
        <f>IF('Crew Inb'!K21&lt;&gt;"",'Crew Inb'!K21,"")</f>
        <v>TEST0011</v>
      </c>
      <c r="L18" s="166"/>
    </row>
    <row r="19" s="158" customFormat="1" customHeight="1" spans="2:12">
      <c r="B19" s="166">
        <f>IF(C19&lt;&gt;"",COUNTA(C$8:C19),"")</f>
        <v>12</v>
      </c>
      <c r="C19" s="167" t="str">
        <f>IF('Crew Inb'!C22&lt;&gt;"",'Crew Inb'!C22&amp;" "&amp;'Crew Inb'!D22,"")</f>
        <v>赵一 </v>
      </c>
      <c r="D19" s="166" t="str">
        <f>IF('Crew Inb'!E22&lt;&gt;"",'Crew Inb'!E22,"")</f>
        <v>M</v>
      </c>
      <c r="E19" s="168" t="str">
        <f>IF('Crew Inb'!F22&lt;&gt;"",'Crew Inb'!F22,"")</f>
        <v>Able Seaman</v>
      </c>
      <c r="F19" s="169" t="str">
        <f>IF('Crew Inb'!G22&lt;&gt;"",'Crew Inb'!G22,"")</f>
        <v>Filipino</v>
      </c>
      <c r="G19" s="170">
        <f>IF('Crew Inb'!H22&lt;&gt;"",'Crew Inb'!H22,"")</f>
        <v>30471</v>
      </c>
      <c r="H19" s="171" t="str">
        <f>IF('Crew Inb'!I22&lt;&gt;"",'Crew Inb'!I22,"")</f>
        <v>Filipino</v>
      </c>
      <c r="I19" s="171"/>
      <c r="J19" s="172" t="s">
        <v>685</v>
      </c>
      <c r="K19" s="166" t="str">
        <f>IF('Crew Inb'!K22&lt;&gt;"",'Crew Inb'!K22,"")</f>
        <v>TEST0012</v>
      </c>
      <c r="L19" s="166"/>
    </row>
    <row r="20" s="158" customFormat="1" customHeight="1" spans="2:12">
      <c r="B20" s="166">
        <f>IF(C20&lt;&gt;"",COUNTA(C$8:C20),"")</f>
        <v>13</v>
      </c>
      <c r="C20" s="167" t="str">
        <f>IF('Crew Inb'!C23&lt;&gt;"",'Crew Inb'!C23&amp;" "&amp;'Crew Inb'!D23,"")</f>
        <v>陈一 </v>
      </c>
      <c r="D20" s="166" t="str">
        <f>IF('Crew Inb'!E23&lt;&gt;"",'Crew Inb'!E23,"")</f>
        <v>M</v>
      </c>
      <c r="E20" s="168" t="str">
        <f>IF('Crew Inb'!F23&lt;&gt;"",'Crew Inb'!F23,"")</f>
        <v>Ordinary Seaman</v>
      </c>
      <c r="F20" s="169" t="str">
        <f>IF('Crew Inb'!G23&lt;&gt;"",'Crew Inb'!G23,"")</f>
        <v>Filipino</v>
      </c>
      <c r="G20" s="170">
        <f>IF('Crew Inb'!H23&lt;&gt;"",'Crew Inb'!H23,"")</f>
        <v>30822</v>
      </c>
      <c r="H20" s="171" t="str">
        <f>IF('Crew Inb'!I23&lt;&gt;"",'Crew Inb'!I23,"")</f>
        <v>Filipino</v>
      </c>
      <c r="I20" s="171"/>
      <c r="J20" s="172" t="s">
        <v>685</v>
      </c>
      <c r="K20" s="166" t="str">
        <f>IF('Crew Inb'!K23&lt;&gt;"",'Crew Inb'!K23,"")</f>
        <v>TEST0013</v>
      </c>
      <c r="L20" s="166"/>
    </row>
    <row r="21" s="158" customFormat="1" customHeight="1" spans="2:12">
      <c r="B21" s="166">
        <f>IF(C21&lt;&gt;"",COUNTA(C$8:C21),"")</f>
        <v>14</v>
      </c>
      <c r="C21" s="167" t="str">
        <f>IF('Crew Inb'!C24&lt;&gt;"",'Crew Inb'!C24&amp;" "&amp;'Crew Inb'!D24,"")</f>
        <v>刘一 </v>
      </c>
      <c r="D21" s="166" t="str">
        <f>IF('Crew Inb'!E24&lt;&gt;"",'Crew Inb'!E24,"")</f>
        <v>M</v>
      </c>
      <c r="E21" s="168" t="str">
        <f>IF('Crew Inb'!F24&lt;&gt;"",'Crew Inb'!F24,"")</f>
        <v>Ordinary Seaman</v>
      </c>
      <c r="F21" s="169" t="str">
        <f>IF('Crew Inb'!G24&lt;&gt;"",'Crew Inb'!G24,"")</f>
        <v>Filipino</v>
      </c>
      <c r="G21" s="170">
        <f>IF('Crew Inb'!H24&lt;&gt;"",'Crew Inb'!H24,"")</f>
        <v>33702</v>
      </c>
      <c r="H21" s="171" t="str">
        <f>IF('Crew Inb'!I24&lt;&gt;"",'Crew Inb'!I24,"")</f>
        <v>Filipino</v>
      </c>
      <c r="I21" s="171"/>
      <c r="J21" s="172" t="s">
        <v>685</v>
      </c>
      <c r="K21" s="166" t="str">
        <f>IF('Crew Inb'!K24&lt;&gt;"",'Crew Inb'!K24,"")</f>
        <v>TEST0014</v>
      </c>
      <c r="L21" s="166"/>
    </row>
    <row r="22" s="158" customFormat="1" customHeight="1" spans="2:12">
      <c r="B22" s="166">
        <f>IF(C22&lt;&gt;"",COUNTA(C$8:C22),"")</f>
        <v>15</v>
      </c>
      <c r="C22" s="167" t="str">
        <f>IF('Crew Inb'!C25&lt;&gt;"",'Crew Inb'!C25&amp;" "&amp;'Crew Inb'!D25,"")</f>
        <v>杨一 </v>
      </c>
      <c r="D22" s="166" t="str">
        <f>IF('Crew Inb'!E25&lt;&gt;"",'Crew Inb'!E25,"")</f>
        <v>M</v>
      </c>
      <c r="E22" s="168" t="str">
        <f>IF('Crew Inb'!F25&lt;&gt;"",'Crew Inb'!F25,"")</f>
        <v>Fitter</v>
      </c>
      <c r="F22" s="169" t="str">
        <f>IF('Crew Inb'!G25&lt;&gt;"",'Crew Inb'!G25,"")</f>
        <v>Filipino</v>
      </c>
      <c r="G22" s="170">
        <f>IF('Crew Inb'!H25&lt;&gt;"",'Crew Inb'!H25,"")</f>
        <v>24553</v>
      </c>
      <c r="H22" s="171" t="str">
        <f>IF('Crew Inb'!I25&lt;&gt;"",'Crew Inb'!I25,"")</f>
        <v>Filipino</v>
      </c>
      <c r="I22" s="171"/>
      <c r="J22" s="172" t="s">
        <v>685</v>
      </c>
      <c r="K22" s="166" t="str">
        <f>IF('Crew Inb'!K25&lt;&gt;"",'Crew Inb'!K25,"")</f>
        <v>TEST0015</v>
      </c>
      <c r="L22" s="166"/>
    </row>
    <row r="23" s="158" customFormat="1" customHeight="1" spans="2:12">
      <c r="B23" s="166">
        <f>IF(C23&lt;&gt;"",COUNTA(C$8:C23),"")</f>
        <v>16</v>
      </c>
      <c r="C23" s="167" t="str">
        <f>IF('Crew Inb'!C26&lt;&gt;"",'Crew Inb'!C26&amp;" "&amp;'Crew Inb'!D26,"")</f>
        <v>黄一 </v>
      </c>
      <c r="D23" s="166" t="str">
        <f>IF('Crew Inb'!E26&lt;&gt;"",'Crew Inb'!E26,"")</f>
        <v>M</v>
      </c>
      <c r="E23" s="168" t="str">
        <f>IF('Crew Inb'!F26&lt;&gt;"",'Crew Inb'!F26,"")</f>
        <v>Oiler</v>
      </c>
      <c r="F23" s="169" t="str">
        <f>IF('Crew Inb'!G26&lt;&gt;"",'Crew Inb'!G26,"")</f>
        <v>Filipino</v>
      </c>
      <c r="G23" s="170">
        <f>IF('Crew Inb'!H26&lt;&gt;"",'Crew Inb'!H26,"")</f>
        <v>28098</v>
      </c>
      <c r="H23" s="171" t="str">
        <f>IF('Crew Inb'!I26&lt;&gt;"",'Crew Inb'!I26,"")</f>
        <v>Filipino</v>
      </c>
      <c r="I23" s="171"/>
      <c r="J23" s="172" t="s">
        <v>685</v>
      </c>
      <c r="K23" s="166" t="str">
        <f>IF('Crew Inb'!K26&lt;&gt;"",'Crew Inb'!K26,"")</f>
        <v>TEST0016</v>
      </c>
      <c r="L23" s="166"/>
    </row>
    <row r="24" s="158" customFormat="1" customHeight="1" spans="2:12">
      <c r="B24" s="166">
        <f>IF(C24&lt;&gt;"",COUNTA(C$8:C24),"")</f>
        <v>17</v>
      </c>
      <c r="C24" s="167" t="str">
        <f>IF('Crew Inb'!C27&lt;&gt;"",'Crew Inb'!C27&amp;" "&amp;'Crew Inb'!D27,"")</f>
        <v>周一 </v>
      </c>
      <c r="D24" s="166" t="str">
        <f>IF('Crew Inb'!E27&lt;&gt;"",'Crew Inb'!E27,"")</f>
        <v>M</v>
      </c>
      <c r="E24" s="168" t="str">
        <f>IF('Crew Inb'!F27&lt;&gt;"",'Crew Inb'!F27,"")</f>
        <v>Wiper</v>
      </c>
      <c r="F24" s="169" t="str">
        <f>IF('Crew Inb'!G27&lt;&gt;"",'Crew Inb'!G27,"")</f>
        <v>Filipino</v>
      </c>
      <c r="G24" s="170">
        <f>IF('Crew Inb'!H27&lt;&gt;"",'Crew Inb'!H27,"")</f>
        <v>34260</v>
      </c>
      <c r="H24" s="171" t="str">
        <f>IF('Crew Inb'!I27&lt;&gt;"",'Crew Inb'!I27,"")</f>
        <v>Filipino</v>
      </c>
      <c r="I24" s="171"/>
      <c r="J24" s="172" t="s">
        <v>685</v>
      </c>
      <c r="K24" s="166" t="str">
        <f>IF('Crew Inb'!K27&lt;&gt;"",'Crew Inb'!K27,"")</f>
        <v>TEST0017</v>
      </c>
      <c r="L24" s="166"/>
    </row>
    <row r="25" s="158" customFormat="1" customHeight="1" spans="2:12">
      <c r="B25" s="166">
        <f>IF(C25&lt;&gt;"",COUNTA(C$8:C25),"")</f>
        <v>18</v>
      </c>
      <c r="C25" s="167" t="str">
        <f>IF('Crew Inb'!C28&lt;&gt;"",'Crew Inb'!C28&amp;" "&amp;'Crew Inb'!D28,"")</f>
        <v>吴一 </v>
      </c>
      <c r="D25" s="166" t="str">
        <f>IF('Crew Inb'!E28&lt;&gt;"",'Crew Inb'!E28,"")</f>
        <v>M</v>
      </c>
      <c r="E25" s="168" t="str">
        <f>IF('Crew Inb'!F28&lt;&gt;"",'Crew Inb'!F28,"")</f>
        <v>Wiper</v>
      </c>
      <c r="F25" s="169" t="str">
        <f>IF('Crew Inb'!G28&lt;&gt;"",'Crew Inb'!G28,"")</f>
        <v>Filipino</v>
      </c>
      <c r="G25" s="170">
        <f>IF('Crew Inb'!H28&lt;&gt;"",'Crew Inb'!H28,"")</f>
        <v>34455</v>
      </c>
      <c r="H25" s="171" t="str">
        <f>IF('Crew Inb'!I28&lt;&gt;"",'Crew Inb'!I28,"")</f>
        <v>Filipino</v>
      </c>
      <c r="I25" s="171"/>
      <c r="J25" s="172" t="s">
        <v>685</v>
      </c>
      <c r="K25" s="166" t="str">
        <f>IF('Crew Inb'!K28&lt;&gt;"",'Crew Inb'!K28,"")</f>
        <v>TEST0018</v>
      </c>
      <c r="L25" s="166"/>
    </row>
    <row r="26" s="158" customFormat="1" customHeight="1" spans="2:12">
      <c r="B26" s="166">
        <f>IF(C26&lt;&gt;"",COUNTA(C$8:C26),"")</f>
        <v>19</v>
      </c>
      <c r="C26" s="167" t="str">
        <f>IF('Crew Inb'!C29&lt;&gt;"",'Crew Inb'!C29&amp;" "&amp;'Crew Inb'!D29,"")</f>
        <v>徐一 </v>
      </c>
      <c r="D26" s="166" t="str">
        <f>IF('Crew Inb'!E29&lt;&gt;"",'Crew Inb'!E29,"")</f>
        <v>M</v>
      </c>
      <c r="E26" s="168" t="str">
        <f>IF('Crew Inb'!F29&lt;&gt;"",'Crew Inb'!F29,"")</f>
        <v>Chief Cook</v>
      </c>
      <c r="F26" s="169" t="str">
        <f>IF('Crew Inb'!G29&lt;&gt;"",'Crew Inb'!G29,"")</f>
        <v>Filipino</v>
      </c>
      <c r="G26" s="170">
        <f>IF('Crew Inb'!H29&lt;&gt;"",'Crew Inb'!H29,"")</f>
        <v>24484</v>
      </c>
      <c r="H26" s="171" t="str">
        <f>IF('Crew Inb'!I29&lt;&gt;"",'Crew Inb'!I29,"")</f>
        <v>Filipino</v>
      </c>
      <c r="I26" s="171"/>
      <c r="J26" s="172" t="s">
        <v>685</v>
      </c>
      <c r="K26" s="166" t="str">
        <f>IF('Crew Inb'!K29&lt;&gt;"",'Crew Inb'!K29,"")</f>
        <v>TEST0019</v>
      </c>
      <c r="L26" s="166"/>
    </row>
    <row r="27" customHeight="1" spans="2:12">
      <c r="I27" s="173">
        <f>YEAR('Gen Outb'!X6)</f>
        <v>2020</v>
      </c>
      <c r="J27" s="173"/>
      <c r="K27" s="174">
        <f>MONTH('Gen Outb'!X6)</f>
        <v>11</v>
      </c>
      <c r="L27" s="174">
        <f>DAY('Gen Outb'!X6)</f>
        <v>25</v>
      </c>
    </row>
    <row r="29" customHeight="1" spans="2:12">
      <c r="H29" s="159" t="s">
        <v>683</v>
      </c>
    </row>
    <row r="30" ht="22.5" customHeight="1" spans="2:12">
      <c r="H30" s="160"/>
      <c r="I30" s="68"/>
      <c r="J30" s="68"/>
    </row>
    <row r="31" s="157" customFormat="1" ht="30" customHeight="1" spans="2:12">
      <c r="B31" s="161"/>
      <c r="C31" s="162" t="str">
        <f>'IMO Gen Outb'!C4</f>
        <v>环球01 GLOBAO 01</v>
      </c>
      <c r="D31" s="162"/>
      <c r="E31" s="162"/>
      <c r="F31" s="163"/>
      <c r="G31" s="163"/>
      <c r="H31" s="164" t="str">
        <f>'IMO Gen Outb'!J4</f>
        <v>IMO:1234567</v>
      </c>
      <c r="I31" s="163"/>
      <c r="J31" s="163"/>
      <c r="K31" s="163"/>
      <c r="L31" s="164" t="str">
        <f>'IMO Gen Outb'!C5</f>
        <v>5LKM2</v>
      </c>
    </row>
    <row r="32" s="157" customFormat="1" ht="30" customHeight="1" spans="2:12">
      <c r="B32" s="161"/>
      <c r="C32" s="162" t="str">
        <f>'IMO Gen Outb'!J5</f>
        <v>南沙新港NANSHA NEW PORT</v>
      </c>
      <c r="D32" s="162"/>
      <c r="E32" s="162"/>
      <c r="F32" s="162"/>
      <c r="G32" s="163"/>
      <c r="H32" s="163"/>
      <c r="I32" s="165">
        <f>'IMO Gen Outb'!C6</f>
        <v>44160</v>
      </c>
      <c r="J32" s="165"/>
      <c r="K32" s="165"/>
      <c r="L32" s="165"/>
    </row>
    <row r="33" s="157" customFormat="1" ht="30" customHeight="1" spans="2:12">
      <c r="B33" s="161"/>
      <c r="C33" s="162" t="str">
        <f>'IMO Gen Outb'!J6</f>
        <v>利比里亚LIBERIA</v>
      </c>
      <c r="D33" s="162"/>
      <c r="E33" s="162"/>
      <c r="F33" s="162"/>
      <c r="G33" s="163"/>
      <c r="H33" s="163"/>
      <c r="I33" s="162" t="str">
        <f>'IMO Gen Outb'!J7</f>
        <v>示例国籍HONGKONG</v>
      </c>
      <c r="J33" s="162"/>
      <c r="K33" s="162"/>
      <c r="L33" s="162"/>
    </row>
    <row r="34" ht="42.75" customHeight="1"/>
    <row r="35" s="158" customFormat="1" customHeight="1" spans="2:12">
      <c r="B35" s="166">
        <v>20</v>
      </c>
      <c r="C35" s="167" t="str">
        <f>IF('Crew Inb'!C30&lt;&gt;"",'Crew Inb'!C30&amp;" "&amp;'Crew Inb'!D30,"")</f>
        <v>孙一 </v>
      </c>
      <c r="D35" s="166" t="s">
        <v>232</v>
      </c>
      <c r="E35" s="169" t="s">
        <v>686</v>
      </c>
      <c r="F35" s="169" t="s">
        <v>369</v>
      </c>
      <c r="G35" s="170">
        <f>IF('Crew Inb'!H30&lt;&gt;"",'Crew Inb'!H30,"")</f>
        <v>31563</v>
      </c>
      <c r="H35" s="171" t="s">
        <v>687</v>
      </c>
      <c r="I35" s="171"/>
      <c r="J35" s="172" t="s">
        <v>685</v>
      </c>
      <c r="K35" s="166" t="str">
        <f>IF('Crew Inb'!K30&lt;&gt;"",'Crew Inb'!K30,"")</f>
        <v>TEST0020</v>
      </c>
      <c r="L35" s="166"/>
    </row>
    <row r="36" s="158" customFormat="1" customHeight="1" spans="2:12">
      <c r="B36" s="166"/>
      <c r="C36" s="167"/>
      <c r="D36" s="166"/>
      <c r="E36" s="169"/>
      <c r="F36" s="169"/>
      <c r="G36" s="170"/>
      <c r="H36" s="171"/>
      <c r="I36" s="171"/>
      <c r="J36" s="171"/>
      <c r="K36" s="166"/>
      <c r="L36" s="166"/>
    </row>
    <row r="37" s="158" customFormat="1" customHeight="1" spans="2:12">
      <c r="B37" s="166"/>
      <c r="C37" s="167"/>
      <c r="D37" s="166"/>
      <c r="E37" s="169"/>
      <c r="F37" s="169"/>
      <c r="G37" s="170"/>
      <c r="H37" s="171"/>
      <c r="I37" s="171"/>
      <c r="J37" s="171"/>
      <c r="K37" s="166"/>
      <c r="L37" s="166"/>
    </row>
    <row r="38" s="158" customFormat="1" customHeight="1" spans="2:12">
      <c r="B38" s="166"/>
      <c r="C38" s="167"/>
      <c r="D38" s="166"/>
      <c r="E38" s="169"/>
      <c r="F38" s="169"/>
      <c r="G38" s="170"/>
      <c r="H38" s="171"/>
      <c r="I38" s="171"/>
      <c r="J38" s="171"/>
      <c r="K38" s="166"/>
      <c r="L38" s="166"/>
    </row>
    <row r="39" s="158" customFormat="1" customHeight="1" spans="2:12">
      <c r="B39" s="166"/>
      <c r="C39" s="167"/>
      <c r="D39" s="166"/>
      <c r="E39" s="169"/>
      <c r="F39" s="169"/>
      <c r="G39" s="170"/>
      <c r="H39" s="171"/>
      <c r="I39" s="171"/>
      <c r="J39" s="171"/>
      <c r="K39" s="166"/>
      <c r="L39" s="166"/>
    </row>
    <row r="40" s="158" customFormat="1" customHeight="1" spans="2:12">
      <c r="B40" s="166"/>
      <c r="C40" s="167"/>
      <c r="D40" s="166"/>
      <c r="E40" s="169"/>
      <c r="F40" s="169"/>
      <c r="G40" s="170"/>
      <c r="H40" s="171"/>
      <c r="I40" s="171"/>
      <c r="J40" s="171"/>
      <c r="K40" s="166"/>
      <c r="L40" s="166"/>
    </row>
    <row r="41" s="158" customFormat="1" customHeight="1" spans="2:12">
      <c r="B41" s="166"/>
      <c r="C41" s="167"/>
      <c r="D41" s="166"/>
      <c r="E41" s="169"/>
      <c r="F41" s="169"/>
      <c r="G41" s="170"/>
      <c r="H41" s="171"/>
      <c r="I41" s="171"/>
      <c r="J41" s="171"/>
      <c r="K41" s="166"/>
      <c r="L41" s="166"/>
    </row>
    <row r="42" s="158" customFormat="1" customHeight="1" spans="2:12">
      <c r="B42" s="166"/>
      <c r="C42" s="167"/>
      <c r="D42" s="166"/>
      <c r="E42" s="169"/>
      <c r="F42" s="169"/>
      <c r="G42" s="170"/>
      <c r="H42" s="171"/>
      <c r="I42" s="171"/>
      <c r="J42" s="171"/>
      <c r="K42" s="166"/>
      <c r="L42" s="166"/>
    </row>
    <row r="43" s="158" customFormat="1" customHeight="1" spans="2:12">
      <c r="B43" s="166"/>
      <c r="C43" s="167"/>
      <c r="D43" s="166"/>
      <c r="E43" s="169"/>
      <c r="F43" s="169"/>
      <c r="G43" s="170"/>
      <c r="H43" s="171"/>
      <c r="I43" s="171"/>
      <c r="J43" s="171"/>
      <c r="K43" s="166"/>
      <c r="L43" s="166"/>
    </row>
    <row r="44" s="158" customFormat="1" customHeight="1" spans="2:12">
      <c r="B44" s="166"/>
      <c r="C44" s="167"/>
      <c r="D44" s="166"/>
      <c r="E44" s="169"/>
      <c r="F44" s="169"/>
      <c r="G44" s="170"/>
      <c r="H44" s="171"/>
      <c r="I44" s="171"/>
      <c r="J44" s="171"/>
      <c r="K44" s="166"/>
      <c r="L44" s="166"/>
    </row>
    <row r="45" s="158" customFormat="1" customHeight="1" spans="2:12">
      <c r="B45" s="166"/>
      <c r="C45" s="167"/>
      <c r="D45" s="166"/>
      <c r="E45" s="169"/>
      <c r="F45" s="169"/>
      <c r="G45" s="170"/>
      <c r="H45" s="171"/>
      <c r="I45" s="171"/>
      <c r="J45" s="171"/>
      <c r="K45" s="166"/>
      <c r="L45" s="166"/>
    </row>
    <row r="46" s="158" customFormat="1" customHeight="1" spans="2:12">
      <c r="B46" s="166"/>
      <c r="C46" s="167"/>
      <c r="D46" s="166"/>
      <c r="E46" s="169"/>
      <c r="F46" s="169"/>
      <c r="G46" s="170"/>
      <c r="H46" s="171"/>
      <c r="I46" s="171"/>
      <c r="J46" s="171"/>
      <c r="K46" s="166"/>
      <c r="L46" s="166"/>
    </row>
    <row r="47" s="158" customFormat="1" customHeight="1" spans="2:12">
      <c r="B47" s="166"/>
      <c r="C47" s="167"/>
      <c r="D47" s="166"/>
      <c r="E47" s="169"/>
      <c r="F47" s="169"/>
      <c r="G47" s="170"/>
      <c r="H47" s="171"/>
      <c r="I47" s="171"/>
      <c r="J47" s="171"/>
      <c r="K47" s="166"/>
      <c r="L47" s="166"/>
    </row>
    <row r="48" s="158" customFormat="1" customHeight="1" spans="2:12">
      <c r="B48" s="166"/>
      <c r="C48" s="167"/>
      <c r="D48" s="166"/>
      <c r="E48" s="169"/>
      <c r="F48" s="169"/>
      <c r="G48" s="170"/>
      <c r="H48" s="171"/>
      <c r="I48" s="171"/>
      <c r="J48" s="171"/>
      <c r="K48" s="166"/>
      <c r="L48" s="166"/>
    </row>
    <row r="49" s="158" customFormat="1" customHeight="1" spans="2:12">
      <c r="B49" s="166"/>
      <c r="C49" s="167"/>
      <c r="D49" s="166"/>
      <c r="E49" s="169"/>
      <c r="F49" s="169"/>
      <c r="G49" s="170"/>
      <c r="H49" s="171"/>
      <c r="I49" s="171"/>
      <c r="J49" s="171"/>
      <c r="K49" s="166"/>
      <c r="L49" s="166"/>
    </row>
    <row r="50" s="158" customFormat="1" customHeight="1" spans="2:12">
      <c r="B50" s="166"/>
      <c r="C50" s="167"/>
      <c r="D50" s="166"/>
      <c r="E50" s="169"/>
      <c r="F50" s="169"/>
      <c r="G50" s="170"/>
      <c r="H50" s="171"/>
      <c r="I50" s="171"/>
      <c r="J50" s="171"/>
      <c r="K50" s="166"/>
      <c r="L50" s="166"/>
    </row>
    <row r="51" s="158" customFormat="1" customHeight="1" spans="2:12">
      <c r="B51" s="166"/>
      <c r="C51" s="167"/>
      <c r="D51" s="166"/>
      <c r="E51" s="169"/>
      <c r="F51" s="169"/>
      <c r="G51" s="170"/>
      <c r="H51" s="171"/>
      <c r="I51" s="171"/>
      <c r="J51" s="171"/>
      <c r="K51" s="166"/>
      <c r="L51" s="166"/>
    </row>
    <row r="52" customHeight="1" spans="2:12">
      <c r="I52" s="173">
        <f>YEAR('Gen Outb'!X6)</f>
        <v>2020</v>
      </c>
      <c r="J52" s="173"/>
      <c r="K52" s="174">
        <f>MONTH('Gen Outb'!X6)</f>
        <v>11</v>
      </c>
      <c r="L52" s="174">
        <f>DAY('Gen Outb'!X6)</f>
        <v>25</v>
      </c>
    </row>
  </sheetData>
  <mergeCells count="82">
    <mergeCell ref="C4:E4"/>
    <mergeCell ref="C5:F5"/>
    <mergeCell ref="I5:L5"/>
    <mergeCell ref="C6:F6"/>
    <mergeCell ref="I6:L6"/>
    <mergeCell ref="H8:I8"/>
    <mergeCell ref="K8:L8"/>
    <mergeCell ref="H9:I9"/>
    <mergeCell ref="K9:L9"/>
    <mergeCell ref="H10:I10"/>
    <mergeCell ref="K10:L10"/>
    <mergeCell ref="H11:I11"/>
    <mergeCell ref="K11:L11"/>
    <mergeCell ref="H12:I12"/>
    <mergeCell ref="K12:L12"/>
    <mergeCell ref="H13:I13"/>
    <mergeCell ref="K13:L13"/>
    <mergeCell ref="H14:I14"/>
    <mergeCell ref="K14:L14"/>
    <mergeCell ref="H15:I15"/>
    <mergeCell ref="K15:L15"/>
    <mergeCell ref="H16:I16"/>
    <mergeCell ref="K16:L16"/>
    <mergeCell ref="H17:I17"/>
    <mergeCell ref="K17:L17"/>
    <mergeCell ref="H18:I18"/>
    <mergeCell ref="K18:L18"/>
    <mergeCell ref="H19:I19"/>
    <mergeCell ref="K19:L19"/>
    <mergeCell ref="H20:I20"/>
    <mergeCell ref="K20:L20"/>
    <mergeCell ref="H21:I21"/>
    <mergeCell ref="K21:L21"/>
    <mergeCell ref="H22:I22"/>
    <mergeCell ref="K22:L22"/>
    <mergeCell ref="H23:I23"/>
    <mergeCell ref="K23:L23"/>
    <mergeCell ref="H24:I24"/>
    <mergeCell ref="K24:L24"/>
    <mergeCell ref="H25:I25"/>
    <mergeCell ref="K25:L25"/>
    <mergeCell ref="H26:I26"/>
    <mergeCell ref="K26:L26"/>
    <mergeCell ref="C31:E31"/>
    <mergeCell ref="C32:F32"/>
    <mergeCell ref="I32:L32"/>
    <mergeCell ref="C33:F33"/>
    <mergeCell ref="I33:L33"/>
    <mergeCell ref="H35:I35"/>
    <mergeCell ref="K35:L35"/>
    <mergeCell ref="H36:I36"/>
    <mergeCell ref="K36:L36"/>
    <mergeCell ref="H37:I37"/>
    <mergeCell ref="K37:L37"/>
    <mergeCell ref="H38:I38"/>
    <mergeCell ref="K38:L38"/>
    <mergeCell ref="H39:I39"/>
    <mergeCell ref="K39:L39"/>
    <mergeCell ref="H40:I40"/>
    <mergeCell ref="K40:L40"/>
    <mergeCell ref="H41:I41"/>
    <mergeCell ref="K41:L41"/>
    <mergeCell ref="H42:I42"/>
    <mergeCell ref="K42:L42"/>
    <mergeCell ref="H43:I43"/>
    <mergeCell ref="K43:L43"/>
    <mergeCell ref="H44:I44"/>
    <mergeCell ref="K44:L44"/>
    <mergeCell ref="H45:I45"/>
    <mergeCell ref="K45:L45"/>
    <mergeCell ref="H46:I46"/>
    <mergeCell ref="K46:L46"/>
    <mergeCell ref="H47:I47"/>
    <mergeCell ref="K47:L47"/>
    <mergeCell ref="H48:I48"/>
    <mergeCell ref="K48:L48"/>
    <mergeCell ref="H49:I49"/>
    <mergeCell ref="K49:L49"/>
    <mergeCell ref="H50:I50"/>
    <mergeCell ref="K50:L50"/>
    <mergeCell ref="H51:I51"/>
    <mergeCell ref="K51:L51"/>
  </mergeCells>
  <pageMargins left="0.235416666666667" right="0.235416666666667" top="0.747916666666667" bottom="0.747916666666667" header="0.313888888888889" footer="0.313888888888889"/>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0"/>
  <dimension ref="A1:AD53"/>
  <sheetViews>
    <sheetView tabSelected="1" view="pageBreakPreview" zoomScale="85" zoomScaleNormal="100" workbookViewId="0">
      <selection activeCell="E25" sqref="E25:J25"/>
    </sheetView>
  </sheetViews>
  <sheetFormatPr defaultColWidth="9" defaultRowHeight="13.5"/>
  <cols>
    <col min="1" max="1" width="4.775" style="31" customWidth="1"/>
    <col min="2" max="2" width="2.33333333333333" style="31" customWidth="1"/>
    <col min="3" max="3" width="4.44166666666667" style="31" customWidth="1"/>
    <col min="4" max="4" width="2.88333333333333" style="31" customWidth="1"/>
    <col min="5" max="5" width="3.33333333333333" style="31" customWidth="1"/>
    <col min="6" max="6" width="3.21666666666667" style="31" customWidth="1"/>
    <col min="7" max="7" width="3.88333333333333" style="31" customWidth="1"/>
    <col min="8" max="8" width="4.10833333333333" style="31" customWidth="1"/>
    <col min="9" max="9" width="7.775" style="31" customWidth="1"/>
    <col min="10" max="10" width="2.775" style="31" customWidth="1"/>
    <col min="11" max="11" width="5.33333333333333" style="31" customWidth="1"/>
    <col min="12" max="12" width="2.33333333333333" style="31" customWidth="1"/>
    <col min="13" max="13" width="4.66666666666667" style="31" customWidth="1"/>
    <col min="14" max="14" width="2.775" style="31" customWidth="1"/>
    <col min="15" max="15" width="3.21666666666667" style="31" customWidth="1"/>
    <col min="16" max="16" width="3.66666666666667" style="31" customWidth="1"/>
    <col min="17" max="17" width="3.88333333333333" style="31" customWidth="1"/>
    <col min="18" max="18" width="4.33333333333333" style="31" customWidth="1"/>
    <col min="19" max="19" width="5.88333333333333" style="31" customWidth="1"/>
    <col min="20" max="20" width="4.88333333333333" style="31" customWidth="1"/>
    <col min="21" max="16384" width="9" style="31"/>
  </cols>
  <sheetData>
    <row r="1" ht="18.75" spans="1:20">
      <c r="A1" s="94" t="s">
        <v>688</v>
      </c>
      <c r="B1" s="94"/>
      <c r="C1" s="94"/>
      <c r="D1" s="94"/>
      <c r="E1" s="95" t="s">
        <v>689</v>
      </c>
      <c r="F1" s="96"/>
      <c r="G1" s="95"/>
      <c r="H1" s="95"/>
      <c r="I1" s="95"/>
      <c r="J1" s="95"/>
      <c r="K1" s="95"/>
      <c r="L1" s="95"/>
      <c r="M1" s="95"/>
      <c r="N1" s="95"/>
      <c r="O1" s="95"/>
      <c r="P1" s="95"/>
      <c r="Q1" s="97"/>
      <c r="R1" s="97"/>
      <c r="S1" s="97"/>
      <c r="T1" s="98"/>
    </row>
    <row r="2" customHeight="1" spans="1:20">
      <c r="A2" s="99" t="s">
        <v>606</v>
      </c>
      <c r="B2" s="99"/>
      <c r="C2" s="99"/>
      <c r="D2" s="99"/>
      <c r="E2" s="99"/>
      <c r="F2" s="99"/>
      <c r="G2" s="99"/>
      <c r="H2" s="99"/>
      <c r="I2" s="99"/>
      <c r="J2" s="100"/>
      <c r="K2" s="100"/>
      <c r="L2" s="100"/>
      <c r="M2" s="100"/>
      <c r="N2" s="100"/>
      <c r="O2" s="100"/>
      <c r="P2" s="100"/>
      <c r="Q2" s="100"/>
      <c r="R2" s="100"/>
      <c r="S2" s="100"/>
      <c r="T2" s="100"/>
    </row>
    <row r="3" ht="18.75" customHeight="1" spans="1:20">
      <c r="A3" s="101" t="s">
        <v>690</v>
      </c>
      <c r="B3" s="102"/>
      <c r="C3" s="102"/>
      <c r="D3" s="102"/>
      <c r="E3" s="102"/>
      <c r="F3" s="102"/>
      <c r="G3" s="102"/>
      <c r="H3" s="102"/>
      <c r="I3" s="102"/>
      <c r="J3" s="102"/>
      <c r="K3" s="102"/>
      <c r="L3" s="102"/>
      <c r="M3" s="102"/>
      <c r="N3" s="102"/>
      <c r="O3" s="102"/>
      <c r="P3" s="102"/>
      <c r="Q3" s="102"/>
      <c r="R3" s="102"/>
      <c r="S3" s="102"/>
      <c r="T3" s="102"/>
    </row>
    <row r="4" ht="15.75" customHeight="1" spans="1:20">
      <c r="A4" s="48" t="s">
        <v>691</v>
      </c>
      <c r="B4" s="103"/>
      <c r="C4" s="104">
        <v>1234567</v>
      </c>
      <c r="D4" s="104"/>
      <c r="E4" s="104"/>
      <c r="F4" s="104"/>
      <c r="G4" s="104"/>
      <c r="H4" s="103"/>
      <c r="I4" s="103"/>
      <c r="J4" s="103"/>
      <c r="K4" s="103"/>
      <c r="L4" s="103"/>
      <c r="M4" s="103"/>
      <c r="N4" s="103"/>
      <c r="O4" s="103"/>
      <c r="P4" s="103"/>
      <c r="Q4" s="103"/>
      <c r="R4" s="103"/>
      <c r="S4" s="103"/>
      <c r="T4" s="103"/>
    </row>
    <row r="5" spans="1:20">
      <c r="A5" s="105" t="s">
        <v>692</v>
      </c>
      <c r="B5" s="106"/>
      <c r="C5" s="106"/>
      <c r="D5" s="106"/>
      <c r="E5" s="106"/>
      <c r="F5" s="106"/>
      <c r="G5" s="106"/>
      <c r="H5" s="106"/>
      <c r="I5" s="106"/>
      <c r="J5" s="106"/>
      <c r="K5" s="106"/>
      <c r="L5" s="106"/>
      <c r="M5" s="106"/>
      <c r="N5" s="106"/>
      <c r="O5" s="106"/>
      <c r="P5" s="106"/>
      <c r="Q5" s="106"/>
      <c r="R5" s="106"/>
      <c r="S5" s="106"/>
      <c r="T5" s="107"/>
    </row>
    <row r="6" ht="9.75" customHeight="1" spans="1:20">
      <c r="A6" s="108"/>
      <c r="B6" s="108"/>
      <c r="C6" s="108"/>
      <c r="D6" s="108"/>
      <c r="E6" s="108"/>
      <c r="F6" s="108"/>
      <c r="G6" s="108"/>
      <c r="H6" s="108"/>
      <c r="I6" s="108"/>
      <c r="J6" s="108"/>
      <c r="K6" s="100"/>
      <c r="L6" s="100"/>
      <c r="M6" s="100"/>
      <c r="N6" s="100"/>
      <c r="O6" s="100"/>
      <c r="P6" s="100"/>
      <c r="Q6" s="100"/>
      <c r="R6" s="100"/>
      <c r="S6" s="100"/>
      <c r="T6" s="100"/>
    </row>
    <row r="7" spans="1:20">
      <c r="A7" s="108" t="s">
        <v>693</v>
      </c>
      <c r="B7" s="100"/>
      <c r="C7" s="100"/>
      <c r="D7" s="100"/>
      <c r="E7" s="100"/>
      <c r="F7" s="100"/>
      <c r="G7" s="100"/>
      <c r="H7" s="100"/>
      <c r="I7" s="100"/>
      <c r="J7" s="100"/>
      <c r="K7" s="100"/>
      <c r="L7" s="100"/>
      <c r="M7" s="100"/>
      <c r="N7" s="100"/>
      <c r="O7" s="100"/>
      <c r="P7" s="100"/>
      <c r="Q7" s="100"/>
      <c r="R7" s="100"/>
      <c r="S7" s="100"/>
      <c r="T7" s="100"/>
    </row>
    <row r="8" ht="9.75" customHeight="1" spans="1:20">
      <c r="A8" s="109"/>
      <c r="B8" s="109"/>
      <c r="C8" s="109"/>
      <c r="D8" s="109"/>
      <c r="E8" s="109"/>
      <c r="F8" s="109"/>
      <c r="G8" s="109"/>
      <c r="H8" s="109"/>
      <c r="I8" s="109"/>
      <c r="J8" s="109"/>
      <c r="K8" s="109"/>
      <c r="L8" s="109"/>
      <c r="M8" s="109"/>
      <c r="N8" s="109"/>
      <c r="O8" s="109"/>
      <c r="P8" s="109"/>
      <c r="Q8" s="109"/>
      <c r="R8" s="109"/>
      <c r="S8" s="109"/>
    </row>
    <row r="9" spans="1:20">
      <c r="A9" s="110" t="s">
        <v>694</v>
      </c>
      <c r="B9" s="107"/>
      <c r="C9" s="107"/>
      <c r="D9" s="107"/>
      <c r="E9" s="107"/>
      <c r="F9" s="107"/>
      <c r="G9" s="107"/>
      <c r="H9" s="107"/>
      <c r="I9" s="107"/>
      <c r="J9" s="107"/>
      <c r="K9" s="107"/>
      <c r="L9" s="111"/>
      <c r="M9" s="111"/>
      <c r="N9" s="111"/>
      <c r="O9" s="111"/>
      <c r="P9" s="111"/>
      <c r="Q9" s="111"/>
      <c r="R9" s="111"/>
      <c r="S9" s="111"/>
    </row>
    <row r="10" ht="9.75" customHeight="1" spans="1:20">
      <c r="A10" s="110"/>
    </row>
    <row r="11" spans="1:20">
      <c r="A11" s="110" t="s">
        <v>695</v>
      </c>
      <c r="B11" s="111"/>
      <c r="C11" s="111"/>
      <c r="D11" s="111"/>
      <c r="E11" s="111"/>
      <c r="F11" s="111"/>
      <c r="G11" s="111"/>
      <c r="H11" s="111"/>
      <c r="I11" s="111"/>
      <c r="J11" s="111"/>
      <c r="K11" s="111"/>
      <c r="L11" s="111"/>
      <c r="M11" s="111"/>
      <c r="N11" s="111"/>
      <c r="O11" s="111"/>
      <c r="P11" s="111"/>
      <c r="Q11" s="111"/>
      <c r="R11" s="111"/>
      <c r="S11" s="111"/>
    </row>
    <row r="12" ht="9.75" customHeight="1" spans="1:20">
      <c r="A12" s="110"/>
    </row>
    <row r="13" spans="1:20">
      <c r="A13" s="110" t="s">
        <v>696</v>
      </c>
      <c r="B13" s="111"/>
      <c r="C13" s="111"/>
      <c r="D13" s="111"/>
      <c r="E13" s="111"/>
      <c r="F13" s="111"/>
      <c r="G13" s="111"/>
      <c r="H13" s="111"/>
      <c r="I13" s="111"/>
      <c r="J13" s="111"/>
      <c r="K13" s="111"/>
      <c r="L13" s="111"/>
      <c r="M13" s="111"/>
      <c r="N13" s="111"/>
      <c r="O13" s="111"/>
      <c r="P13" s="111"/>
      <c r="Q13" s="111"/>
      <c r="R13" s="111"/>
      <c r="S13" s="111"/>
    </row>
    <row r="14" ht="9.75" customHeight="1" spans="1:20">
      <c r="A14" s="110"/>
    </row>
    <row r="15" spans="1:20">
      <c r="A15" s="110" t="s">
        <v>697</v>
      </c>
      <c r="B15" s="111"/>
      <c r="C15" s="111"/>
      <c r="D15" s="111"/>
      <c r="E15" s="111"/>
      <c r="F15" s="111"/>
      <c r="G15" s="111"/>
      <c r="H15" s="111"/>
      <c r="I15" s="111"/>
      <c r="J15" s="111"/>
      <c r="K15" s="111"/>
      <c r="L15" s="111"/>
      <c r="M15" s="111"/>
      <c r="N15" s="111"/>
      <c r="O15" s="111"/>
      <c r="P15" s="111"/>
      <c r="Q15" s="111"/>
      <c r="R15" s="111"/>
      <c r="S15" s="111"/>
    </row>
    <row r="16" ht="9.75" customHeight="1" spans="1:20">
      <c r="A16" s="110"/>
    </row>
    <row r="17" spans="1:23">
      <c r="A17" s="112" t="s">
        <v>698</v>
      </c>
      <c r="B17" s="36"/>
      <c r="C17" s="36"/>
      <c r="D17" s="36"/>
      <c r="E17" s="36"/>
      <c r="F17" s="36"/>
      <c r="G17" s="36"/>
      <c r="H17" s="36"/>
      <c r="I17" s="36"/>
      <c r="J17" s="36"/>
      <c r="K17" s="36"/>
      <c r="L17" s="36"/>
      <c r="M17" s="36"/>
      <c r="N17" s="36"/>
      <c r="O17" s="36"/>
      <c r="P17" s="36"/>
      <c r="Q17" s="36"/>
      <c r="R17" s="36"/>
      <c r="S17" s="36"/>
    </row>
    <row r="18" customHeight="1"/>
    <row r="19" ht="15.75" customHeight="1" spans="1:23">
      <c r="B19" s="113" t="s">
        <v>699</v>
      </c>
      <c r="C19" s="31" t="s">
        <v>486</v>
      </c>
      <c r="F19" s="95" t="s">
        <v>700</v>
      </c>
      <c r="G19" s="95"/>
      <c r="H19" s="95"/>
      <c r="I19" s="95"/>
      <c r="J19" s="95"/>
      <c r="L19" s="113" t="s">
        <v>701</v>
      </c>
      <c r="M19" s="31" t="s">
        <v>702</v>
      </c>
      <c r="Q19" s="114" t="str">
        <f>'Gen Inb'!M6&amp;'Gen Inb'!M7</f>
        <v>集装箱轮Container</v>
      </c>
      <c r="R19" s="114"/>
      <c r="S19" s="114"/>
      <c r="T19" s="30"/>
    </row>
    <row r="20" ht="9" customHeight="1" spans="1:23">
      <c r="B20" s="113"/>
      <c r="F20" s="95"/>
      <c r="G20" s="95"/>
      <c r="H20" s="95"/>
      <c r="I20" s="95"/>
      <c r="J20" s="95"/>
      <c r="L20" s="115"/>
      <c r="Q20" s="114"/>
      <c r="R20" s="114"/>
      <c r="S20" s="114"/>
      <c r="T20" s="30"/>
    </row>
    <row r="21" ht="15.75" spans="1:23">
      <c r="B21" s="115"/>
      <c r="C21" s="116" t="s">
        <v>703</v>
      </c>
      <c r="D21" s="117"/>
      <c r="E21" s="117"/>
      <c r="F21" s="118" t="s">
        <v>704</v>
      </c>
      <c r="G21" s="118"/>
      <c r="H21" s="118"/>
      <c r="I21" s="118"/>
      <c r="J21" s="118"/>
      <c r="L21" s="115"/>
      <c r="M21" s="116" t="s">
        <v>705</v>
      </c>
      <c r="N21" s="117"/>
      <c r="O21" s="117"/>
      <c r="P21" s="117"/>
      <c r="Q21" s="119"/>
      <c r="R21" s="119"/>
      <c r="S21" s="119"/>
      <c r="T21" s="30"/>
    </row>
    <row r="22" ht="9" customHeight="1" spans="1:23">
      <c r="B22" s="115"/>
      <c r="H22" s="115"/>
      <c r="L22" s="115"/>
      <c r="T22" s="30"/>
    </row>
    <row r="23" ht="15.75" spans="1:23">
      <c r="B23" s="113" t="s">
        <v>706</v>
      </c>
      <c r="C23" s="31" t="s">
        <v>487</v>
      </c>
      <c r="F23" s="95" t="s">
        <v>707</v>
      </c>
      <c r="G23" s="95"/>
      <c r="H23" s="95"/>
      <c r="I23" s="95"/>
      <c r="J23" s="95"/>
      <c r="L23" s="113" t="s">
        <v>708</v>
      </c>
      <c r="M23" s="31" t="s">
        <v>25</v>
      </c>
      <c r="P23" s="95">
        <v>12184</v>
      </c>
      <c r="Q23" s="95"/>
      <c r="R23" s="95"/>
      <c r="S23" s="95"/>
      <c r="T23" s="30"/>
    </row>
    <row r="24" ht="9" customHeight="1" spans="1:23">
      <c r="B24" s="113"/>
      <c r="F24" s="95"/>
      <c r="G24" s="95"/>
      <c r="H24" s="95"/>
      <c r="I24" s="95"/>
      <c r="J24" s="95"/>
      <c r="L24" s="115"/>
      <c r="P24" s="95"/>
      <c r="Q24" s="95"/>
      <c r="R24" s="95"/>
      <c r="S24" s="95"/>
      <c r="T24" s="30"/>
    </row>
    <row r="25" ht="15.75" customHeight="1" spans="1:23">
      <c r="B25" s="115"/>
      <c r="C25" s="116" t="s">
        <v>338</v>
      </c>
      <c r="D25" s="117"/>
      <c r="E25" s="120" t="s">
        <v>709</v>
      </c>
      <c r="F25" s="121"/>
      <c r="G25" s="121"/>
      <c r="H25" s="121"/>
      <c r="I25" s="121"/>
      <c r="J25" s="121"/>
      <c r="L25" s="115"/>
      <c r="M25" s="122" t="s">
        <v>710</v>
      </c>
      <c r="N25" s="123"/>
      <c r="O25" s="123"/>
      <c r="P25" s="124"/>
      <c r="Q25" s="124"/>
      <c r="R25" s="124"/>
      <c r="S25" s="124"/>
      <c r="T25" s="30"/>
    </row>
    <row r="26" ht="9" customHeight="1" spans="1:23">
      <c r="B26" s="115"/>
      <c r="H26" s="115"/>
      <c r="L26" s="115"/>
      <c r="T26" s="30"/>
    </row>
    <row r="27" ht="15.75" spans="1:23">
      <c r="B27" s="113" t="s">
        <v>711</v>
      </c>
      <c r="C27" s="31" t="s">
        <v>712</v>
      </c>
      <c r="F27" s="125">
        <v>46223</v>
      </c>
      <c r="G27" s="125"/>
      <c r="H27" s="125"/>
      <c r="I27" s="125"/>
      <c r="L27" s="113" t="s">
        <v>713</v>
      </c>
      <c r="M27" s="31" t="s">
        <v>714</v>
      </c>
      <c r="Q27" s="3" t="s">
        <v>715</v>
      </c>
      <c r="R27" s="3"/>
      <c r="S27" s="3"/>
      <c r="T27" s="30"/>
      <c r="W27" s="126" t="s">
        <v>113</v>
      </c>
    </row>
    <row r="28" ht="9" customHeight="1" spans="1:23">
      <c r="B28" s="113"/>
      <c r="F28" s="125"/>
      <c r="G28" s="125"/>
      <c r="H28" s="125"/>
      <c r="I28" s="125"/>
      <c r="J28" s="1"/>
      <c r="L28" s="115"/>
      <c r="Q28" s="3"/>
      <c r="R28" s="3"/>
      <c r="S28" s="3"/>
      <c r="T28" s="30"/>
    </row>
    <row r="29" ht="15.75" spans="1:23">
      <c r="B29" s="115"/>
      <c r="C29" s="116" t="s">
        <v>716</v>
      </c>
      <c r="D29" s="117"/>
      <c r="E29" s="117"/>
      <c r="F29" s="127"/>
      <c r="G29" s="127"/>
      <c r="H29" s="127"/>
      <c r="I29" s="127"/>
      <c r="J29" s="64"/>
      <c r="L29" s="115"/>
      <c r="M29" s="116" t="s">
        <v>717</v>
      </c>
      <c r="N29" s="117"/>
      <c r="O29" s="117"/>
      <c r="P29" s="117"/>
      <c r="Q29" s="121"/>
      <c r="R29" s="121"/>
      <c r="S29" s="121"/>
      <c r="T29" s="30"/>
    </row>
    <row r="30" ht="9" customHeight="1" spans="1:23">
      <c r="B30" s="115"/>
      <c r="H30" s="115"/>
      <c r="L30" s="115"/>
      <c r="T30" s="30"/>
    </row>
    <row r="31" ht="15.75" spans="1:23">
      <c r="B31" s="113" t="s">
        <v>718</v>
      </c>
      <c r="C31" s="31" t="s">
        <v>719</v>
      </c>
      <c r="T31" s="30"/>
    </row>
    <row r="32" ht="9" customHeight="1" spans="1:23">
      <c r="T32" s="30"/>
    </row>
    <row r="33" ht="15" spans="1:20">
      <c r="C33" s="128" t="s">
        <v>720</v>
      </c>
      <c r="T33" s="30"/>
    </row>
    <row r="34" ht="9.75" customHeight="1" spans="1:20">
      <c r="C34" s="129" t="s">
        <v>721</v>
      </c>
      <c r="D34"/>
      <c r="E34"/>
      <c r="F34"/>
      <c r="G34"/>
      <c r="H34"/>
      <c r="I34"/>
      <c r="J34"/>
      <c r="K34"/>
      <c r="L34"/>
      <c r="M34"/>
      <c r="N34"/>
      <c r="O34"/>
      <c r="P34"/>
      <c r="Q34"/>
      <c r="R34"/>
      <c r="S34"/>
      <c r="T34" s="30"/>
    </row>
    <row r="35" customHeight="1" spans="1:20">
      <c r="C35" s="130"/>
      <c r="D35" s="130"/>
      <c r="E35" s="130"/>
      <c r="F35" s="130"/>
      <c r="G35" s="130"/>
      <c r="H35" s="130"/>
      <c r="I35" s="130"/>
      <c r="J35" s="130"/>
      <c r="K35" s="130"/>
      <c r="L35" s="130"/>
      <c r="M35" s="130"/>
      <c r="N35" s="130"/>
      <c r="O35" s="130"/>
      <c r="P35" s="130"/>
      <c r="Q35" s="130"/>
      <c r="R35" s="130"/>
      <c r="S35" s="130"/>
      <c r="T35" s="30"/>
    </row>
    <row r="36" ht="9.75" customHeight="1" spans="1:20">
      <c r="T36" s="30"/>
    </row>
    <row r="37" ht="15.75" spans="1:20">
      <c r="C37" s="36" t="s">
        <v>722</v>
      </c>
      <c r="O37" s="31" t="s">
        <v>723</v>
      </c>
      <c r="T37" s="30"/>
    </row>
    <row r="38" ht="9.75" customHeight="1" spans="1:20">
      <c r="T38" s="30"/>
    </row>
    <row r="39" ht="15.75" spans="1:20">
      <c r="A39" s="31" t="s">
        <v>724</v>
      </c>
      <c r="T39" s="30"/>
    </row>
    <row r="40" ht="9.75" customHeight="1" spans="1:20">
      <c r="T40" s="30"/>
    </row>
    <row r="41" ht="15" spans="1:20">
      <c r="C41" s="131" t="s">
        <v>725</v>
      </c>
      <c r="D41" s="131"/>
      <c r="E41" s="131"/>
      <c r="F41" s="131"/>
      <c r="G41" s="131"/>
      <c r="H41" s="131"/>
      <c r="I41" s="131"/>
      <c r="J41" s="131"/>
      <c r="K41" s="131"/>
      <c r="L41" s="131"/>
      <c r="M41" s="131"/>
      <c r="N41" s="131"/>
      <c r="O41" s="131"/>
      <c r="P41" s="131"/>
      <c r="Q41" s="131"/>
      <c r="R41" s="131"/>
      <c r="S41" s="131"/>
      <c r="T41" s="131"/>
    </row>
    <row r="42" ht="9.75" customHeight="1" spans="1:20">
      <c r="C42" s="109"/>
      <c r="D42" s="109"/>
      <c r="E42" s="109"/>
      <c r="F42" s="109"/>
      <c r="G42" s="109"/>
      <c r="H42" s="109"/>
      <c r="I42" s="109"/>
      <c r="J42" s="109"/>
      <c r="K42" s="109"/>
      <c r="L42" s="109"/>
      <c r="M42" s="109"/>
      <c r="N42" s="109"/>
      <c r="O42" s="109"/>
      <c r="P42" s="109"/>
      <c r="Q42" s="109"/>
      <c r="R42" s="109"/>
      <c r="S42" s="109"/>
      <c r="T42" s="132"/>
    </row>
    <row r="43" ht="15" spans="1:20">
      <c r="A43" s="128" t="s">
        <v>726</v>
      </c>
      <c r="D43" s="109"/>
      <c r="E43" s="109"/>
      <c r="F43" s="109"/>
      <c r="G43" s="109"/>
      <c r="H43" s="109"/>
      <c r="I43" s="109"/>
      <c r="J43" s="109"/>
      <c r="K43" s="109"/>
      <c r="L43" s="109"/>
      <c r="M43" s="109"/>
      <c r="N43" s="109"/>
      <c r="O43" s="109"/>
      <c r="P43" s="109"/>
      <c r="Q43" s="109"/>
      <c r="R43" s="109"/>
      <c r="S43" s="109"/>
      <c r="T43" s="132"/>
    </row>
    <row r="44" ht="9.75" customHeight="1" spans="1:20">
      <c r="T44" s="30"/>
    </row>
    <row r="45" ht="15.75" spans="1:20">
      <c r="C45" s="48" t="s">
        <v>727</v>
      </c>
      <c r="K45" s="48" t="s">
        <v>728</v>
      </c>
      <c r="T45" s="30"/>
    </row>
    <row r="46" ht="9.75" customHeight="1" spans="1:20">
      <c r="E46" s="133"/>
      <c r="F46" s="133"/>
      <c r="G46" s="133"/>
      <c r="H46" s="133"/>
      <c r="I46" s="133"/>
      <c r="O46" s="1"/>
      <c r="P46" s="1"/>
      <c r="Q46" s="1"/>
      <c r="R46" s="1"/>
      <c r="S46" s="1"/>
      <c r="T46" s="30"/>
    </row>
    <row r="47" ht="15.75" spans="1:20">
      <c r="A47" s="31" t="s">
        <v>729</v>
      </c>
      <c r="E47" s="134"/>
      <c r="F47" s="134"/>
      <c r="G47" s="134"/>
      <c r="H47" s="134"/>
      <c r="I47" s="134"/>
      <c r="J47" s="31" t="s">
        <v>730</v>
      </c>
      <c r="O47" s="30"/>
      <c r="P47" s="134"/>
      <c r="Q47" s="134"/>
      <c r="R47" s="134"/>
      <c r="S47" s="134"/>
      <c r="T47" s="30"/>
    </row>
    <row r="48" ht="9.75" customHeight="1" spans="1:20">
      <c r="T48" s="30"/>
    </row>
    <row r="49" ht="15.75" spans="1:30">
      <c r="A49" s="48" t="s">
        <v>731</v>
      </c>
      <c r="F49" s="44"/>
      <c r="G49" s="44"/>
      <c r="H49" s="44"/>
      <c r="I49" s="44"/>
      <c r="J49" s="48" t="s">
        <v>732</v>
      </c>
      <c r="O49" s="44"/>
      <c r="P49" s="44"/>
      <c r="Q49" s="44"/>
      <c r="R49" s="135"/>
      <c r="S49" s="135"/>
      <c r="AA49" s="136"/>
      <c r="AB49" s="136"/>
      <c r="AC49" s="136"/>
      <c r="AD49" s="136"/>
    </row>
    <row r="50" ht="9.75" customHeight="1" spans="1:30">
      <c r="T50" s="30"/>
    </row>
    <row r="51" ht="15.75" spans="1:30">
      <c r="A51" s="31" t="s">
        <v>733</v>
      </c>
      <c r="B51" s="137">
        <f ca="1">YEAR(TODAY())</f>
        <v>2026</v>
      </c>
      <c r="C51" s="137"/>
      <c r="D51" s="138" t="s">
        <v>593</v>
      </c>
      <c r="E51" s="139">
        <f ca="1">MONTH(TODAY())</f>
        <v>7</v>
      </c>
      <c r="F51" s="140" t="s">
        <v>594</v>
      </c>
      <c r="G51" s="141">
        <f ca="1">DAY(TODAY())</f>
        <v>21</v>
      </c>
      <c r="H51" s="31" t="s">
        <v>595</v>
      </c>
      <c r="K51" s="31" t="s">
        <v>733</v>
      </c>
      <c r="L51" s="142">
        <f>YEAR('Gen Inb'!X6)</f>
        <v>2026</v>
      </c>
      <c r="M51" s="142"/>
      <c r="N51" s="138" t="s">
        <v>593</v>
      </c>
      <c r="O51" s="139">
        <f>MONTH('Gen Inb'!X6)</f>
        <v>7</v>
      </c>
      <c r="P51" s="140" t="s">
        <v>594</v>
      </c>
      <c r="Q51" s="143">
        <v>17</v>
      </c>
      <c r="R51" s="31" t="s">
        <v>595</v>
      </c>
      <c r="T51" s="30"/>
    </row>
    <row r="52" ht="9.75" customHeight="1" spans="1:30">
      <c r="A52" s="144"/>
      <c r="B52" s="144"/>
      <c r="C52" s="144"/>
      <c r="D52" s="144"/>
      <c r="E52" s="144"/>
      <c r="F52" s="144"/>
      <c r="G52" s="144"/>
      <c r="H52" s="144"/>
      <c r="I52" s="144"/>
      <c r="J52" s="144"/>
      <c r="K52" s="144"/>
      <c r="L52" s="144"/>
      <c r="M52" s="144"/>
      <c r="N52" s="144"/>
      <c r="O52" s="144"/>
      <c r="P52" s="144"/>
      <c r="Q52" s="48" t="s">
        <v>113</v>
      </c>
      <c r="R52" s="144"/>
      <c r="S52" s="144"/>
      <c r="T52" s="145"/>
    </row>
    <row r="53" ht="15.75" spans="1:30">
      <c r="A53" s="48" t="s">
        <v>294</v>
      </c>
      <c r="B53" s="146" t="s">
        <v>113</v>
      </c>
      <c r="C53" s="146"/>
      <c r="D53" s="147" t="s">
        <v>113</v>
      </c>
      <c r="E53" s="148"/>
      <c r="F53" s="149"/>
      <c r="G53" s="150"/>
      <c r="H53" s="151"/>
      <c r="I53" s="152"/>
      <c r="J53" s="152"/>
      <c r="K53" s="113" t="s">
        <v>294</v>
      </c>
      <c r="L53" s="146" t="s">
        <v>113</v>
      </c>
      <c r="M53" s="146"/>
      <c r="N53" s="147" t="s">
        <v>113</v>
      </c>
      <c r="O53" s="153"/>
      <c r="P53" s="154"/>
      <c r="Q53" s="155"/>
      <c r="R53" s="156"/>
      <c r="S53" s="156"/>
      <c r="T53" s="145"/>
    </row>
  </sheetData>
  <mergeCells count="49">
    <mergeCell ref="A1:D1"/>
    <mergeCell ref="E1:P1"/>
    <mergeCell ref="A2:I2"/>
    <mergeCell ref="A3:T3"/>
    <mergeCell ref="C4:G4"/>
    <mergeCell ref="A5:T5"/>
    <mergeCell ref="A6:T6"/>
    <mergeCell ref="A7:T7"/>
    <mergeCell ref="A8:T8"/>
    <mergeCell ref="A9:T9"/>
    <mergeCell ref="A10:T10"/>
    <mergeCell ref="A11:T11"/>
    <mergeCell ref="A12:T12"/>
    <mergeCell ref="A13:T13"/>
    <mergeCell ref="A14:T14"/>
    <mergeCell ref="A15:T15"/>
    <mergeCell ref="A16:T16"/>
    <mergeCell ref="A17:T17"/>
    <mergeCell ref="A18:T18"/>
    <mergeCell ref="C19:E19"/>
    <mergeCell ref="M19:O19"/>
    <mergeCell ref="C21:E21"/>
    <mergeCell ref="F21:J21"/>
    <mergeCell ref="M21:P21"/>
    <mergeCell ref="C23:E23"/>
    <mergeCell ref="M23:O23"/>
    <mergeCell ref="C25:D25"/>
    <mergeCell ref="E25:J25"/>
    <mergeCell ref="M25:O25"/>
    <mergeCell ref="C27:E27"/>
    <mergeCell ref="M27:O27"/>
    <mergeCell ref="C29:E29"/>
    <mergeCell ref="M29:P29"/>
    <mergeCell ref="C31:M31"/>
    <mergeCell ref="C41:T41"/>
    <mergeCell ref="B51:C51"/>
    <mergeCell ref="L51:M51"/>
    <mergeCell ref="B53:C53"/>
    <mergeCell ref="E53:F53"/>
    <mergeCell ref="L53:M53"/>
    <mergeCell ref="N53:O53"/>
    <mergeCell ref="P53:Q53"/>
    <mergeCell ref="Q27:S29"/>
    <mergeCell ref="F19:J20"/>
    <mergeCell ref="C34:S35"/>
    <mergeCell ref="F23:J24"/>
    <mergeCell ref="Q19:S21"/>
    <mergeCell ref="P23:S25"/>
    <mergeCell ref="F27:I29"/>
  </mergeCells>
  <pageMargins left="0.699305555555556" right="0.699305555555556" top="0.75" bottom="0.75" header="0.3" footer="0.3"/>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1"/>
  <dimension ref="B1:M48"/>
  <sheetViews>
    <sheetView topLeftCell="A20" workbookViewId="0">
      <selection activeCell="N46" sqref="N46"/>
    </sheetView>
  </sheetViews>
  <sheetFormatPr defaultColWidth="9" defaultRowHeight="13.5"/>
  <cols>
    <col min="1" max="1" width="6.10833333333333" customWidth="1"/>
    <col min="2" max="2" width="3.33333333333333" customWidth="1"/>
    <col min="3" max="3" width="6" customWidth="1"/>
    <col min="4" max="4" width="15.6666666666667" customWidth="1"/>
    <col min="5" max="5" width="8.775" customWidth="1"/>
    <col min="6" max="6" width="3.66666666666667" customWidth="1"/>
    <col min="7" max="7" width="7.21666666666667" customWidth="1"/>
    <col min="8" max="8" width="7.10833333333333" customWidth="1"/>
    <col min="9" max="9" width="1.33333333333333" customWidth="1"/>
    <col min="10" max="10" width="2.10833333333333" customWidth="1"/>
    <col min="11" max="11" width="5.10833333333333" customWidth="1"/>
    <col min="12" max="12" width="7.21666666666667" customWidth="1"/>
    <col min="13" max="13" width="6.21666666666667" customWidth="1"/>
    <col min="14" max="14" width="6.10833333333333" customWidth="1"/>
  </cols>
  <sheetData>
    <row r="1" ht="22.5" customHeight="1" spans="2:13">
      <c r="F1" s="55" t="s">
        <v>681</v>
      </c>
    </row>
    <row r="2" ht="22.5" customHeight="1" spans="2:13">
      <c r="F2" s="56" t="s">
        <v>734</v>
      </c>
    </row>
    <row r="3" ht="22.5" customHeight="1" spans="2:13">
      <c r="F3" s="56" t="s">
        <v>735</v>
      </c>
    </row>
    <row r="4" ht="7.5" customHeight="1" spans="2:13">
      <c r="E4" s="57"/>
    </row>
    <row r="5" spans="2:13">
      <c r="C5" s="58" t="s">
        <v>736</v>
      </c>
      <c r="J5" s="59" t="s">
        <v>737</v>
      </c>
    </row>
    <row r="6" spans="2:13">
      <c r="C6" s="58" t="s">
        <v>738</v>
      </c>
      <c r="J6" s="59" t="s">
        <v>739</v>
      </c>
    </row>
    <row r="7" spans="2:13">
      <c r="C7" s="58" t="s">
        <v>740</v>
      </c>
    </row>
    <row r="8" spans="2:13">
      <c r="B8" s="60"/>
      <c r="C8" s="60"/>
      <c r="D8" s="60"/>
      <c r="E8" s="60"/>
      <c r="F8" s="60"/>
      <c r="G8" s="60"/>
      <c r="H8" s="60"/>
      <c r="I8" s="60"/>
      <c r="J8" s="60"/>
      <c r="K8" s="60"/>
      <c r="L8" s="60"/>
      <c r="M8" s="60"/>
    </row>
    <row r="9" ht="18.75" spans="2:13">
      <c r="C9" s="61" t="s">
        <v>741</v>
      </c>
    </row>
    <row r="11" ht="14.25" spans="2:13">
      <c r="D11" s="62" t="s">
        <v>742</v>
      </c>
      <c r="F11" s="63" t="str">
        <f>'Gen Inb'!I6&amp;" "&amp;"("&amp;'Gen Inb'!I7&amp;")"</f>
        <v>环球01  (GLOBAO 01)</v>
      </c>
      <c r="G11" s="63"/>
      <c r="H11" s="63"/>
      <c r="I11" s="63"/>
      <c r="J11" s="63"/>
      <c r="K11" t="s">
        <v>743</v>
      </c>
      <c r="L11" s="64" t="str">
        <f>'Gen Inb'!W8</f>
        <v>俄罗斯东方港</v>
      </c>
      <c r="M11" t="s">
        <v>744</v>
      </c>
    </row>
    <row r="12" ht="14.25" spans="2:13">
      <c r="D12" s="62"/>
    </row>
    <row r="13" spans="2:13">
      <c r="C13" t="s">
        <v>745</v>
      </c>
      <c r="D13" s="66">
        <f>'Gen Inb'!X6</f>
        <v>46219</v>
      </c>
      <c r="E13" s="85">
        <f>'Gen Inb'!X7</f>
        <v>0</v>
      </c>
      <c r="F13" s="68" t="s">
        <v>746</v>
      </c>
      <c r="G13" s="68"/>
      <c r="H13" s="64" t="str">
        <f>'Gen Inb'!K14</f>
        <v>一期   W</v>
      </c>
      <c r="I13" s="64"/>
      <c r="J13" s="64"/>
      <c r="K13" t="s">
        <v>747</v>
      </c>
    </row>
    <row r="15" ht="14.25" spans="2:13">
      <c r="C15" t="s">
        <v>748</v>
      </c>
      <c r="D15" s="66">
        <f>'Gen Outb'!X6</f>
        <v>44160</v>
      </c>
      <c r="E15" s="85">
        <f>'Gen Outb'!X7</f>
        <v>0</v>
      </c>
      <c r="F15" t="s">
        <v>749</v>
      </c>
      <c r="H15" s="86" t="str">
        <f>'Gen Outb'!W8</f>
        <v>示例国籍</v>
      </c>
      <c r="I15" s="86"/>
      <c r="J15" s="86"/>
      <c r="K15" s="62" t="s">
        <v>750</v>
      </c>
    </row>
    <row r="17" spans="3:8">
      <c r="C17" t="s">
        <v>751</v>
      </c>
      <c r="F17" s="72"/>
      <c r="G17" s="72"/>
    </row>
    <row r="18" spans="3:8">
      <c r="F18" s="72"/>
      <c r="G18" s="72"/>
    </row>
    <row r="19" ht="14.25" spans="3:8">
      <c r="D19" s="62" t="s">
        <v>752</v>
      </c>
    </row>
    <row r="21" spans="3:8">
      <c r="C21" t="s">
        <v>753</v>
      </c>
    </row>
    <row r="25" customHeight="1" spans="3:8">
      <c r="E25" s="73"/>
    </row>
    <row r="26" spans="3:8">
      <c r="C26" s="87" t="str">
        <f>"附："&amp;"“"&amp;'Gen Inb'!I6&amp;"”轮资料"</f>
        <v>附：“环球01 ”轮资料</v>
      </c>
    </row>
    <row r="27" customHeight="1" spans="3:8">
      <c r="E27" s="88"/>
      <c r="F27" s="88"/>
      <c r="G27" s="88"/>
      <c r="H27" s="88"/>
    </row>
    <row r="28" customHeight="1" spans="3:8">
      <c r="C28" t="s">
        <v>754</v>
      </c>
      <c r="D28" s="68">
        <f>'Gen Inb'!E12</f>
        <v>15257</v>
      </c>
      <c r="E28" s="89" t="s">
        <v>755</v>
      </c>
      <c r="F28" s="90">
        <f>'Gen Inb'!L12</f>
        <v>7467</v>
      </c>
      <c r="G28" s="90"/>
      <c r="H28" s="90"/>
    </row>
    <row r="29" spans="3:8">
      <c r="C29" t="s">
        <v>756</v>
      </c>
      <c r="D29" s="68" t="str">
        <f>'Gen Inb'!F8</f>
        <v>利比里亚</v>
      </c>
      <c r="E29" s="76" t="s">
        <v>757</v>
      </c>
      <c r="F29" s="68" t="str">
        <f>'Gen Inb'!R26</f>
        <v>3E9028</v>
      </c>
      <c r="G29" s="68"/>
      <c r="H29" s="68"/>
    </row>
    <row r="30" spans="3:8">
      <c r="C30" t="s">
        <v>758</v>
      </c>
      <c r="D30" s="68">
        <f>'Gen Inb'!R27</f>
        <v>1234567</v>
      </c>
    </row>
    <row r="32" spans="3:8">
      <c r="C32" s="91" t="s">
        <v>759</v>
      </c>
      <c r="D32" s="91" t="str">
        <f>"共"&amp;" "&amp;'Gen Inb'!H24&amp;" "&amp;"名"</f>
        <v>共 19 名</v>
      </c>
    </row>
    <row r="34" spans="3:13">
      <c r="C34" s="92" t="str">
        <f>'Gen Inb'!W25&amp;"  "&amp;'Gen Inb'!X25&amp;"  "&amp;'Gen Inb'!W26&amp;"  "&amp;'Gen Inb'!X26&amp;"  "&amp;'Gen Inb'!W27</f>
        <v>中国19名        </v>
      </c>
      <c r="E34" s="93"/>
    </row>
    <row r="35" spans="3:13">
      <c r="C35" s="92" t="str">
        <f>'Gen Inb'!X27&amp;"  "&amp;'Gen Inb'!W28&amp;"  "&amp;'Gen Inb'!X28&amp;"  "&amp;'Gen Inb'!W29&amp;"  "&amp;'Gen Inb'!X29</f>
        <v>        </v>
      </c>
    </row>
    <row r="36" spans="3:13">
      <c r="C36" s="92"/>
    </row>
    <row r="37" spans="3:13">
      <c r="C37" s="92"/>
    </row>
    <row r="38" spans="3:13">
      <c r="C38" s="65"/>
    </row>
    <row r="39" spans="3:13">
      <c r="E39" s="93"/>
    </row>
    <row r="40" spans="3:13">
      <c r="C40" s="93"/>
    </row>
    <row r="41" spans="3:13">
      <c r="C41" s="93"/>
    </row>
    <row r="44" ht="18.75" spans="3:13">
      <c r="M44" s="75">
        <f>'Gen Inb'!P12</f>
        <v>0</v>
      </c>
    </row>
    <row r="46" ht="14.25" spans="3:13">
      <c r="H46" s="62"/>
      <c r="M46" s="76" t="str">
        <f>'Gen Inb'!V12&amp;"  "&amp;'Gen Inb'!V14</f>
        <v>联系人  13800000000</v>
      </c>
    </row>
    <row r="48" spans="3:13">
      <c r="I48" s="77">
        <f ca="1">TODAY()</f>
        <v>46224</v>
      </c>
      <c r="J48" s="77"/>
      <c r="K48" s="77"/>
      <c r="L48" s="77"/>
      <c r="M48" s="77"/>
    </row>
  </sheetData>
  <mergeCells count="6">
    <mergeCell ref="F11:J11"/>
    <mergeCell ref="H13:J13"/>
    <mergeCell ref="H15:J15"/>
    <mergeCell ref="F28:H28"/>
    <mergeCell ref="F29:H29"/>
    <mergeCell ref="I48:M48"/>
  </mergeCells>
  <pageMargins left="0.699305555555556" right="0.699305555555556" top="0.75" bottom="0.75" header="0.3" footer="0.3"/>
  <pageSetup paperSize="9" orientation="portrait"/>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2"/>
  <dimension ref="B1:M30"/>
  <sheetViews>
    <sheetView workbookViewId="0">
      <selection activeCell="D23" sqref="D23"/>
    </sheetView>
  </sheetViews>
  <sheetFormatPr defaultColWidth="9" defaultRowHeight="13.5"/>
  <cols>
    <col min="1" max="1" width="6.10833333333333" customWidth="1"/>
    <col min="2" max="2" width="3.33333333333333" customWidth="1"/>
    <col min="3" max="3" width="6.88333333333333" customWidth="1"/>
    <col min="4" max="4" width="15.6666666666667" customWidth="1"/>
    <col min="5" max="5" width="7.88333333333333" customWidth="1"/>
    <col min="6" max="6" width="3.66666666666667" customWidth="1"/>
    <col min="7" max="7" width="7.21666666666667" customWidth="1"/>
    <col min="8" max="8" width="7.10833333333333" customWidth="1"/>
    <col min="9" max="9" width="1.33333333333333" customWidth="1"/>
    <col min="10" max="10" width="9" customWidth="1"/>
    <col min="11" max="11" width="5.10833333333333" customWidth="1"/>
    <col min="12" max="12" width="7.21666666666667" customWidth="1"/>
    <col min="13" max="13" width="6.21666666666667" customWidth="1"/>
    <col min="14" max="14" width="6.10833333333333" customWidth="1"/>
  </cols>
  <sheetData>
    <row r="1" ht="22.5" customHeight="1" spans="2:13">
      <c r="F1" s="55" t="s">
        <v>681</v>
      </c>
    </row>
    <row r="2" ht="22.5" customHeight="1" spans="2:13">
      <c r="F2" s="56" t="s">
        <v>734</v>
      </c>
    </row>
    <row r="3" ht="22.5" customHeight="1" spans="2:13">
      <c r="F3" s="56" t="s">
        <v>735</v>
      </c>
    </row>
    <row r="4" ht="7.5" customHeight="1" spans="2:13">
      <c r="E4" s="57"/>
    </row>
    <row r="5" spans="2:13">
      <c r="C5" s="58" t="s">
        <v>736</v>
      </c>
      <c r="J5" s="59" t="s">
        <v>737</v>
      </c>
    </row>
    <row r="6" spans="2:13">
      <c r="C6" s="58" t="s">
        <v>738</v>
      </c>
      <c r="J6" s="59" t="s">
        <v>739</v>
      </c>
    </row>
    <row r="7" spans="2:13">
      <c r="C7" s="58" t="s">
        <v>740</v>
      </c>
    </row>
    <row r="8" spans="2:13">
      <c r="B8" s="60"/>
      <c r="C8" s="60"/>
      <c r="D8" s="60"/>
      <c r="E8" s="60"/>
      <c r="F8" s="60"/>
      <c r="G8" s="60"/>
      <c r="H8" s="60"/>
      <c r="I8" s="60"/>
      <c r="J8" s="60"/>
      <c r="K8" s="60"/>
      <c r="L8" s="60"/>
      <c r="M8" s="60"/>
    </row>
    <row r="9" ht="18.75" spans="2:13">
      <c r="C9" s="61" t="s">
        <v>760</v>
      </c>
    </row>
    <row r="10" ht="18.75" spans="2:13">
      <c r="C10" s="61"/>
    </row>
    <row r="11" ht="18.75" spans="2:13">
      <c r="C11" s="61"/>
    </row>
    <row r="12" ht="18.75" spans="2:13">
      <c r="C12" s="61"/>
    </row>
    <row r="14" spans="2:13">
      <c r="C14" s="65"/>
      <c r="D14" s="78" t="s">
        <v>761</v>
      </c>
      <c r="E14" s="65"/>
      <c r="F14" s="79" t="str">
        <f>'Gen Inb'!I6&amp;" "&amp;"("&amp;'Gen Inb'!I7&amp;")"</f>
        <v>环球01  (GLOBAO 01)</v>
      </c>
      <c r="G14" s="79"/>
      <c r="H14" s="79"/>
      <c r="I14" s="79"/>
      <c r="J14" s="79"/>
      <c r="K14" s="65" t="s">
        <v>743</v>
      </c>
      <c r="L14" s="80" t="str">
        <f>'Gen Inb'!W8</f>
        <v>俄罗斯东方港</v>
      </c>
      <c r="M14" s="65" t="s">
        <v>744</v>
      </c>
    </row>
    <row r="15" spans="2:13">
      <c r="C15" s="65"/>
      <c r="D15" s="78"/>
      <c r="E15" s="65"/>
      <c r="F15" s="65"/>
      <c r="G15" s="65"/>
      <c r="H15" s="65"/>
      <c r="I15" s="65"/>
      <c r="J15" s="65"/>
      <c r="K15" s="65"/>
      <c r="L15" s="65"/>
      <c r="M15" s="65"/>
    </row>
    <row r="16" spans="2:13">
      <c r="C16" s="65" t="s">
        <v>745</v>
      </c>
      <c r="D16" s="81">
        <f>'Gen Inb'!X6</f>
        <v>46219</v>
      </c>
      <c r="E16" s="82">
        <f>'IMO Gen Inb'!E6</f>
        <v>0</v>
      </c>
      <c r="F16" s="83" t="s">
        <v>746</v>
      </c>
      <c r="G16" s="83"/>
      <c r="H16" s="84" t="s">
        <v>762</v>
      </c>
      <c r="I16" s="80"/>
      <c r="J16" s="80"/>
      <c r="K16" s="65" t="s">
        <v>747</v>
      </c>
      <c r="L16" s="65"/>
      <c r="M16" s="65"/>
    </row>
    <row r="17" spans="3:13">
      <c r="C17" s="65"/>
      <c r="D17" s="65"/>
      <c r="E17" s="65"/>
      <c r="F17" s="65"/>
      <c r="G17" s="65"/>
      <c r="H17" s="65"/>
      <c r="I17" s="65"/>
      <c r="J17" s="65"/>
      <c r="K17" s="65"/>
      <c r="L17" s="65"/>
      <c r="M17" s="65"/>
    </row>
    <row r="18" spans="3:13">
      <c r="C18" s="65" t="s">
        <v>748</v>
      </c>
      <c r="D18" s="81">
        <f>'Gen Outb'!X6</f>
        <v>44160</v>
      </c>
      <c r="E18" s="82">
        <f>'IMO Gen Outb'!E6</f>
        <v>0</v>
      </c>
      <c r="F18" s="65" t="s">
        <v>749</v>
      </c>
      <c r="G18" s="65"/>
      <c r="H18" s="80" t="str">
        <f>'Gen Outb'!W8</f>
        <v>示例国籍</v>
      </c>
      <c r="I18" s="80"/>
      <c r="J18" s="80"/>
      <c r="K18" s="80"/>
      <c r="L18" s="65"/>
      <c r="M18" s="65"/>
    </row>
    <row r="19" spans="3:13">
      <c r="C19" s="65"/>
      <c r="D19" s="65"/>
      <c r="E19" s="65"/>
      <c r="F19" s="65"/>
      <c r="G19" s="65"/>
      <c r="H19" s="65"/>
      <c r="I19" s="65"/>
      <c r="J19" s="65"/>
      <c r="K19" s="65"/>
      <c r="L19" s="65"/>
      <c r="M19" s="65"/>
    </row>
    <row r="26" ht="18.75" spans="3:13">
      <c r="M26" s="75">
        <f>'Gen Inb'!P12</f>
        <v>0</v>
      </c>
    </row>
    <row r="28" ht="14.25" spans="3:13">
      <c r="H28" s="62"/>
      <c r="M28" s="76" t="str">
        <f>'Gen Inb'!V12&amp;"  "&amp;'Gen Inb'!V14</f>
        <v>联系人  13800000000</v>
      </c>
    </row>
    <row r="30" spans="3:13">
      <c r="I30" s="77">
        <f ca="1">TODAY()</f>
        <v>46224</v>
      </c>
      <c r="J30" s="77"/>
      <c r="K30" s="77"/>
      <c r="L30" s="77"/>
      <c r="M30" s="77"/>
    </row>
  </sheetData>
  <mergeCells count="4">
    <mergeCell ref="F14:J14"/>
    <mergeCell ref="H16:J16"/>
    <mergeCell ref="H18:K18"/>
    <mergeCell ref="I30:M30"/>
  </mergeCells>
  <pageMargins left="0.699305555555556" right="0.699305555555556" top="0.75" bottom="0.75" header="0.3" footer="0.3"/>
  <pageSetup paperSize="9" orientation="portrait"/>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3"/>
  <dimension ref="A1:O48"/>
  <sheetViews>
    <sheetView topLeftCell="A2" workbookViewId="0">
      <selection activeCell="E31" sqref="E31:H32"/>
    </sheetView>
  </sheetViews>
  <sheetFormatPr defaultColWidth="9" defaultRowHeight="13.5"/>
  <cols>
    <col min="1" max="1" width="6.10833333333333" customWidth="1"/>
    <col min="2" max="2" width="3.33333333333333" customWidth="1"/>
    <col min="3" max="3" width="6.88333333333333" customWidth="1"/>
    <col min="4" max="4" width="15.6666666666667" customWidth="1"/>
    <col min="5" max="5" width="7.88333333333333" customWidth="1"/>
    <col min="6" max="6" width="3.66666666666667" customWidth="1"/>
    <col min="7" max="7" width="7.21666666666667" customWidth="1"/>
    <col min="8" max="8" width="7.10833333333333" customWidth="1"/>
    <col min="9" max="9" width="1.33333333333333" customWidth="1"/>
    <col min="10" max="10" width="2.10833333333333" customWidth="1"/>
    <col min="11" max="11" width="5.10833333333333" customWidth="1"/>
    <col min="12" max="12" width="7.21666666666667" customWidth="1"/>
    <col min="13" max="13" width="6.21666666666667" customWidth="1"/>
    <col min="14" max="14" width="6.10833333333333" customWidth="1"/>
  </cols>
  <sheetData>
    <row r="1" ht="22.5" customHeight="1" spans="2:13">
      <c r="F1" s="55" t="s">
        <v>681</v>
      </c>
    </row>
    <row r="2" ht="22.5" customHeight="1" spans="2:13">
      <c r="F2" s="56" t="s">
        <v>734</v>
      </c>
    </row>
    <row r="3" ht="22.5" customHeight="1" spans="2:13">
      <c r="F3" s="56" t="s">
        <v>735</v>
      </c>
    </row>
    <row r="4" ht="7.5" customHeight="1" spans="2:13">
      <c r="E4" s="57"/>
    </row>
    <row r="5" spans="2:13">
      <c r="C5" s="58" t="s">
        <v>736</v>
      </c>
      <c r="J5" s="59" t="s">
        <v>737</v>
      </c>
    </row>
    <row r="6" spans="2:13">
      <c r="C6" s="58" t="s">
        <v>738</v>
      </c>
      <c r="J6" s="59" t="s">
        <v>739</v>
      </c>
    </row>
    <row r="7" spans="2:13">
      <c r="C7" s="58" t="s">
        <v>740</v>
      </c>
    </row>
    <row r="8" spans="2:13">
      <c r="B8" s="60"/>
      <c r="C8" s="60"/>
      <c r="D8" s="60"/>
      <c r="E8" s="60"/>
      <c r="F8" s="60"/>
      <c r="G8" s="60"/>
      <c r="H8" s="60"/>
      <c r="I8" s="60"/>
      <c r="J8" s="60"/>
      <c r="K8" s="60"/>
      <c r="L8" s="60"/>
      <c r="M8" s="60"/>
    </row>
    <row r="9" ht="18.75" spans="2:13">
      <c r="C9" s="61" t="s">
        <v>763</v>
      </c>
    </row>
    <row r="11" ht="14.25" spans="2:13">
      <c r="D11" s="62" t="s">
        <v>742</v>
      </c>
      <c r="F11" s="63" t="str">
        <f>'Gen Inb'!I6&amp;" "&amp;"("&amp;'Gen Inb'!I7&amp;")"</f>
        <v>环球01  (GLOBAO 01)</v>
      </c>
      <c r="G11" s="63"/>
      <c r="H11" s="63"/>
      <c r="I11" s="63"/>
      <c r="J11" s="63"/>
      <c r="K11" t="s">
        <v>743</v>
      </c>
      <c r="L11" s="64" t="str">
        <f>'Gen Inb'!W8</f>
        <v>俄罗斯东方港</v>
      </c>
      <c r="M11" t="s">
        <v>744</v>
      </c>
    </row>
    <row r="12" ht="14.25" spans="2:13">
      <c r="D12" s="62"/>
    </row>
    <row r="13" spans="2:13">
      <c r="C13" s="65" t="s">
        <v>745</v>
      </c>
      <c r="D13" s="66">
        <f>'Gen Inb'!X6</f>
        <v>46219</v>
      </c>
      <c r="E13" s="67">
        <f>'Pre MSA'!E16</f>
        <v>0</v>
      </c>
      <c r="F13" s="68" t="s">
        <v>746</v>
      </c>
      <c r="G13" s="68"/>
      <c r="H13" s="64" t="str">
        <f>"二期"&amp;'Gen Inb'!M14</f>
        <v>二期</v>
      </c>
      <c r="I13" s="64"/>
      <c r="J13" s="64"/>
      <c r="K13" t="s">
        <v>747</v>
      </c>
    </row>
    <row r="15" spans="2:13">
      <c r="C15" t="s">
        <v>748</v>
      </c>
      <c r="D15" s="66">
        <f>'Gen Outb'!X6</f>
        <v>44160</v>
      </c>
      <c r="E15" s="67">
        <f>'Pre MSA'!E18</f>
        <v>0</v>
      </c>
      <c r="F15" t="s">
        <v>749</v>
      </c>
      <c r="H15" s="64" t="str">
        <f>'Gen Outb'!W8</f>
        <v>示例国籍</v>
      </c>
      <c r="I15" s="64"/>
      <c r="J15" s="64"/>
      <c r="K15" s="64"/>
    </row>
    <row r="16" spans="2:13">
      <c r="D16" s="69"/>
      <c r="E16" s="70"/>
      <c r="H16" s="12"/>
      <c r="I16" s="12"/>
      <c r="J16" s="12"/>
      <c r="K16" s="12"/>
    </row>
    <row r="17" spans="1:15">
      <c r="A17" s="71"/>
      <c r="B17" s="71"/>
      <c r="C17" s="71"/>
      <c r="D17" s="71" t="s">
        <v>764</v>
      </c>
      <c r="E17" s="71"/>
      <c r="F17" s="71"/>
      <c r="G17" s="71"/>
      <c r="H17" s="71"/>
      <c r="I17" s="71"/>
      <c r="J17" s="71"/>
      <c r="K17" s="71"/>
      <c r="L17" s="71"/>
      <c r="M17" s="71"/>
      <c r="N17" s="71"/>
      <c r="O17" s="71"/>
    </row>
    <row r="18" spans="1:15">
      <c r="E18" s="71"/>
      <c r="F18" s="71"/>
      <c r="G18" s="71"/>
      <c r="H18" s="71"/>
      <c r="I18" s="71"/>
      <c r="J18" s="71"/>
      <c r="K18" s="71"/>
      <c r="L18" s="71"/>
      <c r="M18" s="71"/>
      <c r="N18" s="71"/>
      <c r="O18" s="71"/>
    </row>
    <row r="19" spans="1:15">
      <c r="C19" s="71" t="s">
        <v>765</v>
      </c>
      <c r="D19" s="71"/>
      <c r="E19" s="71"/>
      <c r="F19" s="71"/>
      <c r="G19" s="71"/>
      <c r="H19" s="71"/>
      <c r="I19" s="71"/>
      <c r="J19" s="71"/>
      <c r="K19" s="71"/>
      <c r="L19" s="71"/>
      <c r="M19" s="71"/>
      <c r="N19" s="71"/>
      <c r="O19" s="71"/>
    </row>
    <row r="21" spans="1:15">
      <c r="D21" s="65" t="s">
        <v>766</v>
      </c>
      <c r="F21" s="72"/>
      <c r="G21" s="72"/>
    </row>
    <row r="22" spans="1:15">
      <c r="D22" t="s">
        <v>767</v>
      </c>
      <c r="F22" s="72"/>
      <c r="G22" s="72"/>
    </row>
    <row r="23" spans="1:15">
      <c r="D23" t="s">
        <v>768</v>
      </c>
    </row>
    <row r="24" spans="1:15">
      <c r="D24" t="s">
        <v>769</v>
      </c>
    </row>
    <row r="25" spans="1:15">
      <c r="D25" t="s">
        <v>769</v>
      </c>
    </row>
    <row r="26" spans="1:15">
      <c r="D26" s="65" t="s">
        <v>769</v>
      </c>
    </row>
    <row r="27" spans="1:15">
      <c r="D27" t="s">
        <v>769</v>
      </c>
    </row>
    <row r="29" ht="18.75" spans="1:15">
      <c r="E29" s="73" t="s">
        <v>770</v>
      </c>
    </row>
    <row r="31" spans="1:15">
      <c r="E31" s="74">
        <v>41063</v>
      </c>
      <c r="F31" s="74"/>
      <c r="G31" s="74"/>
      <c r="H31" s="74"/>
    </row>
    <row r="32" spans="1:15">
      <c r="E32" s="74"/>
      <c r="F32" s="74"/>
      <c r="G32" s="74"/>
      <c r="H32" s="74"/>
    </row>
    <row r="34" spans="4:13">
      <c r="D34" s="65"/>
    </row>
    <row r="44" ht="18.75" spans="4:13">
      <c r="M44" s="75">
        <f>'Gen Inb'!P12</f>
        <v>0</v>
      </c>
    </row>
    <row r="46" ht="14.25" spans="4:13">
      <c r="H46" s="62"/>
      <c r="M46" s="76" t="str">
        <f>'Gen Inb'!V12&amp;"  "&amp;'Gen Inb'!V14</f>
        <v>联系人  13800000000</v>
      </c>
    </row>
    <row r="48" spans="4:13">
      <c r="I48" s="77">
        <f ca="1">TODAY()</f>
        <v>46224</v>
      </c>
      <c r="J48" s="77"/>
      <c r="K48" s="77"/>
      <c r="L48" s="77"/>
      <c r="M48" s="77"/>
    </row>
  </sheetData>
  <mergeCells count="5">
    <mergeCell ref="F11:J11"/>
    <mergeCell ref="H13:J13"/>
    <mergeCell ref="H15:K15"/>
    <mergeCell ref="I48:M48"/>
    <mergeCell ref="E31:H32"/>
  </mergeCells>
  <pageMargins left="0.699305555555556" right="0.699305555555556" top="0.75" bottom="0.75" header="0.3" footer="0.3"/>
  <pageSetup paperSize="9" orientation="portrait"/>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4"/>
  <dimension ref="A1:H23"/>
  <sheetViews>
    <sheetView workbookViewId="0">
      <selection activeCell="G22" sqref="G22:H22"/>
    </sheetView>
  </sheetViews>
  <sheetFormatPr defaultColWidth="9" defaultRowHeight="13.5" outlineLevelCol="7"/>
  <cols>
    <col min="1" max="1" width="7" style="31" customWidth="1"/>
    <col min="2" max="2" width="8.33333333333333" style="31" customWidth="1"/>
    <col min="3" max="3" width="7.44166666666667" style="31" customWidth="1"/>
    <col min="4" max="4" width="9" style="31"/>
    <col min="5" max="5" width="14.1083333333333" style="31" customWidth="1"/>
    <col min="6" max="6" width="8.10833333333333" style="31" customWidth="1"/>
    <col min="7" max="7" width="10.1083333333333" style="31" customWidth="1"/>
    <col min="8" max="8" width="10.2166666666667" style="31" customWidth="1"/>
    <col min="9" max="256" width="9" style="31"/>
    <col min="257" max="257" width="7" style="31" customWidth="1"/>
    <col min="258" max="258" width="8.33333333333333" style="31" customWidth="1"/>
    <col min="259" max="259" width="7.44166666666667" style="31" customWidth="1"/>
    <col min="260" max="260" width="9" style="31"/>
    <col min="261" max="261" width="14.1083333333333" style="31" customWidth="1"/>
    <col min="262" max="262" width="8.10833333333333" style="31" customWidth="1"/>
    <col min="263" max="263" width="10.1083333333333" style="31" customWidth="1"/>
    <col min="264" max="264" width="10.2166666666667" style="31" customWidth="1"/>
    <col min="265" max="512" width="9" style="31"/>
    <col min="513" max="513" width="7" style="31" customWidth="1"/>
    <col min="514" max="514" width="8.33333333333333" style="31" customWidth="1"/>
    <col min="515" max="515" width="7.44166666666667" style="31" customWidth="1"/>
    <col min="516" max="516" width="9" style="31"/>
    <col min="517" max="517" width="14.1083333333333" style="31" customWidth="1"/>
    <col min="518" max="518" width="8.10833333333333" style="31" customWidth="1"/>
    <col min="519" max="519" width="10.1083333333333" style="31" customWidth="1"/>
    <col min="520" max="520" width="10.2166666666667" style="31" customWidth="1"/>
    <col min="521" max="768" width="9" style="31"/>
    <col min="769" max="769" width="7" style="31" customWidth="1"/>
    <col min="770" max="770" width="8.33333333333333" style="31" customWidth="1"/>
    <col min="771" max="771" width="7.44166666666667" style="31" customWidth="1"/>
    <col min="772" max="772" width="9" style="31"/>
    <col min="773" max="773" width="14.1083333333333" style="31" customWidth="1"/>
    <col min="774" max="774" width="8.10833333333333" style="31" customWidth="1"/>
    <col min="775" max="775" width="10.1083333333333" style="31" customWidth="1"/>
    <col min="776" max="776" width="10.2166666666667" style="31" customWidth="1"/>
    <col min="777" max="1024" width="9" style="31"/>
    <col min="1025" max="1025" width="7" style="31" customWidth="1"/>
    <col min="1026" max="1026" width="8.33333333333333" style="31" customWidth="1"/>
    <col min="1027" max="1027" width="7.44166666666667" style="31" customWidth="1"/>
    <col min="1028" max="1028" width="9" style="31"/>
    <col min="1029" max="1029" width="14.1083333333333" style="31" customWidth="1"/>
    <col min="1030" max="1030" width="8.10833333333333" style="31" customWidth="1"/>
    <col min="1031" max="1031" width="10.1083333333333" style="31" customWidth="1"/>
    <col min="1032" max="1032" width="10.2166666666667" style="31" customWidth="1"/>
    <col min="1033" max="1280" width="9" style="31"/>
    <col min="1281" max="1281" width="7" style="31" customWidth="1"/>
    <col min="1282" max="1282" width="8.33333333333333" style="31" customWidth="1"/>
    <col min="1283" max="1283" width="7.44166666666667" style="31" customWidth="1"/>
    <col min="1284" max="1284" width="9" style="31"/>
    <col min="1285" max="1285" width="14.1083333333333" style="31" customWidth="1"/>
    <col min="1286" max="1286" width="8.10833333333333" style="31" customWidth="1"/>
    <col min="1287" max="1287" width="10.1083333333333" style="31" customWidth="1"/>
    <col min="1288" max="1288" width="10.2166666666667" style="31" customWidth="1"/>
    <col min="1289" max="1536" width="9" style="31"/>
    <col min="1537" max="1537" width="7" style="31" customWidth="1"/>
    <col min="1538" max="1538" width="8.33333333333333" style="31" customWidth="1"/>
    <col min="1539" max="1539" width="7.44166666666667" style="31" customWidth="1"/>
    <col min="1540" max="1540" width="9" style="31"/>
    <col min="1541" max="1541" width="14.1083333333333" style="31" customWidth="1"/>
    <col min="1542" max="1542" width="8.10833333333333" style="31" customWidth="1"/>
    <col min="1543" max="1543" width="10.1083333333333" style="31" customWidth="1"/>
    <col min="1544" max="1544" width="10.2166666666667" style="31" customWidth="1"/>
    <col min="1545" max="1792" width="9" style="31"/>
    <col min="1793" max="1793" width="7" style="31" customWidth="1"/>
    <col min="1794" max="1794" width="8.33333333333333" style="31" customWidth="1"/>
    <col min="1795" max="1795" width="7.44166666666667" style="31" customWidth="1"/>
    <col min="1796" max="1796" width="9" style="31"/>
    <col min="1797" max="1797" width="14.1083333333333" style="31" customWidth="1"/>
    <col min="1798" max="1798" width="8.10833333333333" style="31" customWidth="1"/>
    <col min="1799" max="1799" width="10.1083333333333" style="31" customWidth="1"/>
    <col min="1800" max="1800" width="10.2166666666667" style="31" customWidth="1"/>
    <col min="1801" max="2048" width="9" style="31"/>
    <col min="2049" max="2049" width="7" style="31" customWidth="1"/>
    <col min="2050" max="2050" width="8.33333333333333" style="31" customWidth="1"/>
    <col min="2051" max="2051" width="7.44166666666667" style="31" customWidth="1"/>
    <col min="2052" max="2052" width="9" style="31"/>
    <col min="2053" max="2053" width="14.1083333333333" style="31" customWidth="1"/>
    <col min="2054" max="2054" width="8.10833333333333" style="31" customWidth="1"/>
    <col min="2055" max="2055" width="10.1083333333333" style="31" customWidth="1"/>
    <col min="2056" max="2056" width="10.2166666666667" style="31" customWidth="1"/>
    <col min="2057" max="2304" width="9" style="31"/>
    <col min="2305" max="2305" width="7" style="31" customWidth="1"/>
    <col min="2306" max="2306" width="8.33333333333333" style="31" customWidth="1"/>
    <col min="2307" max="2307" width="7.44166666666667" style="31" customWidth="1"/>
    <col min="2308" max="2308" width="9" style="31"/>
    <col min="2309" max="2309" width="14.1083333333333" style="31" customWidth="1"/>
    <col min="2310" max="2310" width="8.10833333333333" style="31" customWidth="1"/>
    <col min="2311" max="2311" width="10.1083333333333" style="31" customWidth="1"/>
    <col min="2312" max="2312" width="10.2166666666667" style="31" customWidth="1"/>
    <col min="2313" max="2560" width="9" style="31"/>
    <col min="2561" max="2561" width="7" style="31" customWidth="1"/>
    <col min="2562" max="2562" width="8.33333333333333" style="31" customWidth="1"/>
    <col min="2563" max="2563" width="7.44166666666667" style="31" customWidth="1"/>
    <col min="2564" max="2564" width="9" style="31"/>
    <col min="2565" max="2565" width="14.1083333333333" style="31" customWidth="1"/>
    <col min="2566" max="2566" width="8.10833333333333" style="31" customWidth="1"/>
    <col min="2567" max="2567" width="10.1083333333333" style="31" customWidth="1"/>
    <col min="2568" max="2568" width="10.2166666666667" style="31" customWidth="1"/>
    <col min="2569" max="2816" width="9" style="31"/>
    <col min="2817" max="2817" width="7" style="31" customWidth="1"/>
    <col min="2818" max="2818" width="8.33333333333333" style="31" customWidth="1"/>
    <col min="2819" max="2819" width="7.44166666666667" style="31" customWidth="1"/>
    <col min="2820" max="2820" width="9" style="31"/>
    <col min="2821" max="2821" width="14.1083333333333" style="31" customWidth="1"/>
    <col min="2822" max="2822" width="8.10833333333333" style="31" customWidth="1"/>
    <col min="2823" max="2823" width="10.1083333333333" style="31" customWidth="1"/>
    <col min="2824" max="2824" width="10.2166666666667" style="31" customWidth="1"/>
    <col min="2825" max="3072" width="9" style="31"/>
    <col min="3073" max="3073" width="7" style="31" customWidth="1"/>
    <col min="3074" max="3074" width="8.33333333333333" style="31" customWidth="1"/>
    <col min="3075" max="3075" width="7.44166666666667" style="31" customWidth="1"/>
    <col min="3076" max="3076" width="9" style="31"/>
    <col min="3077" max="3077" width="14.1083333333333" style="31" customWidth="1"/>
    <col min="3078" max="3078" width="8.10833333333333" style="31" customWidth="1"/>
    <col min="3079" max="3079" width="10.1083333333333" style="31" customWidth="1"/>
    <col min="3080" max="3080" width="10.2166666666667" style="31" customWidth="1"/>
    <col min="3081" max="3328" width="9" style="31"/>
    <col min="3329" max="3329" width="7" style="31" customWidth="1"/>
    <col min="3330" max="3330" width="8.33333333333333" style="31" customWidth="1"/>
    <col min="3331" max="3331" width="7.44166666666667" style="31" customWidth="1"/>
    <col min="3332" max="3332" width="9" style="31"/>
    <col min="3333" max="3333" width="14.1083333333333" style="31" customWidth="1"/>
    <col min="3334" max="3334" width="8.10833333333333" style="31" customWidth="1"/>
    <col min="3335" max="3335" width="10.1083333333333" style="31" customWidth="1"/>
    <col min="3336" max="3336" width="10.2166666666667" style="31" customWidth="1"/>
    <col min="3337" max="3584" width="9" style="31"/>
    <col min="3585" max="3585" width="7" style="31" customWidth="1"/>
    <col min="3586" max="3586" width="8.33333333333333" style="31" customWidth="1"/>
    <col min="3587" max="3587" width="7.44166666666667" style="31" customWidth="1"/>
    <col min="3588" max="3588" width="9" style="31"/>
    <col min="3589" max="3589" width="14.1083333333333" style="31" customWidth="1"/>
    <col min="3590" max="3590" width="8.10833333333333" style="31" customWidth="1"/>
    <col min="3591" max="3591" width="10.1083333333333" style="31" customWidth="1"/>
    <col min="3592" max="3592" width="10.2166666666667" style="31" customWidth="1"/>
    <col min="3593" max="3840" width="9" style="31"/>
    <col min="3841" max="3841" width="7" style="31" customWidth="1"/>
    <col min="3842" max="3842" width="8.33333333333333" style="31" customWidth="1"/>
    <col min="3843" max="3843" width="7.44166666666667" style="31" customWidth="1"/>
    <col min="3844" max="3844" width="9" style="31"/>
    <col min="3845" max="3845" width="14.1083333333333" style="31" customWidth="1"/>
    <col min="3846" max="3846" width="8.10833333333333" style="31" customWidth="1"/>
    <col min="3847" max="3847" width="10.1083333333333" style="31" customWidth="1"/>
    <col min="3848" max="3848" width="10.2166666666667" style="31" customWidth="1"/>
    <col min="3849" max="4096" width="9" style="31"/>
    <col min="4097" max="4097" width="7" style="31" customWidth="1"/>
    <col min="4098" max="4098" width="8.33333333333333" style="31" customWidth="1"/>
    <col min="4099" max="4099" width="7.44166666666667" style="31" customWidth="1"/>
    <col min="4100" max="4100" width="9" style="31"/>
    <col min="4101" max="4101" width="14.1083333333333" style="31" customWidth="1"/>
    <col min="4102" max="4102" width="8.10833333333333" style="31" customWidth="1"/>
    <col min="4103" max="4103" width="10.1083333333333" style="31" customWidth="1"/>
    <col min="4104" max="4104" width="10.2166666666667" style="31" customWidth="1"/>
    <col min="4105" max="4352" width="9" style="31"/>
    <col min="4353" max="4353" width="7" style="31" customWidth="1"/>
    <col min="4354" max="4354" width="8.33333333333333" style="31" customWidth="1"/>
    <col min="4355" max="4355" width="7.44166666666667" style="31" customWidth="1"/>
    <col min="4356" max="4356" width="9" style="31"/>
    <col min="4357" max="4357" width="14.1083333333333" style="31" customWidth="1"/>
    <col min="4358" max="4358" width="8.10833333333333" style="31" customWidth="1"/>
    <col min="4359" max="4359" width="10.1083333333333" style="31" customWidth="1"/>
    <col min="4360" max="4360" width="10.2166666666667" style="31" customWidth="1"/>
    <col min="4361" max="4608" width="9" style="31"/>
    <col min="4609" max="4609" width="7" style="31" customWidth="1"/>
    <col min="4610" max="4610" width="8.33333333333333" style="31" customWidth="1"/>
    <col min="4611" max="4611" width="7.44166666666667" style="31" customWidth="1"/>
    <col min="4612" max="4612" width="9" style="31"/>
    <col min="4613" max="4613" width="14.1083333333333" style="31" customWidth="1"/>
    <col min="4614" max="4614" width="8.10833333333333" style="31" customWidth="1"/>
    <col min="4615" max="4615" width="10.1083333333333" style="31" customWidth="1"/>
    <col min="4616" max="4616" width="10.2166666666667" style="31" customWidth="1"/>
    <col min="4617" max="4864" width="9" style="31"/>
    <col min="4865" max="4865" width="7" style="31" customWidth="1"/>
    <col min="4866" max="4866" width="8.33333333333333" style="31" customWidth="1"/>
    <col min="4867" max="4867" width="7.44166666666667" style="31" customWidth="1"/>
    <col min="4868" max="4868" width="9" style="31"/>
    <col min="4869" max="4869" width="14.1083333333333" style="31" customWidth="1"/>
    <col min="4870" max="4870" width="8.10833333333333" style="31" customWidth="1"/>
    <col min="4871" max="4871" width="10.1083333333333" style="31" customWidth="1"/>
    <col min="4872" max="4872" width="10.2166666666667" style="31" customWidth="1"/>
    <col min="4873" max="5120" width="9" style="31"/>
    <col min="5121" max="5121" width="7" style="31" customWidth="1"/>
    <col min="5122" max="5122" width="8.33333333333333" style="31" customWidth="1"/>
    <col min="5123" max="5123" width="7.44166666666667" style="31" customWidth="1"/>
    <col min="5124" max="5124" width="9" style="31"/>
    <col min="5125" max="5125" width="14.1083333333333" style="31" customWidth="1"/>
    <col min="5126" max="5126" width="8.10833333333333" style="31" customWidth="1"/>
    <col min="5127" max="5127" width="10.1083333333333" style="31" customWidth="1"/>
    <col min="5128" max="5128" width="10.2166666666667" style="31" customWidth="1"/>
    <col min="5129" max="5376" width="9" style="31"/>
    <col min="5377" max="5377" width="7" style="31" customWidth="1"/>
    <col min="5378" max="5378" width="8.33333333333333" style="31" customWidth="1"/>
    <col min="5379" max="5379" width="7.44166666666667" style="31" customWidth="1"/>
    <col min="5380" max="5380" width="9" style="31"/>
    <col min="5381" max="5381" width="14.1083333333333" style="31" customWidth="1"/>
    <col min="5382" max="5382" width="8.10833333333333" style="31" customWidth="1"/>
    <col min="5383" max="5383" width="10.1083333333333" style="31" customWidth="1"/>
    <col min="5384" max="5384" width="10.2166666666667" style="31" customWidth="1"/>
    <col min="5385" max="5632" width="9" style="31"/>
    <col min="5633" max="5633" width="7" style="31" customWidth="1"/>
    <col min="5634" max="5634" width="8.33333333333333" style="31" customWidth="1"/>
    <col min="5635" max="5635" width="7.44166666666667" style="31" customWidth="1"/>
    <col min="5636" max="5636" width="9" style="31"/>
    <col min="5637" max="5637" width="14.1083333333333" style="31" customWidth="1"/>
    <col min="5638" max="5638" width="8.10833333333333" style="31" customWidth="1"/>
    <col min="5639" max="5639" width="10.1083333333333" style="31" customWidth="1"/>
    <col min="5640" max="5640" width="10.2166666666667" style="31" customWidth="1"/>
    <col min="5641" max="5888" width="9" style="31"/>
    <col min="5889" max="5889" width="7" style="31" customWidth="1"/>
    <col min="5890" max="5890" width="8.33333333333333" style="31" customWidth="1"/>
    <col min="5891" max="5891" width="7.44166666666667" style="31" customWidth="1"/>
    <col min="5892" max="5892" width="9" style="31"/>
    <col min="5893" max="5893" width="14.1083333333333" style="31" customWidth="1"/>
    <col min="5894" max="5894" width="8.10833333333333" style="31" customWidth="1"/>
    <col min="5895" max="5895" width="10.1083333333333" style="31" customWidth="1"/>
    <col min="5896" max="5896" width="10.2166666666667" style="31" customWidth="1"/>
    <col min="5897" max="6144" width="9" style="31"/>
    <col min="6145" max="6145" width="7" style="31" customWidth="1"/>
    <col min="6146" max="6146" width="8.33333333333333" style="31" customWidth="1"/>
    <col min="6147" max="6147" width="7.44166666666667" style="31" customWidth="1"/>
    <col min="6148" max="6148" width="9" style="31"/>
    <col min="6149" max="6149" width="14.1083333333333" style="31" customWidth="1"/>
    <col min="6150" max="6150" width="8.10833333333333" style="31" customWidth="1"/>
    <col min="6151" max="6151" width="10.1083333333333" style="31" customWidth="1"/>
    <col min="6152" max="6152" width="10.2166666666667" style="31" customWidth="1"/>
    <col min="6153" max="6400" width="9" style="31"/>
    <col min="6401" max="6401" width="7" style="31" customWidth="1"/>
    <col min="6402" max="6402" width="8.33333333333333" style="31" customWidth="1"/>
    <col min="6403" max="6403" width="7.44166666666667" style="31" customWidth="1"/>
    <col min="6404" max="6404" width="9" style="31"/>
    <col min="6405" max="6405" width="14.1083333333333" style="31" customWidth="1"/>
    <col min="6406" max="6406" width="8.10833333333333" style="31" customWidth="1"/>
    <col min="6407" max="6407" width="10.1083333333333" style="31" customWidth="1"/>
    <col min="6408" max="6408" width="10.2166666666667" style="31" customWidth="1"/>
    <col min="6409" max="6656" width="9" style="31"/>
    <col min="6657" max="6657" width="7" style="31" customWidth="1"/>
    <col min="6658" max="6658" width="8.33333333333333" style="31" customWidth="1"/>
    <col min="6659" max="6659" width="7.44166666666667" style="31" customWidth="1"/>
    <col min="6660" max="6660" width="9" style="31"/>
    <col min="6661" max="6661" width="14.1083333333333" style="31" customWidth="1"/>
    <col min="6662" max="6662" width="8.10833333333333" style="31" customWidth="1"/>
    <col min="6663" max="6663" width="10.1083333333333" style="31" customWidth="1"/>
    <col min="6664" max="6664" width="10.2166666666667" style="31" customWidth="1"/>
    <col min="6665" max="6912" width="9" style="31"/>
    <col min="6913" max="6913" width="7" style="31" customWidth="1"/>
    <col min="6914" max="6914" width="8.33333333333333" style="31" customWidth="1"/>
    <col min="6915" max="6915" width="7.44166666666667" style="31" customWidth="1"/>
    <col min="6916" max="6916" width="9" style="31"/>
    <col min="6917" max="6917" width="14.1083333333333" style="31" customWidth="1"/>
    <col min="6918" max="6918" width="8.10833333333333" style="31" customWidth="1"/>
    <col min="6919" max="6919" width="10.1083333333333" style="31" customWidth="1"/>
    <col min="6920" max="6920" width="10.2166666666667" style="31" customWidth="1"/>
    <col min="6921" max="7168" width="9" style="31"/>
    <col min="7169" max="7169" width="7" style="31" customWidth="1"/>
    <col min="7170" max="7170" width="8.33333333333333" style="31" customWidth="1"/>
    <col min="7171" max="7171" width="7.44166666666667" style="31" customWidth="1"/>
    <col min="7172" max="7172" width="9" style="31"/>
    <col min="7173" max="7173" width="14.1083333333333" style="31" customWidth="1"/>
    <col min="7174" max="7174" width="8.10833333333333" style="31" customWidth="1"/>
    <col min="7175" max="7175" width="10.1083333333333" style="31" customWidth="1"/>
    <col min="7176" max="7176" width="10.2166666666667" style="31" customWidth="1"/>
    <col min="7177" max="7424" width="9" style="31"/>
    <col min="7425" max="7425" width="7" style="31" customWidth="1"/>
    <col min="7426" max="7426" width="8.33333333333333" style="31" customWidth="1"/>
    <col min="7427" max="7427" width="7.44166666666667" style="31" customWidth="1"/>
    <col min="7428" max="7428" width="9" style="31"/>
    <col min="7429" max="7429" width="14.1083333333333" style="31" customWidth="1"/>
    <col min="7430" max="7430" width="8.10833333333333" style="31" customWidth="1"/>
    <col min="7431" max="7431" width="10.1083333333333" style="31" customWidth="1"/>
    <col min="7432" max="7432" width="10.2166666666667" style="31" customWidth="1"/>
    <col min="7433" max="7680" width="9" style="31"/>
    <col min="7681" max="7681" width="7" style="31" customWidth="1"/>
    <col min="7682" max="7682" width="8.33333333333333" style="31" customWidth="1"/>
    <col min="7683" max="7683" width="7.44166666666667" style="31" customWidth="1"/>
    <col min="7684" max="7684" width="9" style="31"/>
    <col min="7685" max="7685" width="14.1083333333333" style="31" customWidth="1"/>
    <col min="7686" max="7686" width="8.10833333333333" style="31" customWidth="1"/>
    <col min="7687" max="7687" width="10.1083333333333" style="31" customWidth="1"/>
    <col min="7688" max="7688" width="10.2166666666667" style="31" customWidth="1"/>
    <col min="7689" max="7936" width="9" style="31"/>
    <col min="7937" max="7937" width="7" style="31" customWidth="1"/>
    <col min="7938" max="7938" width="8.33333333333333" style="31" customWidth="1"/>
    <col min="7939" max="7939" width="7.44166666666667" style="31" customWidth="1"/>
    <col min="7940" max="7940" width="9" style="31"/>
    <col min="7941" max="7941" width="14.1083333333333" style="31" customWidth="1"/>
    <col min="7942" max="7942" width="8.10833333333333" style="31" customWidth="1"/>
    <col min="7943" max="7943" width="10.1083333333333" style="31" customWidth="1"/>
    <col min="7944" max="7944" width="10.2166666666667" style="31" customWidth="1"/>
    <col min="7945" max="8192" width="9" style="31"/>
    <col min="8193" max="8193" width="7" style="31" customWidth="1"/>
    <col min="8194" max="8194" width="8.33333333333333" style="31" customWidth="1"/>
    <col min="8195" max="8195" width="7.44166666666667" style="31" customWidth="1"/>
    <col min="8196" max="8196" width="9" style="31"/>
    <col min="8197" max="8197" width="14.1083333333333" style="31" customWidth="1"/>
    <col min="8198" max="8198" width="8.10833333333333" style="31" customWidth="1"/>
    <col min="8199" max="8199" width="10.1083333333333" style="31" customWidth="1"/>
    <col min="8200" max="8200" width="10.2166666666667" style="31" customWidth="1"/>
    <col min="8201" max="8448" width="9" style="31"/>
    <col min="8449" max="8449" width="7" style="31" customWidth="1"/>
    <col min="8450" max="8450" width="8.33333333333333" style="31" customWidth="1"/>
    <col min="8451" max="8451" width="7.44166666666667" style="31" customWidth="1"/>
    <col min="8452" max="8452" width="9" style="31"/>
    <col min="8453" max="8453" width="14.1083333333333" style="31" customWidth="1"/>
    <col min="8454" max="8454" width="8.10833333333333" style="31" customWidth="1"/>
    <col min="8455" max="8455" width="10.1083333333333" style="31" customWidth="1"/>
    <col min="8456" max="8456" width="10.2166666666667" style="31" customWidth="1"/>
    <col min="8457" max="8704" width="9" style="31"/>
    <col min="8705" max="8705" width="7" style="31" customWidth="1"/>
    <col min="8706" max="8706" width="8.33333333333333" style="31" customWidth="1"/>
    <col min="8707" max="8707" width="7.44166666666667" style="31" customWidth="1"/>
    <col min="8708" max="8708" width="9" style="31"/>
    <col min="8709" max="8709" width="14.1083333333333" style="31" customWidth="1"/>
    <col min="8710" max="8710" width="8.10833333333333" style="31" customWidth="1"/>
    <col min="8711" max="8711" width="10.1083333333333" style="31" customWidth="1"/>
    <col min="8712" max="8712" width="10.2166666666667" style="31" customWidth="1"/>
    <col min="8713" max="8960" width="9" style="31"/>
    <col min="8961" max="8961" width="7" style="31" customWidth="1"/>
    <col min="8962" max="8962" width="8.33333333333333" style="31" customWidth="1"/>
    <col min="8963" max="8963" width="7.44166666666667" style="31" customWidth="1"/>
    <col min="8964" max="8964" width="9" style="31"/>
    <col min="8965" max="8965" width="14.1083333333333" style="31" customWidth="1"/>
    <col min="8966" max="8966" width="8.10833333333333" style="31" customWidth="1"/>
    <col min="8967" max="8967" width="10.1083333333333" style="31" customWidth="1"/>
    <col min="8968" max="8968" width="10.2166666666667" style="31" customWidth="1"/>
    <col min="8969" max="9216" width="9" style="31"/>
    <col min="9217" max="9217" width="7" style="31" customWidth="1"/>
    <col min="9218" max="9218" width="8.33333333333333" style="31" customWidth="1"/>
    <col min="9219" max="9219" width="7.44166666666667" style="31" customWidth="1"/>
    <col min="9220" max="9220" width="9" style="31"/>
    <col min="9221" max="9221" width="14.1083333333333" style="31" customWidth="1"/>
    <col min="9222" max="9222" width="8.10833333333333" style="31" customWidth="1"/>
    <col min="9223" max="9223" width="10.1083333333333" style="31" customWidth="1"/>
    <col min="9224" max="9224" width="10.2166666666667" style="31" customWidth="1"/>
    <col min="9225" max="9472" width="9" style="31"/>
    <col min="9473" max="9473" width="7" style="31" customWidth="1"/>
    <col min="9474" max="9474" width="8.33333333333333" style="31" customWidth="1"/>
    <col min="9475" max="9475" width="7.44166666666667" style="31" customWidth="1"/>
    <col min="9476" max="9476" width="9" style="31"/>
    <col min="9477" max="9477" width="14.1083333333333" style="31" customWidth="1"/>
    <col min="9478" max="9478" width="8.10833333333333" style="31" customWidth="1"/>
    <col min="9479" max="9479" width="10.1083333333333" style="31" customWidth="1"/>
    <col min="9480" max="9480" width="10.2166666666667" style="31" customWidth="1"/>
    <col min="9481" max="9728" width="9" style="31"/>
    <col min="9729" max="9729" width="7" style="31" customWidth="1"/>
    <col min="9730" max="9730" width="8.33333333333333" style="31" customWidth="1"/>
    <col min="9731" max="9731" width="7.44166666666667" style="31" customWidth="1"/>
    <col min="9732" max="9732" width="9" style="31"/>
    <col min="9733" max="9733" width="14.1083333333333" style="31" customWidth="1"/>
    <col min="9734" max="9734" width="8.10833333333333" style="31" customWidth="1"/>
    <col min="9735" max="9735" width="10.1083333333333" style="31" customWidth="1"/>
    <col min="9736" max="9736" width="10.2166666666667" style="31" customWidth="1"/>
    <col min="9737" max="9984" width="9" style="31"/>
    <col min="9985" max="9985" width="7" style="31" customWidth="1"/>
    <col min="9986" max="9986" width="8.33333333333333" style="31" customWidth="1"/>
    <col min="9987" max="9987" width="7.44166666666667" style="31" customWidth="1"/>
    <col min="9988" max="9988" width="9" style="31"/>
    <col min="9989" max="9989" width="14.1083333333333" style="31" customWidth="1"/>
    <col min="9990" max="9990" width="8.10833333333333" style="31" customWidth="1"/>
    <col min="9991" max="9991" width="10.1083333333333" style="31" customWidth="1"/>
    <col min="9992" max="9992" width="10.2166666666667" style="31" customWidth="1"/>
    <col min="9993" max="10240" width="9" style="31"/>
    <col min="10241" max="10241" width="7" style="31" customWidth="1"/>
    <col min="10242" max="10242" width="8.33333333333333" style="31" customWidth="1"/>
    <col min="10243" max="10243" width="7.44166666666667" style="31" customWidth="1"/>
    <col min="10244" max="10244" width="9" style="31"/>
    <col min="10245" max="10245" width="14.1083333333333" style="31" customWidth="1"/>
    <col min="10246" max="10246" width="8.10833333333333" style="31" customWidth="1"/>
    <col min="10247" max="10247" width="10.1083333333333" style="31" customWidth="1"/>
    <col min="10248" max="10248" width="10.2166666666667" style="31" customWidth="1"/>
    <col min="10249" max="10496" width="9" style="31"/>
    <col min="10497" max="10497" width="7" style="31" customWidth="1"/>
    <col min="10498" max="10498" width="8.33333333333333" style="31" customWidth="1"/>
    <col min="10499" max="10499" width="7.44166666666667" style="31" customWidth="1"/>
    <col min="10500" max="10500" width="9" style="31"/>
    <col min="10501" max="10501" width="14.1083333333333" style="31" customWidth="1"/>
    <col min="10502" max="10502" width="8.10833333333333" style="31" customWidth="1"/>
    <col min="10503" max="10503" width="10.1083333333333" style="31" customWidth="1"/>
    <col min="10504" max="10504" width="10.2166666666667" style="31" customWidth="1"/>
    <col min="10505" max="10752" width="9" style="31"/>
    <col min="10753" max="10753" width="7" style="31" customWidth="1"/>
    <col min="10754" max="10754" width="8.33333333333333" style="31" customWidth="1"/>
    <col min="10755" max="10755" width="7.44166666666667" style="31" customWidth="1"/>
    <col min="10756" max="10756" width="9" style="31"/>
    <col min="10757" max="10757" width="14.1083333333333" style="31" customWidth="1"/>
    <col min="10758" max="10758" width="8.10833333333333" style="31" customWidth="1"/>
    <col min="10759" max="10759" width="10.1083333333333" style="31" customWidth="1"/>
    <col min="10760" max="10760" width="10.2166666666667" style="31" customWidth="1"/>
    <col min="10761" max="11008" width="9" style="31"/>
    <col min="11009" max="11009" width="7" style="31" customWidth="1"/>
    <col min="11010" max="11010" width="8.33333333333333" style="31" customWidth="1"/>
    <col min="11011" max="11011" width="7.44166666666667" style="31" customWidth="1"/>
    <col min="11012" max="11012" width="9" style="31"/>
    <col min="11013" max="11013" width="14.1083333333333" style="31" customWidth="1"/>
    <col min="11014" max="11014" width="8.10833333333333" style="31" customWidth="1"/>
    <col min="11015" max="11015" width="10.1083333333333" style="31" customWidth="1"/>
    <col min="11016" max="11016" width="10.2166666666667" style="31" customWidth="1"/>
    <col min="11017" max="11264" width="9" style="31"/>
    <col min="11265" max="11265" width="7" style="31" customWidth="1"/>
    <col min="11266" max="11266" width="8.33333333333333" style="31" customWidth="1"/>
    <col min="11267" max="11267" width="7.44166666666667" style="31" customWidth="1"/>
    <col min="11268" max="11268" width="9" style="31"/>
    <col min="11269" max="11269" width="14.1083333333333" style="31" customWidth="1"/>
    <col min="11270" max="11270" width="8.10833333333333" style="31" customWidth="1"/>
    <col min="11271" max="11271" width="10.1083333333333" style="31" customWidth="1"/>
    <col min="11272" max="11272" width="10.2166666666667" style="31" customWidth="1"/>
    <col min="11273" max="11520" width="9" style="31"/>
    <col min="11521" max="11521" width="7" style="31" customWidth="1"/>
    <col min="11522" max="11522" width="8.33333333333333" style="31" customWidth="1"/>
    <col min="11523" max="11523" width="7.44166666666667" style="31" customWidth="1"/>
    <col min="11524" max="11524" width="9" style="31"/>
    <col min="11525" max="11525" width="14.1083333333333" style="31" customWidth="1"/>
    <col min="11526" max="11526" width="8.10833333333333" style="31" customWidth="1"/>
    <col min="11527" max="11527" width="10.1083333333333" style="31" customWidth="1"/>
    <col min="11528" max="11528" width="10.2166666666667" style="31" customWidth="1"/>
    <col min="11529" max="11776" width="9" style="31"/>
    <col min="11777" max="11777" width="7" style="31" customWidth="1"/>
    <col min="11778" max="11778" width="8.33333333333333" style="31" customWidth="1"/>
    <col min="11779" max="11779" width="7.44166666666667" style="31" customWidth="1"/>
    <col min="11780" max="11780" width="9" style="31"/>
    <col min="11781" max="11781" width="14.1083333333333" style="31" customWidth="1"/>
    <col min="11782" max="11782" width="8.10833333333333" style="31" customWidth="1"/>
    <col min="11783" max="11783" width="10.1083333333333" style="31" customWidth="1"/>
    <col min="11784" max="11784" width="10.2166666666667" style="31" customWidth="1"/>
    <col min="11785" max="12032" width="9" style="31"/>
    <col min="12033" max="12033" width="7" style="31" customWidth="1"/>
    <col min="12034" max="12034" width="8.33333333333333" style="31" customWidth="1"/>
    <col min="12035" max="12035" width="7.44166666666667" style="31" customWidth="1"/>
    <col min="12036" max="12036" width="9" style="31"/>
    <col min="12037" max="12037" width="14.1083333333333" style="31" customWidth="1"/>
    <col min="12038" max="12038" width="8.10833333333333" style="31" customWidth="1"/>
    <col min="12039" max="12039" width="10.1083333333333" style="31" customWidth="1"/>
    <col min="12040" max="12040" width="10.2166666666667" style="31" customWidth="1"/>
    <col min="12041" max="12288" width="9" style="31"/>
    <col min="12289" max="12289" width="7" style="31" customWidth="1"/>
    <col min="12290" max="12290" width="8.33333333333333" style="31" customWidth="1"/>
    <col min="12291" max="12291" width="7.44166666666667" style="31" customWidth="1"/>
    <col min="12292" max="12292" width="9" style="31"/>
    <col min="12293" max="12293" width="14.1083333333333" style="31" customWidth="1"/>
    <col min="12294" max="12294" width="8.10833333333333" style="31" customWidth="1"/>
    <col min="12295" max="12295" width="10.1083333333333" style="31" customWidth="1"/>
    <col min="12296" max="12296" width="10.2166666666667" style="31" customWidth="1"/>
    <col min="12297" max="12544" width="9" style="31"/>
    <col min="12545" max="12545" width="7" style="31" customWidth="1"/>
    <col min="12546" max="12546" width="8.33333333333333" style="31" customWidth="1"/>
    <col min="12547" max="12547" width="7.44166666666667" style="31" customWidth="1"/>
    <col min="12548" max="12548" width="9" style="31"/>
    <col min="12549" max="12549" width="14.1083333333333" style="31" customWidth="1"/>
    <col min="12550" max="12550" width="8.10833333333333" style="31" customWidth="1"/>
    <col min="12551" max="12551" width="10.1083333333333" style="31" customWidth="1"/>
    <col min="12552" max="12552" width="10.2166666666667" style="31" customWidth="1"/>
    <col min="12553" max="12800" width="9" style="31"/>
    <col min="12801" max="12801" width="7" style="31" customWidth="1"/>
    <col min="12802" max="12802" width="8.33333333333333" style="31" customWidth="1"/>
    <col min="12803" max="12803" width="7.44166666666667" style="31" customWidth="1"/>
    <col min="12804" max="12804" width="9" style="31"/>
    <col min="12805" max="12805" width="14.1083333333333" style="31" customWidth="1"/>
    <col min="12806" max="12806" width="8.10833333333333" style="31" customWidth="1"/>
    <col min="12807" max="12807" width="10.1083333333333" style="31" customWidth="1"/>
    <col min="12808" max="12808" width="10.2166666666667" style="31" customWidth="1"/>
    <col min="12809" max="13056" width="9" style="31"/>
    <col min="13057" max="13057" width="7" style="31" customWidth="1"/>
    <col min="13058" max="13058" width="8.33333333333333" style="31" customWidth="1"/>
    <col min="13059" max="13059" width="7.44166666666667" style="31" customWidth="1"/>
    <col min="13060" max="13060" width="9" style="31"/>
    <col min="13061" max="13061" width="14.1083333333333" style="31" customWidth="1"/>
    <col min="13062" max="13062" width="8.10833333333333" style="31" customWidth="1"/>
    <col min="13063" max="13063" width="10.1083333333333" style="31" customWidth="1"/>
    <col min="13064" max="13064" width="10.2166666666667" style="31" customWidth="1"/>
    <col min="13065" max="13312" width="9" style="31"/>
    <col min="13313" max="13313" width="7" style="31" customWidth="1"/>
    <col min="13314" max="13314" width="8.33333333333333" style="31" customWidth="1"/>
    <col min="13315" max="13315" width="7.44166666666667" style="31" customWidth="1"/>
    <col min="13316" max="13316" width="9" style="31"/>
    <col min="13317" max="13317" width="14.1083333333333" style="31" customWidth="1"/>
    <col min="13318" max="13318" width="8.10833333333333" style="31" customWidth="1"/>
    <col min="13319" max="13319" width="10.1083333333333" style="31" customWidth="1"/>
    <col min="13320" max="13320" width="10.2166666666667" style="31" customWidth="1"/>
    <col min="13321" max="13568" width="9" style="31"/>
    <col min="13569" max="13569" width="7" style="31" customWidth="1"/>
    <col min="13570" max="13570" width="8.33333333333333" style="31" customWidth="1"/>
    <col min="13571" max="13571" width="7.44166666666667" style="31" customWidth="1"/>
    <col min="13572" max="13572" width="9" style="31"/>
    <col min="13573" max="13573" width="14.1083333333333" style="31" customWidth="1"/>
    <col min="13574" max="13574" width="8.10833333333333" style="31" customWidth="1"/>
    <col min="13575" max="13575" width="10.1083333333333" style="31" customWidth="1"/>
    <col min="13576" max="13576" width="10.2166666666667" style="31" customWidth="1"/>
    <col min="13577" max="13824" width="9" style="31"/>
    <col min="13825" max="13825" width="7" style="31" customWidth="1"/>
    <col min="13826" max="13826" width="8.33333333333333" style="31" customWidth="1"/>
    <col min="13827" max="13827" width="7.44166666666667" style="31" customWidth="1"/>
    <col min="13828" max="13828" width="9" style="31"/>
    <col min="13829" max="13829" width="14.1083333333333" style="31" customWidth="1"/>
    <col min="13830" max="13830" width="8.10833333333333" style="31" customWidth="1"/>
    <col min="13831" max="13831" width="10.1083333333333" style="31" customWidth="1"/>
    <col min="13832" max="13832" width="10.2166666666667" style="31" customWidth="1"/>
    <col min="13833" max="14080" width="9" style="31"/>
    <col min="14081" max="14081" width="7" style="31" customWidth="1"/>
    <col min="14082" max="14082" width="8.33333333333333" style="31" customWidth="1"/>
    <col min="14083" max="14083" width="7.44166666666667" style="31" customWidth="1"/>
    <col min="14084" max="14084" width="9" style="31"/>
    <col min="14085" max="14085" width="14.1083333333333" style="31" customWidth="1"/>
    <col min="14086" max="14086" width="8.10833333333333" style="31" customWidth="1"/>
    <col min="14087" max="14087" width="10.1083333333333" style="31" customWidth="1"/>
    <col min="14088" max="14088" width="10.2166666666667" style="31" customWidth="1"/>
    <col min="14089" max="14336" width="9" style="31"/>
    <col min="14337" max="14337" width="7" style="31" customWidth="1"/>
    <col min="14338" max="14338" width="8.33333333333333" style="31" customWidth="1"/>
    <col min="14339" max="14339" width="7.44166666666667" style="31" customWidth="1"/>
    <col min="14340" max="14340" width="9" style="31"/>
    <col min="14341" max="14341" width="14.1083333333333" style="31" customWidth="1"/>
    <col min="14342" max="14342" width="8.10833333333333" style="31" customWidth="1"/>
    <col min="14343" max="14343" width="10.1083333333333" style="31" customWidth="1"/>
    <col min="14344" max="14344" width="10.2166666666667" style="31" customWidth="1"/>
    <col min="14345" max="14592" width="9" style="31"/>
    <col min="14593" max="14593" width="7" style="31" customWidth="1"/>
    <col min="14594" max="14594" width="8.33333333333333" style="31" customWidth="1"/>
    <col min="14595" max="14595" width="7.44166666666667" style="31" customWidth="1"/>
    <col min="14596" max="14596" width="9" style="31"/>
    <col min="14597" max="14597" width="14.1083333333333" style="31" customWidth="1"/>
    <col min="14598" max="14598" width="8.10833333333333" style="31" customWidth="1"/>
    <col min="14599" max="14599" width="10.1083333333333" style="31" customWidth="1"/>
    <col min="14600" max="14600" width="10.2166666666667" style="31" customWidth="1"/>
    <col min="14601" max="14848" width="9" style="31"/>
    <col min="14849" max="14849" width="7" style="31" customWidth="1"/>
    <col min="14850" max="14850" width="8.33333333333333" style="31" customWidth="1"/>
    <col min="14851" max="14851" width="7.44166666666667" style="31" customWidth="1"/>
    <col min="14852" max="14852" width="9" style="31"/>
    <col min="14853" max="14853" width="14.1083333333333" style="31" customWidth="1"/>
    <col min="14854" max="14854" width="8.10833333333333" style="31" customWidth="1"/>
    <col min="14855" max="14855" width="10.1083333333333" style="31" customWidth="1"/>
    <col min="14856" max="14856" width="10.2166666666667" style="31" customWidth="1"/>
    <col min="14857" max="15104" width="9" style="31"/>
    <col min="15105" max="15105" width="7" style="31" customWidth="1"/>
    <col min="15106" max="15106" width="8.33333333333333" style="31" customWidth="1"/>
    <col min="15107" max="15107" width="7.44166666666667" style="31" customWidth="1"/>
    <col min="15108" max="15108" width="9" style="31"/>
    <col min="15109" max="15109" width="14.1083333333333" style="31" customWidth="1"/>
    <col min="15110" max="15110" width="8.10833333333333" style="31" customWidth="1"/>
    <col min="15111" max="15111" width="10.1083333333333" style="31" customWidth="1"/>
    <col min="15112" max="15112" width="10.2166666666667" style="31" customWidth="1"/>
    <col min="15113" max="15360" width="9" style="31"/>
    <col min="15361" max="15361" width="7" style="31" customWidth="1"/>
    <col min="15362" max="15362" width="8.33333333333333" style="31" customWidth="1"/>
    <col min="15363" max="15363" width="7.44166666666667" style="31" customWidth="1"/>
    <col min="15364" max="15364" width="9" style="31"/>
    <col min="15365" max="15365" width="14.1083333333333" style="31" customWidth="1"/>
    <col min="15366" max="15366" width="8.10833333333333" style="31" customWidth="1"/>
    <col min="15367" max="15367" width="10.1083333333333" style="31" customWidth="1"/>
    <col min="15368" max="15368" width="10.2166666666667" style="31" customWidth="1"/>
    <col min="15369" max="15616" width="9" style="31"/>
    <col min="15617" max="15617" width="7" style="31" customWidth="1"/>
    <col min="15618" max="15618" width="8.33333333333333" style="31" customWidth="1"/>
    <col min="15619" max="15619" width="7.44166666666667" style="31" customWidth="1"/>
    <col min="15620" max="15620" width="9" style="31"/>
    <col min="15621" max="15621" width="14.1083333333333" style="31" customWidth="1"/>
    <col min="15622" max="15622" width="8.10833333333333" style="31" customWidth="1"/>
    <col min="15623" max="15623" width="10.1083333333333" style="31" customWidth="1"/>
    <col min="15624" max="15624" width="10.2166666666667" style="31" customWidth="1"/>
    <col min="15625" max="15872" width="9" style="31"/>
    <col min="15873" max="15873" width="7" style="31" customWidth="1"/>
    <col min="15874" max="15874" width="8.33333333333333" style="31" customWidth="1"/>
    <col min="15875" max="15875" width="7.44166666666667" style="31" customWidth="1"/>
    <col min="15876" max="15876" width="9" style="31"/>
    <col min="15877" max="15877" width="14.1083333333333" style="31" customWidth="1"/>
    <col min="15878" max="15878" width="8.10833333333333" style="31" customWidth="1"/>
    <col min="15879" max="15879" width="10.1083333333333" style="31" customWidth="1"/>
    <col min="15880" max="15880" width="10.2166666666667" style="31" customWidth="1"/>
    <col min="15881" max="16128" width="9" style="31"/>
    <col min="16129" max="16129" width="7" style="31" customWidth="1"/>
    <col min="16130" max="16130" width="8.33333333333333" style="31" customWidth="1"/>
    <col min="16131" max="16131" width="7.44166666666667" style="31" customWidth="1"/>
    <col min="16132" max="16132" width="9" style="31"/>
    <col min="16133" max="16133" width="14.1083333333333" style="31" customWidth="1"/>
    <col min="16134" max="16134" width="8.10833333333333" style="31" customWidth="1"/>
    <col min="16135" max="16135" width="10.1083333333333" style="31" customWidth="1"/>
    <col min="16136" max="16136" width="10.2166666666667" style="31" customWidth="1"/>
    <col min="16137" max="16384" width="9" style="31"/>
  </cols>
  <sheetData>
    <row r="1" ht="23.25" spans="1:8">
      <c r="A1" s="32" t="s">
        <v>771</v>
      </c>
      <c r="B1" s="32"/>
      <c r="C1" s="32"/>
      <c r="D1" s="32"/>
      <c r="E1" s="32"/>
      <c r="F1" s="32"/>
      <c r="G1" s="32"/>
      <c r="H1" s="32"/>
    </row>
    <row r="2" ht="23.25" spans="1:8">
      <c r="A2" s="33" t="s">
        <v>772</v>
      </c>
      <c r="B2" s="32"/>
      <c r="C2" s="32"/>
      <c r="D2" s="32"/>
      <c r="E2" s="32"/>
      <c r="F2" s="32"/>
      <c r="G2" s="32"/>
      <c r="H2" s="32"/>
    </row>
    <row r="3" ht="16.5" customHeight="1" spans="1:8">
      <c r="A3" s="31" t="s">
        <v>773</v>
      </c>
    </row>
    <row r="4" ht="16.5" customHeight="1" spans="1:8">
      <c r="A4" s="34" t="s">
        <v>774</v>
      </c>
      <c r="B4" s="35">
        <v>50000</v>
      </c>
      <c r="C4" s="36"/>
      <c r="D4" s="36"/>
      <c r="F4" s="37" t="s">
        <v>775</v>
      </c>
      <c r="H4" s="30"/>
    </row>
    <row r="5" ht="16.5" customHeight="1" spans="1:8">
      <c r="A5" s="34" t="s">
        <v>776</v>
      </c>
      <c r="B5" s="38">
        <v>10000</v>
      </c>
      <c r="C5" s="39"/>
      <c r="D5" s="40"/>
      <c r="F5" s="41" t="s">
        <v>357</v>
      </c>
      <c r="G5" s="42" t="s">
        <v>777</v>
      </c>
      <c r="H5" s="43"/>
    </row>
    <row r="6" ht="5.25" customHeight="1" spans="1:8">
      <c r="A6" s="44"/>
      <c r="B6" s="44"/>
      <c r="C6" s="44"/>
      <c r="D6" s="44"/>
      <c r="E6" s="44"/>
      <c r="F6" s="44"/>
      <c r="G6" s="44"/>
      <c r="H6" s="44"/>
    </row>
    <row r="7" s="30" customFormat="1" ht="5.25" customHeight="1"/>
    <row r="8" ht="15.75" customHeight="1" spans="1:8">
      <c r="A8" s="12" t="s">
        <v>778</v>
      </c>
      <c r="B8" s="12"/>
      <c r="C8" s="12"/>
      <c r="D8" s="12"/>
      <c r="E8" s="12"/>
      <c r="F8" s="12"/>
      <c r="G8" s="12"/>
      <c r="H8" s="12"/>
    </row>
    <row r="9" ht="15.75" customHeight="1" spans="1:8">
      <c r="A9" s="45" t="s">
        <v>779</v>
      </c>
      <c r="B9" s="46"/>
      <c r="C9" s="46"/>
      <c r="D9" s="46"/>
      <c r="E9" s="46"/>
      <c r="F9" s="46"/>
      <c r="G9" s="46"/>
      <c r="H9" s="46"/>
    </row>
    <row r="10" ht="15.75" customHeight="1"/>
    <row r="11" ht="15.75" customHeight="1" spans="1:8">
      <c r="A11" s="1" t="s">
        <v>780</v>
      </c>
      <c r="B11" s="1"/>
      <c r="C11" s="47"/>
    </row>
    <row r="12" ht="15.75" customHeight="1" spans="1:8">
      <c r="A12" s="48" t="s">
        <v>781</v>
      </c>
      <c r="C12" s="38" t="s">
        <v>782</v>
      </c>
      <c r="D12" s="39"/>
      <c r="E12" s="40"/>
      <c r="F12" s="40"/>
      <c r="G12" s="40"/>
      <c r="H12" s="40"/>
    </row>
    <row r="13" ht="15.75" customHeight="1"/>
    <row r="14" ht="15.75" customHeight="1" spans="1:8">
      <c r="A14" s="1" t="s">
        <v>783</v>
      </c>
      <c r="B14" s="1"/>
    </row>
    <row r="15" ht="15.75" customHeight="1" spans="1:8">
      <c r="A15" s="48" t="s">
        <v>784</v>
      </c>
      <c r="C15" s="38" t="s">
        <v>785</v>
      </c>
      <c r="D15" s="39"/>
      <c r="E15" s="40"/>
      <c r="F15" s="40"/>
      <c r="G15" s="40"/>
      <c r="H15" s="40"/>
    </row>
    <row r="16" ht="15.75" customHeight="1" spans="1:8">
      <c r="C16" s="49"/>
      <c r="D16" s="50"/>
      <c r="E16" s="50"/>
      <c r="F16" s="50"/>
      <c r="G16" s="50"/>
      <c r="H16" s="50"/>
    </row>
    <row r="17" ht="15.75" customHeight="1" spans="1:8">
      <c r="A17" s="51" t="s">
        <v>786</v>
      </c>
      <c r="B17" s="51"/>
      <c r="C17" s="51"/>
    </row>
    <row r="18" ht="15.75" customHeight="1" spans="1:8">
      <c r="A18" s="48" t="s">
        <v>787</v>
      </c>
    </row>
    <row r="19" ht="15.75" customHeight="1" spans="1:8">
      <c r="A19" s="48"/>
    </row>
    <row r="20" ht="15.75" customHeight="1" spans="1:8">
      <c r="F20" s="31" t="s">
        <v>788</v>
      </c>
      <c r="G20" s="3" t="s">
        <v>113</v>
      </c>
      <c r="H20" s="52"/>
    </row>
    <row r="21" ht="15.75" customHeight="1" spans="1:8">
      <c r="F21" s="48" t="s">
        <v>789</v>
      </c>
      <c r="G21" s="53"/>
      <c r="H21" s="53"/>
    </row>
    <row r="22" ht="15.75" customHeight="1" spans="1:8">
      <c r="F22" s="31" t="s">
        <v>790</v>
      </c>
      <c r="G22" s="54" t="str">
        <f>'Gen Inb'!I6</f>
        <v>环球01 </v>
      </c>
      <c r="H22" s="54"/>
    </row>
    <row r="23" ht="15.75" customHeight="1" spans="1:8">
      <c r="F23" s="48" t="s">
        <v>791</v>
      </c>
      <c r="G23" s="43" t="str">
        <f>'Gen Inb'!I7</f>
        <v>GLOBAO 01</v>
      </c>
      <c r="H23" s="43"/>
    </row>
  </sheetData>
  <mergeCells count="16">
    <mergeCell ref="A1:H1"/>
    <mergeCell ref="A2:H2"/>
    <mergeCell ref="B4:D4"/>
    <mergeCell ref="B5:C5"/>
    <mergeCell ref="G5:H5"/>
    <mergeCell ref="A6:H6"/>
    <mergeCell ref="A8:H8"/>
    <mergeCell ref="A9:H9"/>
    <mergeCell ref="A11:B11"/>
    <mergeCell ref="C12:H12"/>
    <mergeCell ref="A14:B14"/>
    <mergeCell ref="C15:H15"/>
    <mergeCell ref="A17:C17"/>
    <mergeCell ref="G22:H22"/>
    <mergeCell ref="G23:H23"/>
    <mergeCell ref="G20:H21"/>
  </mergeCells>
  <pageMargins left="0.699305555555556" right="0.699305555555556" top="0.75" bottom="0.75" header="0.3" footer="0.3"/>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5"/>
  <dimension ref="A1:S28"/>
  <sheetViews>
    <sheetView workbookViewId="0">
      <selection activeCell="J15" sqref="J15"/>
    </sheetView>
  </sheetViews>
  <sheetFormatPr defaultColWidth="9" defaultRowHeight="13.5"/>
  <cols>
    <col min="1" max="1" width="13.6666666666667" style="1" customWidth="1"/>
    <col min="2" max="2" width="7.10833333333333" style="1" customWidth="1"/>
    <col min="3" max="3" width="14.1083333333333" style="1" customWidth="1"/>
    <col min="4" max="4" width="15" style="1" customWidth="1"/>
    <col min="5" max="5" width="11.775" style="1" customWidth="1"/>
    <col min="6" max="6" width="17.6666666666667" style="1" customWidth="1"/>
    <col min="7" max="256" width="9" style="1"/>
    <col min="257" max="257" width="13.6666666666667" style="1" customWidth="1"/>
    <col min="258" max="258" width="7.10833333333333" style="1" customWidth="1"/>
    <col min="259" max="259" width="14.1083333333333" style="1" customWidth="1"/>
    <col min="260" max="260" width="15" style="1" customWidth="1"/>
    <col min="261" max="261" width="11.775" style="1" customWidth="1"/>
    <col min="262" max="262" width="17.6666666666667" style="1" customWidth="1"/>
    <col min="263" max="512" width="9" style="1"/>
    <col min="513" max="513" width="13.6666666666667" style="1" customWidth="1"/>
    <col min="514" max="514" width="7.10833333333333" style="1" customWidth="1"/>
    <col min="515" max="515" width="14.1083333333333" style="1" customWidth="1"/>
    <col min="516" max="516" width="15" style="1" customWidth="1"/>
    <col min="517" max="517" width="11.775" style="1" customWidth="1"/>
    <col min="518" max="518" width="17.6666666666667" style="1" customWidth="1"/>
    <col min="519" max="768" width="9" style="1"/>
    <col min="769" max="769" width="13.6666666666667" style="1" customWidth="1"/>
    <col min="770" max="770" width="7.10833333333333" style="1" customWidth="1"/>
    <col min="771" max="771" width="14.1083333333333" style="1" customWidth="1"/>
    <col min="772" max="772" width="15" style="1" customWidth="1"/>
    <col min="773" max="773" width="11.775" style="1" customWidth="1"/>
    <col min="774" max="774" width="17.6666666666667" style="1" customWidth="1"/>
    <col min="775" max="1024" width="9" style="1"/>
    <col min="1025" max="1025" width="13.6666666666667" style="1" customWidth="1"/>
    <col min="1026" max="1026" width="7.10833333333333" style="1" customWidth="1"/>
    <col min="1027" max="1027" width="14.1083333333333" style="1" customWidth="1"/>
    <col min="1028" max="1028" width="15" style="1" customWidth="1"/>
    <col min="1029" max="1029" width="11.775" style="1" customWidth="1"/>
    <col min="1030" max="1030" width="17.6666666666667" style="1" customWidth="1"/>
    <col min="1031" max="1280" width="9" style="1"/>
    <col min="1281" max="1281" width="13.6666666666667" style="1" customWidth="1"/>
    <col min="1282" max="1282" width="7.10833333333333" style="1" customWidth="1"/>
    <col min="1283" max="1283" width="14.1083333333333" style="1" customWidth="1"/>
    <col min="1284" max="1284" width="15" style="1" customWidth="1"/>
    <col min="1285" max="1285" width="11.775" style="1" customWidth="1"/>
    <col min="1286" max="1286" width="17.6666666666667" style="1" customWidth="1"/>
    <col min="1287" max="1536" width="9" style="1"/>
    <col min="1537" max="1537" width="13.6666666666667" style="1" customWidth="1"/>
    <col min="1538" max="1538" width="7.10833333333333" style="1" customWidth="1"/>
    <col min="1539" max="1539" width="14.1083333333333" style="1" customWidth="1"/>
    <col min="1540" max="1540" width="15" style="1" customWidth="1"/>
    <col min="1541" max="1541" width="11.775" style="1" customWidth="1"/>
    <col min="1542" max="1542" width="17.6666666666667" style="1" customWidth="1"/>
    <col min="1543" max="1792" width="9" style="1"/>
    <col min="1793" max="1793" width="13.6666666666667" style="1" customWidth="1"/>
    <col min="1794" max="1794" width="7.10833333333333" style="1" customWidth="1"/>
    <col min="1795" max="1795" width="14.1083333333333" style="1" customWidth="1"/>
    <col min="1796" max="1796" width="15" style="1" customWidth="1"/>
    <col min="1797" max="1797" width="11.775" style="1" customWidth="1"/>
    <col min="1798" max="1798" width="17.6666666666667" style="1" customWidth="1"/>
    <col min="1799" max="2048" width="9" style="1"/>
    <col min="2049" max="2049" width="13.6666666666667" style="1" customWidth="1"/>
    <col min="2050" max="2050" width="7.10833333333333" style="1" customWidth="1"/>
    <col min="2051" max="2051" width="14.1083333333333" style="1" customWidth="1"/>
    <col min="2052" max="2052" width="15" style="1" customWidth="1"/>
    <col min="2053" max="2053" width="11.775" style="1" customWidth="1"/>
    <col min="2054" max="2054" width="17.6666666666667" style="1" customWidth="1"/>
    <col min="2055" max="2304" width="9" style="1"/>
    <col min="2305" max="2305" width="13.6666666666667" style="1" customWidth="1"/>
    <col min="2306" max="2306" width="7.10833333333333" style="1" customWidth="1"/>
    <col min="2307" max="2307" width="14.1083333333333" style="1" customWidth="1"/>
    <col min="2308" max="2308" width="15" style="1" customWidth="1"/>
    <col min="2309" max="2309" width="11.775" style="1" customWidth="1"/>
    <col min="2310" max="2310" width="17.6666666666667" style="1" customWidth="1"/>
    <col min="2311" max="2560" width="9" style="1"/>
    <col min="2561" max="2561" width="13.6666666666667" style="1" customWidth="1"/>
    <col min="2562" max="2562" width="7.10833333333333" style="1" customWidth="1"/>
    <col min="2563" max="2563" width="14.1083333333333" style="1" customWidth="1"/>
    <col min="2564" max="2564" width="15" style="1" customWidth="1"/>
    <col min="2565" max="2565" width="11.775" style="1" customWidth="1"/>
    <col min="2566" max="2566" width="17.6666666666667" style="1" customWidth="1"/>
    <col min="2567" max="2816" width="9" style="1"/>
    <col min="2817" max="2817" width="13.6666666666667" style="1" customWidth="1"/>
    <col min="2818" max="2818" width="7.10833333333333" style="1" customWidth="1"/>
    <col min="2819" max="2819" width="14.1083333333333" style="1" customWidth="1"/>
    <col min="2820" max="2820" width="15" style="1" customWidth="1"/>
    <col min="2821" max="2821" width="11.775" style="1" customWidth="1"/>
    <col min="2822" max="2822" width="17.6666666666667" style="1" customWidth="1"/>
    <col min="2823" max="3072" width="9" style="1"/>
    <col min="3073" max="3073" width="13.6666666666667" style="1" customWidth="1"/>
    <col min="3074" max="3074" width="7.10833333333333" style="1" customWidth="1"/>
    <col min="3075" max="3075" width="14.1083333333333" style="1" customWidth="1"/>
    <col min="3076" max="3076" width="15" style="1" customWidth="1"/>
    <col min="3077" max="3077" width="11.775" style="1" customWidth="1"/>
    <col min="3078" max="3078" width="17.6666666666667" style="1" customWidth="1"/>
    <col min="3079" max="3328" width="9" style="1"/>
    <col min="3329" max="3329" width="13.6666666666667" style="1" customWidth="1"/>
    <col min="3330" max="3330" width="7.10833333333333" style="1" customWidth="1"/>
    <col min="3331" max="3331" width="14.1083333333333" style="1" customWidth="1"/>
    <col min="3332" max="3332" width="15" style="1" customWidth="1"/>
    <col min="3333" max="3333" width="11.775" style="1" customWidth="1"/>
    <col min="3334" max="3334" width="17.6666666666667" style="1" customWidth="1"/>
    <col min="3335" max="3584" width="9" style="1"/>
    <col min="3585" max="3585" width="13.6666666666667" style="1" customWidth="1"/>
    <col min="3586" max="3586" width="7.10833333333333" style="1" customWidth="1"/>
    <col min="3587" max="3587" width="14.1083333333333" style="1" customWidth="1"/>
    <col min="3588" max="3588" width="15" style="1" customWidth="1"/>
    <col min="3589" max="3589" width="11.775" style="1" customWidth="1"/>
    <col min="3590" max="3590" width="17.6666666666667" style="1" customWidth="1"/>
    <col min="3591" max="3840" width="9" style="1"/>
    <col min="3841" max="3841" width="13.6666666666667" style="1" customWidth="1"/>
    <col min="3842" max="3842" width="7.10833333333333" style="1" customWidth="1"/>
    <col min="3843" max="3843" width="14.1083333333333" style="1" customWidth="1"/>
    <col min="3844" max="3844" width="15" style="1" customWidth="1"/>
    <col min="3845" max="3845" width="11.775" style="1" customWidth="1"/>
    <col min="3846" max="3846" width="17.6666666666667" style="1" customWidth="1"/>
    <col min="3847" max="4096" width="9" style="1"/>
    <col min="4097" max="4097" width="13.6666666666667" style="1" customWidth="1"/>
    <col min="4098" max="4098" width="7.10833333333333" style="1" customWidth="1"/>
    <col min="4099" max="4099" width="14.1083333333333" style="1" customWidth="1"/>
    <col min="4100" max="4100" width="15" style="1" customWidth="1"/>
    <col min="4101" max="4101" width="11.775" style="1" customWidth="1"/>
    <col min="4102" max="4102" width="17.6666666666667" style="1" customWidth="1"/>
    <col min="4103" max="4352" width="9" style="1"/>
    <col min="4353" max="4353" width="13.6666666666667" style="1" customWidth="1"/>
    <col min="4354" max="4354" width="7.10833333333333" style="1" customWidth="1"/>
    <col min="4355" max="4355" width="14.1083333333333" style="1" customWidth="1"/>
    <col min="4356" max="4356" width="15" style="1" customWidth="1"/>
    <col min="4357" max="4357" width="11.775" style="1" customWidth="1"/>
    <col min="4358" max="4358" width="17.6666666666667" style="1" customWidth="1"/>
    <col min="4359" max="4608" width="9" style="1"/>
    <col min="4609" max="4609" width="13.6666666666667" style="1" customWidth="1"/>
    <col min="4610" max="4610" width="7.10833333333333" style="1" customWidth="1"/>
    <col min="4611" max="4611" width="14.1083333333333" style="1" customWidth="1"/>
    <col min="4612" max="4612" width="15" style="1" customWidth="1"/>
    <col min="4613" max="4613" width="11.775" style="1" customWidth="1"/>
    <col min="4614" max="4614" width="17.6666666666667" style="1" customWidth="1"/>
    <col min="4615" max="4864" width="9" style="1"/>
    <col min="4865" max="4865" width="13.6666666666667" style="1" customWidth="1"/>
    <col min="4866" max="4866" width="7.10833333333333" style="1" customWidth="1"/>
    <col min="4867" max="4867" width="14.1083333333333" style="1" customWidth="1"/>
    <col min="4868" max="4868" width="15" style="1" customWidth="1"/>
    <col min="4869" max="4869" width="11.775" style="1" customWidth="1"/>
    <col min="4870" max="4870" width="17.6666666666667" style="1" customWidth="1"/>
    <col min="4871" max="5120" width="9" style="1"/>
    <col min="5121" max="5121" width="13.6666666666667" style="1" customWidth="1"/>
    <col min="5122" max="5122" width="7.10833333333333" style="1" customWidth="1"/>
    <col min="5123" max="5123" width="14.1083333333333" style="1" customWidth="1"/>
    <col min="5124" max="5124" width="15" style="1" customWidth="1"/>
    <col min="5125" max="5125" width="11.775" style="1" customWidth="1"/>
    <col min="5126" max="5126" width="17.6666666666667" style="1" customWidth="1"/>
    <col min="5127" max="5376" width="9" style="1"/>
    <col min="5377" max="5377" width="13.6666666666667" style="1" customWidth="1"/>
    <col min="5378" max="5378" width="7.10833333333333" style="1" customWidth="1"/>
    <col min="5379" max="5379" width="14.1083333333333" style="1" customWidth="1"/>
    <col min="5380" max="5380" width="15" style="1" customWidth="1"/>
    <col min="5381" max="5381" width="11.775" style="1" customWidth="1"/>
    <col min="5382" max="5382" width="17.6666666666667" style="1" customWidth="1"/>
    <col min="5383" max="5632" width="9" style="1"/>
    <col min="5633" max="5633" width="13.6666666666667" style="1" customWidth="1"/>
    <col min="5634" max="5634" width="7.10833333333333" style="1" customWidth="1"/>
    <col min="5635" max="5635" width="14.1083333333333" style="1" customWidth="1"/>
    <col min="5636" max="5636" width="15" style="1" customWidth="1"/>
    <col min="5637" max="5637" width="11.775" style="1" customWidth="1"/>
    <col min="5638" max="5638" width="17.6666666666667" style="1" customWidth="1"/>
    <col min="5639" max="5888" width="9" style="1"/>
    <col min="5889" max="5889" width="13.6666666666667" style="1" customWidth="1"/>
    <col min="5890" max="5890" width="7.10833333333333" style="1" customWidth="1"/>
    <col min="5891" max="5891" width="14.1083333333333" style="1" customWidth="1"/>
    <col min="5892" max="5892" width="15" style="1" customWidth="1"/>
    <col min="5893" max="5893" width="11.775" style="1" customWidth="1"/>
    <col min="5894" max="5894" width="17.6666666666667" style="1" customWidth="1"/>
    <col min="5895" max="6144" width="9" style="1"/>
    <col min="6145" max="6145" width="13.6666666666667" style="1" customWidth="1"/>
    <col min="6146" max="6146" width="7.10833333333333" style="1" customWidth="1"/>
    <col min="6147" max="6147" width="14.1083333333333" style="1" customWidth="1"/>
    <col min="6148" max="6148" width="15" style="1" customWidth="1"/>
    <col min="6149" max="6149" width="11.775" style="1" customWidth="1"/>
    <col min="6150" max="6150" width="17.6666666666667" style="1" customWidth="1"/>
    <col min="6151" max="6400" width="9" style="1"/>
    <col min="6401" max="6401" width="13.6666666666667" style="1" customWidth="1"/>
    <col min="6402" max="6402" width="7.10833333333333" style="1" customWidth="1"/>
    <col min="6403" max="6403" width="14.1083333333333" style="1" customWidth="1"/>
    <col min="6404" max="6404" width="15" style="1" customWidth="1"/>
    <col min="6405" max="6405" width="11.775" style="1" customWidth="1"/>
    <col min="6406" max="6406" width="17.6666666666667" style="1" customWidth="1"/>
    <col min="6407" max="6656" width="9" style="1"/>
    <col min="6657" max="6657" width="13.6666666666667" style="1" customWidth="1"/>
    <col min="6658" max="6658" width="7.10833333333333" style="1" customWidth="1"/>
    <col min="6659" max="6659" width="14.1083333333333" style="1" customWidth="1"/>
    <col min="6660" max="6660" width="15" style="1" customWidth="1"/>
    <col min="6661" max="6661" width="11.775" style="1" customWidth="1"/>
    <col min="6662" max="6662" width="17.6666666666667" style="1" customWidth="1"/>
    <col min="6663" max="6912" width="9" style="1"/>
    <col min="6913" max="6913" width="13.6666666666667" style="1" customWidth="1"/>
    <col min="6914" max="6914" width="7.10833333333333" style="1" customWidth="1"/>
    <col min="6915" max="6915" width="14.1083333333333" style="1" customWidth="1"/>
    <col min="6916" max="6916" width="15" style="1" customWidth="1"/>
    <col min="6917" max="6917" width="11.775" style="1" customWidth="1"/>
    <col min="6918" max="6918" width="17.6666666666667" style="1" customWidth="1"/>
    <col min="6919" max="7168" width="9" style="1"/>
    <col min="7169" max="7169" width="13.6666666666667" style="1" customWidth="1"/>
    <col min="7170" max="7170" width="7.10833333333333" style="1" customWidth="1"/>
    <col min="7171" max="7171" width="14.1083333333333" style="1" customWidth="1"/>
    <col min="7172" max="7172" width="15" style="1" customWidth="1"/>
    <col min="7173" max="7173" width="11.775" style="1" customWidth="1"/>
    <col min="7174" max="7174" width="17.6666666666667" style="1" customWidth="1"/>
    <col min="7175" max="7424" width="9" style="1"/>
    <col min="7425" max="7425" width="13.6666666666667" style="1" customWidth="1"/>
    <col min="7426" max="7426" width="7.10833333333333" style="1" customWidth="1"/>
    <col min="7427" max="7427" width="14.1083333333333" style="1" customWidth="1"/>
    <col min="7428" max="7428" width="15" style="1" customWidth="1"/>
    <col min="7429" max="7429" width="11.775" style="1" customWidth="1"/>
    <col min="7430" max="7430" width="17.6666666666667" style="1" customWidth="1"/>
    <col min="7431" max="7680" width="9" style="1"/>
    <col min="7681" max="7681" width="13.6666666666667" style="1" customWidth="1"/>
    <col min="7682" max="7682" width="7.10833333333333" style="1" customWidth="1"/>
    <col min="7683" max="7683" width="14.1083333333333" style="1" customWidth="1"/>
    <col min="7684" max="7684" width="15" style="1" customWidth="1"/>
    <col min="7685" max="7685" width="11.775" style="1" customWidth="1"/>
    <col min="7686" max="7686" width="17.6666666666667" style="1" customWidth="1"/>
    <col min="7687" max="7936" width="9" style="1"/>
    <col min="7937" max="7937" width="13.6666666666667" style="1" customWidth="1"/>
    <col min="7938" max="7938" width="7.10833333333333" style="1" customWidth="1"/>
    <col min="7939" max="7939" width="14.1083333333333" style="1" customWidth="1"/>
    <col min="7940" max="7940" width="15" style="1" customWidth="1"/>
    <col min="7941" max="7941" width="11.775" style="1" customWidth="1"/>
    <col min="7942" max="7942" width="17.6666666666667" style="1" customWidth="1"/>
    <col min="7943" max="8192" width="9" style="1"/>
    <col min="8193" max="8193" width="13.6666666666667" style="1" customWidth="1"/>
    <col min="8194" max="8194" width="7.10833333333333" style="1" customWidth="1"/>
    <col min="8195" max="8195" width="14.1083333333333" style="1" customWidth="1"/>
    <col min="8196" max="8196" width="15" style="1" customWidth="1"/>
    <col min="8197" max="8197" width="11.775" style="1" customWidth="1"/>
    <col min="8198" max="8198" width="17.6666666666667" style="1" customWidth="1"/>
    <col min="8199" max="8448" width="9" style="1"/>
    <col min="8449" max="8449" width="13.6666666666667" style="1" customWidth="1"/>
    <col min="8450" max="8450" width="7.10833333333333" style="1" customWidth="1"/>
    <col min="8451" max="8451" width="14.1083333333333" style="1" customWidth="1"/>
    <col min="8452" max="8452" width="15" style="1" customWidth="1"/>
    <col min="8453" max="8453" width="11.775" style="1" customWidth="1"/>
    <col min="8454" max="8454" width="17.6666666666667" style="1" customWidth="1"/>
    <col min="8455" max="8704" width="9" style="1"/>
    <col min="8705" max="8705" width="13.6666666666667" style="1" customWidth="1"/>
    <col min="8706" max="8706" width="7.10833333333333" style="1" customWidth="1"/>
    <col min="8707" max="8707" width="14.1083333333333" style="1" customWidth="1"/>
    <col min="8708" max="8708" width="15" style="1" customWidth="1"/>
    <col min="8709" max="8709" width="11.775" style="1" customWidth="1"/>
    <col min="8710" max="8710" width="17.6666666666667" style="1" customWidth="1"/>
    <col min="8711" max="8960" width="9" style="1"/>
    <col min="8961" max="8961" width="13.6666666666667" style="1" customWidth="1"/>
    <col min="8962" max="8962" width="7.10833333333333" style="1" customWidth="1"/>
    <col min="8963" max="8963" width="14.1083333333333" style="1" customWidth="1"/>
    <col min="8964" max="8964" width="15" style="1" customWidth="1"/>
    <col min="8965" max="8965" width="11.775" style="1" customWidth="1"/>
    <col min="8966" max="8966" width="17.6666666666667" style="1" customWidth="1"/>
    <col min="8967" max="9216" width="9" style="1"/>
    <col min="9217" max="9217" width="13.6666666666667" style="1" customWidth="1"/>
    <col min="9218" max="9218" width="7.10833333333333" style="1" customWidth="1"/>
    <col min="9219" max="9219" width="14.1083333333333" style="1" customWidth="1"/>
    <col min="9220" max="9220" width="15" style="1" customWidth="1"/>
    <col min="9221" max="9221" width="11.775" style="1" customWidth="1"/>
    <col min="9222" max="9222" width="17.6666666666667" style="1" customWidth="1"/>
    <col min="9223" max="9472" width="9" style="1"/>
    <col min="9473" max="9473" width="13.6666666666667" style="1" customWidth="1"/>
    <col min="9474" max="9474" width="7.10833333333333" style="1" customWidth="1"/>
    <col min="9475" max="9475" width="14.1083333333333" style="1" customWidth="1"/>
    <col min="9476" max="9476" width="15" style="1" customWidth="1"/>
    <col min="9477" max="9477" width="11.775" style="1" customWidth="1"/>
    <col min="9478" max="9478" width="17.6666666666667" style="1" customWidth="1"/>
    <col min="9479" max="9728" width="9" style="1"/>
    <col min="9729" max="9729" width="13.6666666666667" style="1" customWidth="1"/>
    <col min="9730" max="9730" width="7.10833333333333" style="1" customWidth="1"/>
    <col min="9731" max="9731" width="14.1083333333333" style="1" customWidth="1"/>
    <col min="9732" max="9732" width="15" style="1" customWidth="1"/>
    <col min="9733" max="9733" width="11.775" style="1" customWidth="1"/>
    <col min="9734" max="9734" width="17.6666666666667" style="1" customWidth="1"/>
    <col min="9735" max="9984" width="9" style="1"/>
    <col min="9985" max="9985" width="13.6666666666667" style="1" customWidth="1"/>
    <col min="9986" max="9986" width="7.10833333333333" style="1" customWidth="1"/>
    <col min="9987" max="9987" width="14.1083333333333" style="1" customWidth="1"/>
    <col min="9988" max="9988" width="15" style="1" customWidth="1"/>
    <col min="9989" max="9989" width="11.775" style="1" customWidth="1"/>
    <col min="9990" max="9990" width="17.6666666666667" style="1" customWidth="1"/>
    <col min="9991" max="10240" width="9" style="1"/>
    <col min="10241" max="10241" width="13.6666666666667" style="1" customWidth="1"/>
    <col min="10242" max="10242" width="7.10833333333333" style="1" customWidth="1"/>
    <col min="10243" max="10243" width="14.1083333333333" style="1" customWidth="1"/>
    <col min="10244" max="10244" width="15" style="1" customWidth="1"/>
    <col min="10245" max="10245" width="11.775" style="1" customWidth="1"/>
    <col min="10246" max="10246" width="17.6666666666667" style="1" customWidth="1"/>
    <col min="10247" max="10496" width="9" style="1"/>
    <col min="10497" max="10497" width="13.6666666666667" style="1" customWidth="1"/>
    <col min="10498" max="10498" width="7.10833333333333" style="1" customWidth="1"/>
    <col min="10499" max="10499" width="14.1083333333333" style="1" customWidth="1"/>
    <col min="10500" max="10500" width="15" style="1" customWidth="1"/>
    <col min="10501" max="10501" width="11.775" style="1" customWidth="1"/>
    <col min="10502" max="10502" width="17.6666666666667" style="1" customWidth="1"/>
    <col min="10503" max="10752" width="9" style="1"/>
    <col min="10753" max="10753" width="13.6666666666667" style="1" customWidth="1"/>
    <col min="10754" max="10754" width="7.10833333333333" style="1" customWidth="1"/>
    <col min="10755" max="10755" width="14.1083333333333" style="1" customWidth="1"/>
    <col min="10756" max="10756" width="15" style="1" customWidth="1"/>
    <col min="10757" max="10757" width="11.775" style="1" customWidth="1"/>
    <col min="10758" max="10758" width="17.6666666666667" style="1" customWidth="1"/>
    <col min="10759" max="11008" width="9" style="1"/>
    <col min="11009" max="11009" width="13.6666666666667" style="1" customWidth="1"/>
    <col min="11010" max="11010" width="7.10833333333333" style="1" customWidth="1"/>
    <col min="11011" max="11011" width="14.1083333333333" style="1" customWidth="1"/>
    <col min="11012" max="11012" width="15" style="1" customWidth="1"/>
    <col min="11013" max="11013" width="11.775" style="1" customWidth="1"/>
    <col min="11014" max="11014" width="17.6666666666667" style="1" customWidth="1"/>
    <col min="11015" max="11264" width="9" style="1"/>
    <col min="11265" max="11265" width="13.6666666666667" style="1" customWidth="1"/>
    <col min="11266" max="11266" width="7.10833333333333" style="1" customWidth="1"/>
    <col min="11267" max="11267" width="14.1083333333333" style="1" customWidth="1"/>
    <col min="11268" max="11268" width="15" style="1" customWidth="1"/>
    <col min="11269" max="11269" width="11.775" style="1" customWidth="1"/>
    <col min="11270" max="11270" width="17.6666666666667" style="1" customWidth="1"/>
    <col min="11271" max="11520" width="9" style="1"/>
    <col min="11521" max="11521" width="13.6666666666667" style="1" customWidth="1"/>
    <col min="11522" max="11522" width="7.10833333333333" style="1" customWidth="1"/>
    <col min="11523" max="11523" width="14.1083333333333" style="1" customWidth="1"/>
    <col min="11524" max="11524" width="15" style="1" customWidth="1"/>
    <col min="11525" max="11525" width="11.775" style="1" customWidth="1"/>
    <col min="11526" max="11526" width="17.6666666666667" style="1" customWidth="1"/>
    <col min="11527" max="11776" width="9" style="1"/>
    <col min="11777" max="11777" width="13.6666666666667" style="1" customWidth="1"/>
    <col min="11778" max="11778" width="7.10833333333333" style="1" customWidth="1"/>
    <col min="11779" max="11779" width="14.1083333333333" style="1" customWidth="1"/>
    <col min="11780" max="11780" width="15" style="1" customWidth="1"/>
    <col min="11781" max="11781" width="11.775" style="1" customWidth="1"/>
    <col min="11782" max="11782" width="17.6666666666667" style="1" customWidth="1"/>
    <col min="11783" max="12032" width="9" style="1"/>
    <col min="12033" max="12033" width="13.6666666666667" style="1" customWidth="1"/>
    <col min="12034" max="12034" width="7.10833333333333" style="1" customWidth="1"/>
    <col min="12035" max="12035" width="14.1083333333333" style="1" customWidth="1"/>
    <col min="12036" max="12036" width="15" style="1" customWidth="1"/>
    <col min="12037" max="12037" width="11.775" style="1" customWidth="1"/>
    <col min="12038" max="12038" width="17.6666666666667" style="1" customWidth="1"/>
    <col min="12039" max="12288" width="9" style="1"/>
    <col min="12289" max="12289" width="13.6666666666667" style="1" customWidth="1"/>
    <col min="12290" max="12290" width="7.10833333333333" style="1" customWidth="1"/>
    <col min="12291" max="12291" width="14.1083333333333" style="1" customWidth="1"/>
    <col min="12292" max="12292" width="15" style="1" customWidth="1"/>
    <col min="12293" max="12293" width="11.775" style="1" customWidth="1"/>
    <col min="12294" max="12294" width="17.6666666666667" style="1" customWidth="1"/>
    <col min="12295" max="12544" width="9" style="1"/>
    <col min="12545" max="12545" width="13.6666666666667" style="1" customWidth="1"/>
    <col min="12546" max="12546" width="7.10833333333333" style="1" customWidth="1"/>
    <col min="12547" max="12547" width="14.1083333333333" style="1" customWidth="1"/>
    <col min="12548" max="12548" width="15" style="1" customWidth="1"/>
    <col min="12549" max="12549" width="11.775" style="1" customWidth="1"/>
    <col min="12550" max="12550" width="17.6666666666667" style="1" customWidth="1"/>
    <col min="12551" max="12800" width="9" style="1"/>
    <col min="12801" max="12801" width="13.6666666666667" style="1" customWidth="1"/>
    <col min="12802" max="12802" width="7.10833333333333" style="1" customWidth="1"/>
    <col min="12803" max="12803" width="14.1083333333333" style="1" customWidth="1"/>
    <col min="12804" max="12804" width="15" style="1" customWidth="1"/>
    <col min="12805" max="12805" width="11.775" style="1" customWidth="1"/>
    <col min="12806" max="12806" width="17.6666666666667" style="1" customWidth="1"/>
    <col min="12807" max="13056" width="9" style="1"/>
    <col min="13057" max="13057" width="13.6666666666667" style="1" customWidth="1"/>
    <col min="13058" max="13058" width="7.10833333333333" style="1" customWidth="1"/>
    <col min="13059" max="13059" width="14.1083333333333" style="1" customWidth="1"/>
    <col min="13060" max="13060" width="15" style="1" customWidth="1"/>
    <col min="13061" max="13061" width="11.775" style="1" customWidth="1"/>
    <col min="13062" max="13062" width="17.6666666666667" style="1" customWidth="1"/>
    <col min="13063" max="13312" width="9" style="1"/>
    <col min="13313" max="13313" width="13.6666666666667" style="1" customWidth="1"/>
    <col min="13314" max="13314" width="7.10833333333333" style="1" customWidth="1"/>
    <col min="13315" max="13315" width="14.1083333333333" style="1" customWidth="1"/>
    <col min="13316" max="13316" width="15" style="1" customWidth="1"/>
    <col min="13317" max="13317" width="11.775" style="1" customWidth="1"/>
    <col min="13318" max="13318" width="17.6666666666667" style="1" customWidth="1"/>
    <col min="13319" max="13568" width="9" style="1"/>
    <col min="13569" max="13569" width="13.6666666666667" style="1" customWidth="1"/>
    <col min="13570" max="13570" width="7.10833333333333" style="1" customWidth="1"/>
    <col min="13571" max="13571" width="14.1083333333333" style="1" customWidth="1"/>
    <col min="13572" max="13572" width="15" style="1" customWidth="1"/>
    <col min="13573" max="13573" width="11.775" style="1" customWidth="1"/>
    <col min="13574" max="13574" width="17.6666666666667" style="1" customWidth="1"/>
    <col min="13575" max="13824" width="9" style="1"/>
    <col min="13825" max="13825" width="13.6666666666667" style="1" customWidth="1"/>
    <col min="13826" max="13826" width="7.10833333333333" style="1" customWidth="1"/>
    <col min="13827" max="13827" width="14.1083333333333" style="1" customWidth="1"/>
    <col min="13828" max="13828" width="15" style="1" customWidth="1"/>
    <col min="13829" max="13829" width="11.775" style="1" customWidth="1"/>
    <col min="13830" max="13830" width="17.6666666666667" style="1" customWidth="1"/>
    <col min="13831" max="14080" width="9" style="1"/>
    <col min="14081" max="14081" width="13.6666666666667" style="1" customWidth="1"/>
    <col min="14082" max="14082" width="7.10833333333333" style="1" customWidth="1"/>
    <col min="14083" max="14083" width="14.1083333333333" style="1" customWidth="1"/>
    <col min="14084" max="14084" width="15" style="1" customWidth="1"/>
    <col min="14085" max="14085" width="11.775" style="1" customWidth="1"/>
    <col min="14086" max="14086" width="17.6666666666667" style="1" customWidth="1"/>
    <col min="14087" max="14336" width="9" style="1"/>
    <col min="14337" max="14337" width="13.6666666666667" style="1" customWidth="1"/>
    <col min="14338" max="14338" width="7.10833333333333" style="1" customWidth="1"/>
    <col min="14339" max="14339" width="14.1083333333333" style="1" customWidth="1"/>
    <col min="14340" max="14340" width="15" style="1" customWidth="1"/>
    <col min="14341" max="14341" width="11.775" style="1" customWidth="1"/>
    <col min="14342" max="14342" width="17.6666666666667" style="1" customWidth="1"/>
    <col min="14343" max="14592" width="9" style="1"/>
    <col min="14593" max="14593" width="13.6666666666667" style="1" customWidth="1"/>
    <col min="14594" max="14594" width="7.10833333333333" style="1" customWidth="1"/>
    <col min="14595" max="14595" width="14.1083333333333" style="1" customWidth="1"/>
    <col min="14596" max="14596" width="15" style="1" customWidth="1"/>
    <col min="14597" max="14597" width="11.775" style="1" customWidth="1"/>
    <col min="14598" max="14598" width="17.6666666666667" style="1" customWidth="1"/>
    <col min="14599" max="14848" width="9" style="1"/>
    <col min="14849" max="14849" width="13.6666666666667" style="1" customWidth="1"/>
    <col min="14850" max="14850" width="7.10833333333333" style="1" customWidth="1"/>
    <col min="14851" max="14851" width="14.1083333333333" style="1" customWidth="1"/>
    <col min="14852" max="14852" width="15" style="1" customWidth="1"/>
    <col min="14853" max="14853" width="11.775" style="1" customWidth="1"/>
    <col min="14854" max="14854" width="17.6666666666667" style="1" customWidth="1"/>
    <col min="14855" max="15104" width="9" style="1"/>
    <col min="15105" max="15105" width="13.6666666666667" style="1" customWidth="1"/>
    <col min="15106" max="15106" width="7.10833333333333" style="1" customWidth="1"/>
    <col min="15107" max="15107" width="14.1083333333333" style="1" customWidth="1"/>
    <col min="15108" max="15108" width="15" style="1" customWidth="1"/>
    <col min="15109" max="15109" width="11.775" style="1" customWidth="1"/>
    <col min="15110" max="15110" width="17.6666666666667" style="1" customWidth="1"/>
    <col min="15111" max="15360" width="9" style="1"/>
    <col min="15361" max="15361" width="13.6666666666667" style="1" customWidth="1"/>
    <col min="15362" max="15362" width="7.10833333333333" style="1" customWidth="1"/>
    <col min="15363" max="15363" width="14.1083333333333" style="1" customWidth="1"/>
    <col min="15364" max="15364" width="15" style="1" customWidth="1"/>
    <col min="15365" max="15365" width="11.775" style="1" customWidth="1"/>
    <col min="15366" max="15366" width="17.6666666666667" style="1" customWidth="1"/>
    <col min="15367" max="15616" width="9" style="1"/>
    <col min="15617" max="15617" width="13.6666666666667" style="1" customWidth="1"/>
    <col min="15618" max="15618" width="7.10833333333333" style="1" customWidth="1"/>
    <col min="15619" max="15619" width="14.1083333333333" style="1" customWidth="1"/>
    <col min="15620" max="15620" width="15" style="1" customWidth="1"/>
    <col min="15621" max="15621" width="11.775" style="1" customWidth="1"/>
    <col min="15622" max="15622" width="17.6666666666667" style="1" customWidth="1"/>
    <col min="15623" max="15872" width="9" style="1"/>
    <col min="15873" max="15873" width="13.6666666666667" style="1" customWidth="1"/>
    <col min="15874" max="15874" width="7.10833333333333" style="1" customWidth="1"/>
    <col min="15875" max="15875" width="14.1083333333333" style="1" customWidth="1"/>
    <col min="15876" max="15876" width="15" style="1" customWidth="1"/>
    <col min="15877" max="15877" width="11.775" style="1" customWidth="1"/>
    <col min="15878" max="15878" width="17.6666666666667" style="1" customWidth="1"/>
    <col min="15879" max="16128" width="9" style="1"/>
    <col min="16129" max="16129" width="13.6666666666667" style="1" customWidth="1"/>
    <col min="16130" max="16130" width="7.10833333333333" style="1" customWidth="1"/>
    <col min="16131" max="16131" width="14.1083333333333" style="1" customWidth="1"/>
    <col min="16132" max="16132" width="15" style="1" customWidth="1"/>
    <col min="16133" max="16133" width="11.775" style="1" customWidth="1"/>
    <col min="16134" max="16134" width="17.6666666666667" style="1" customWidth="1"/>
    <col min="16135" max="16384" width="9" style="1"/>
  </cols>
  <sheetData>
    <row r="1" ht="27" spans="1:19">
      <c r="A1" s="2" t="s">
        <v>792</v>
      </c>
      <c r="B1" s="2"/>
      <c r="C1" s="2"/>
      <c r="D1" s="2"/>
      <c r="E1" s="2"/>
      <c r="F1" s="2"/>
    </row>
    <row r="2" ht="20.1" customHeight="1" spans="1:19">
      <c r="A2" s="2"/>
      <c r="B2" s="2"/>
      <c r="C2" s="2"/>
      <c r="D2" s="2"/>
      <c r="E2" s="3" t="s">
        <v>606</v>
      </c>
      <c r="F2" s="2"/>
    </row>
    <row r="3" ht="20.1" customHeight="1" spans="1:19">
      <c r="A3" s="4" t="s">
        <v>793</v>
      </c>
      <c r="B3" s="5" t="str">
        <f>'Parts A'!B3:C3</f>
        <v>上海首领</v>
      </c>
      <c r="C3" s="6"/>
      <c r="D3" s="4" t="s">
        <v>794</v>
      </c>
      <c r="E3" s="7" t="str">
        <f>'Parts A'!B5</f>
        <v>IMO:1234567</v>
      </c>
      <c r="F3" s="8"/>
    </row>
    <row r="4" ht="35.1" customHeight="1" spans="1:19">
      <c r="A4" s="4" t="s">
        <v>795</v>
      </c>
      <c r="B4" s="9">
        <f>'Gen Inb'!P12</f>
        <v>0</v>
      </c>
      <c r="C4" s="6"/>
      <c r="D4" s="10" t="s">
        <v>796</v>
      </c>
      <c r="E4" s="11">
        <f>'Gen Inb'!X6</f>
        <v>46219</v>
      </c>
      <c r="F4" s="8"/>
      <c r="H4" s="12"/>
      <c r="I4" s="3"/>
      <c r="J4" s="12"/>
      <c r="K4" s="12"/>
      <c r="L4" s="12"/>
      <c r="M4" s="12"/>
    </row>
    <row r="5" ht="20.1" customHeight="1" spans="1:19">
      <c r="A5" s="4" t="s">
        <v>797</v>
      </c>
      <c r="B5" s="11">
        <f ca="1">TODAY()</f>
        <v>46224</v>
      </c>
      <c r="C5" s="8"/>
      <c r="D5" s="4" t="s">
        <v>798</v>
      </c>
      <c r="E5" s="13" t="s">
        <v>799</v>
      </c>
      <c r="F5" s="8"/>
      <c r="H5" s="12"/>
      <c r="I5" s="12"/>
      <c r="J5" s="12"/>
      <c r="K5" s="12"/>
      <c r="L5" s="12"/>
      <c r="M5" s="12"/>
    </row>
    <row r="6" ht="20.1" customHeight="1" spans="1:19">
      <c r="A6" s="4" t="s">
        <v>800</v>
      </c>
      <c r="B6" s="7" t="s">
        <v>801</v>
      </c>
      <c r="C6" s="8"/>
      <c r="D6" s="7" t="s">
        <v>802</v>
      </c>
      <c r="E6" s="8"/>
      <c r="F6" s="4" t="s">
        <v>803</v>
      </c>
      <c r="H6" s="12"/>
      <c r="I6" s="12"/>
      <c r="J6" s="12"/>
      <c r="K6" s="12"/>
      <c r="L6" s="12"/>
      <c r="M6" s="12"/>
    </row>
    <row r="7" ht="20.1" customHeight="1" spans="1:19">
      <c r="A7" s="14"/>
      <c r="B7" s="13" t="s">
        <v>804</v>
      </c>
      <c r="C7" s="8"/>
      <c r="D7" s="13"/>
      <c r="E7" s="15"/>
      <c r="F7" s="4"/>
      <c r="H7" s="3"/>
      <c r="I7" s="12"/>
      <c r="J7" s="12"/>
      <c r="K7" s="12"/>
      <c r="L7" s="12"/>
      <c r="M7" s="12"/>
    </row>
    <row r="8" ht="20.1" customHeight="1" spans="1:19">
      <c r="A8" s="14"/>
      <c r="B8" s="7"/>
      <c r="C8" s="8"/>
      <c r="D8" s="13"/>
      <c r="E8" s="15"/>
      <c r="F8" s="4"/>
      <c r="H8" s="3"/>
      <c r="I8" s="12"/>
      <c r="J8" s="12"/>
      <c r="K8" s="12"/>
      <c r="L8" s="12"/>
      <c r="M8" s="12"/>
      <c r="N8" s="12"/>
      <c r="O8" s="12"/>
      <c r="P8" s="12"/>
      <c r="Q8" s="12"/>
      <c r="R8" s="12"/>
      <c r="S8" s="12"/>
    </row>
    <row r="9" ht="20.1" customHeight="1" spans="1:19">
      <c r="A9" s="14"/>
      <c r="B9" s="7"/>
      <c r="C9" s="8"/>
      <c r="D9" s="7"/>
      <c r="E9" s="15"/>
      <c r="F9" s="4"/>
      <c r="H9" s="12"/>
      <c r="I9" s="12"/>
      <c r="J9" s="12"/>
      <c r="K9" s="12"/>
      <c r="L9" s="12"/>
      <c r="M9" s="12"/>
      <c r="N9" s="12"/>
      <c r="O9" s="12"/>
      <c r="P9" s="12"/>
      <c r="Q9" s="12"/>
      <c r="R9" s="12"/>
      <c r="S9" s="12"/>
    </row>
    <row r="10" ht="20.1" customHeight="1" spans="1:19">
      <c r="A10" s="14"/>
      <c r="B10" s="7"/>
      <c r="C10" s="8"/>
      <c r="D10" s="7"/>
      <c r="E10" s="15"/>
      <c r="F10" s="4"/>
      <c r="H10" s="12"/>
      <c r="I10" s="12"/>
      <c r="J10" s="12"/>
      <c r="K10" s="12"/>
      <c r="L10" s="12"/>
      <c r="M10" s="12"/>
      <c r="N10" s="12"/>
      <c r="O10" s="12"/>
      <c r="P10" s="12"/>
      <c r="Q10" s="12"/>
      <c r="R10" s="12"/>
      <c r="S10" s="12"/>
    </row>
    <row r="11" ht="20.1" customHeight="1" spans="1:19">
      <c r="A11" s="14"/>
      <c r="B11" s="7"/>
      <c r="C11" s="8"/>
      <c r="D11" s="7"/>
      <c r="E11" s="15"/>
      <c r="F11" s="4"/>
      <c r="H11" s="12"/>
      <c r="I11" s="12"/>
      <c r="J11" s="12"/>
      <c r="K11" s="12"/>
      <c r="L11" s="12"/>
      <c r="M11" s="12"/>
      <c r="N11" s="12"/>
      <c r="O11" s="12"/>
      <c r="P11" s="12"/>
      <c r="Q11" s="12"/>
      <c r="R11" s="12"/>
      <c r="S11" s="12"/>
    </row>
    <row r="12" ht="20.1" customHeight="1" spans="1:19">
      <c r="A12" s="14"/>
      <c r="B12" s="7"/>
      <c r="C12" s="8"/>
      <c r="D12" s="7"/>
      <c r="E12" s="15"/>
      <c r="F12" s="4"/>
      <c r="H12" s="12"/>
      <c r="I12" s="12"/>
      <c r="J12" s="12"/>
      <c r="K12" s="12"/>
      <c r="L12" s="12"/>
      <c r="M12" s="12"/>
    </row>
    <row r="13" ht="20.1" customHeight="1" spans="1:19">
      <c r="A13" s="14"/>
      <c r="B13" s="7"/>
      <c r="C13" s="8"/>
      <c r="D13" s="7"/>
      <c r="E13" s="15"/>
      <c r="F13" s="4"/>
      <c r="H13" s="12"/>
      <c r="I13" s="12"/>
      <c r="J13" s="12"/>
      <c r="K13" s="12"/>
      <c r="L13" s="12"/>
      <c r="M13" s="12"/>
    </row>
    <row r="14" ht="20.1" customHeight="1" spans="1:19">
      <c r="A14" s="14"/>
      <c r="B14" s="7"/>
      <c r="C14" s="8"/>
      <c r="D14" s="7"/>
      <c r="E14" s="15"/>
      <c r="F14" s="4"/>
      <c r="H14" s="12"/>
      <c r="I14" s="12"/>
      <c r="J14" s="12"/>
      <c r="K14" s="12"/>
      <c r="L14" s="12"/>
      <c r="M14" s="12"/>
    </row>
    <row r="15" ht="20.1" customHeight="1" spans="1:19">
      <c r="A15" s="14"/>
      <c r="B15" s="7"/>
      <c r="C15" s="8"/>
      <c r="D15" s="7"/>
      <c r="E15" s="15"/>
      <c r="F15" s="4"/>
      <c r="H15" s="12"/>
      <c r="I15" s="12"/>
      <c r="J15" s="12"/>
      <c r="K15" s="12"/>
      <c r="L15" s="12"/>
      <c r="M15" s="12"/>
    </row>
    <row r="16" ht="20.1" customHeight="1" spans="1:19">
      <c r="A16" s="14"/>
      <c r="B16" s="7"/>
      <c r="C16" s="8"/>
      <c r="D16" s="7"/>
      <c r="E16" s="15"/>
      <c r="F16" s="4"/>
      <c r="H16" s="12"/>
      <c r="I16" s="12"/>
      <c r="J16" s="12"/>
      <c r="K16" s="12"/>
      <c r="L16" s="12"/>
      <c r="M16" s="12"/>
    </row>
    <row r="17" ht="20.1" customHeight="1" spans="1:13">
      <c r="A17" s="14"/>
      <c r="B17" s="16"/>
      <c r="C17" s="17"/>
      <c r="D17" s="13"/>
      <c r="E17" s="15"/>
      <c r="F17" s="14"/>
      <c r="H17" s="12"/>
      <c r="I17" s="12"/>
      <c r="J17" s="12"/>
      <c r="K17" s="12"/>
      <c r="L17" s="12"/>
      <c r="M17" s="12"/>
    </row>
    <row r="18" ht="20.1" customHeight="1" spans="1:13">
      <c r="A18" s="14"/>
      <c r="B18" s="16"/>
      <c r="C18" s="17"/>
      <c r="D18" s="13"/>
      <c r="E18" s="15"/>
      <c r="F18" s="14"/>
      <c r="H18" s="12"/>
      <c r="I18" s="12"/>
      <c r="J18" s="12"/>
      <c r="K18" s="12"/>
      <c r="L18" s="12"/>
      <c r="M18" s="12"/>
    </row>
    <row r="19" ht="20.1" customHeight="1" spans="1:13">
      <c r="A19" s="14"/>
      <c r="B19" s="16"/>
      <c r="C19" s="17"/>
      <c r="D19" s="13"/>
      <c r="E19" s="15"/>
      <c r="F19" s="14"/>
      <c r="H19" s="12"/>
      <c r="I19" s="12"/>
      <c r="J19" s="12"/>
      <c r="K19" s="12"/>
      <c r="L19" s="12"/>
      <c r="M19" s="12"/>
    </row>
    <row r="20" ht="20.1" customHeight="1" spans="1:13">
      <c r="A20" s="14"/>
      <c r="B20" s="16"/>
      <c r="C20" s="17"/>
      <c r="D20" s="13"/>
      <c r="E20" s="15"/>
      <c r="F20" s="14"/>
      <c r="H20" s="12"/>
      <c r="I20" s="12"/>
      <c r="J20" s="12"/>
      <c r="K20" s="12"/>
      <c r="L20" s="12"/>
      <c r="M20" s="12"/>
    </row>
    <row r="21" ht="20.1" customHeight="1" spans="1:13">
      <c r="A21" s="4" t="s">
        <v>805</v>
      </c>
      <c r="B21" s="14" t="s">
        <v>806</v>
      </c>
      <c r="C21" s="1">
        <f>'Cstm Inb'!H11</f>
        <v>35</v>
      </c>
      <c r="D21" s="14" t="s">
        <v>807</v>
      </c>
      <c r="E21" s="18">
        <f>'Cstm Inb'!I11</f>
        <v>0</v>
      </c>
      <c r="F21" s="14" t="s">
        <v>715</v>
      </c>
    </row>
    <row r="22" ht="0.75" customHeight="1" spans="1:13">
      <c r="A22" s="4"/>
      <c r="B22" s="14"/>
      <c r="C22" s="14"/>
      <c r="D22" s="14"/>
      <c r="E22" s="19"/>
      <c r="F22" s="14"/>
    </row>
    <row r="23" ht="99.9" customHeight="1" spans="1:13">
      <c r="A23" s="4" t="s">
        <v>808</v>
      </c>
      <c r="B23" s="9" t="s">
        <v>809</v>
      </c>
      <c r="C23" s="20"/>
      <c r="D23" s="20"/>
      <c r="E23" s="20"/>
      <c r="F23" s="6"/>
    </row>
    <row r="24" ht="60" customHeight="1" spans="1:13">
      <c r="A24" s="21" t="s">
        <v>810</v>
      </c>
      <c r="B24" s="22" t="s">
        <v>811</v>
      </c>
      <c r="C24" s="23"/>
      <c r="D24" s="23"/>
      <c r="E24" s="23"/>
      <c r="F24" s="24"/>
    </row>
    <row r="25" ht="30" customHeight="1" spans="1:13">
      <c r="A25" s="25"/>
      <c r="B25" s="26" t="s">
        <v>812</v>
      </c>
      <c r="C25" s="27"/>
      <c r="D25" s="27"/>
      <c r="E25" s="27"/>
      <c r="F25" s="28"/>
    </row>
    <row r="26" ht="14.25" spans="1:13">
      <c r="A26" s="3"/>
      <c r="B26" s="3"/>
      <c r="C26" s="12"/>
      <c r="D26" s="12"/>
      <c r="E26" s="12"/>
      <c r="F26" s="12"/>
    </row>
    <row r="27" spans="1:13">
      <c r="A27" s="29" t="s">
        <v>813</v>
      </c>
      <c r="B27" s="29"/>
      <c r="C27" s="29"/>
      <c r="D27" s="29"/>
      <c r="E27" s="29"/>
    </row>
    <row r="28" spans="1:13">
      <c r="A28" s="29" t="s">
        <v>814</v>
      </c>
      <c r="B28" s="29"/>
      <c r="C28" s="29"/>
      <c r="D28" s="29"/>
      <c r="E28" s="29"/>
    </row>
  </sheetData>
  <mergeCells count="41">
    <mergeCell ref="A1:F1"/>
    <mergeCell ref="B3:C3"/>
    <mergeCell ref="E3:F3"/>
    <mergeCell ref="B4:C4"/>
    <mergeCell ref="E4:F4"/>
    <mergeCell ref="B5:C5"/>
    <mergeCell ref="E5:F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3:F23"/>
    <mergeCell ref="B24:F24"/>
    <mergeCell ref="B25:F25"/>
    <mergeCell ref="A24:A25"/>
  </mergeCells>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35</vt:i4>
      </vt:variant>
    </vt:vector>
  </HeadingPairs>
  <TitlesOfParts>
    <vt:vector size="35" baseType="lpstr">
      <vt:lpstr>Cstm Rgd</vt:lpstr>
      <vt:lpstr>Cstm Inb</vt:lpstr>
      <vt:lpstr>Cstm Outb</vt:lpstr>
      <vt:lpstr>Cstm Prob</vt:lpstr>
      <vt:lpstr>Gen Inb</vt:lpstr>
      <vt:lpstr>Cgo Inb</vt:lpstr>
      <vt:lpstr>Gen Outb</vt:lpstr>
      <vt:lpstr>Cgo Outb</vt:lpstr>
      <vt:lpstr>Crew Inb</vt:lpstr>
      <vt:lpstr>Immi In</vt:lpstr>
      <vt:lpstr>Crew Dwn</vt:lpstr>
      <vt:lpstr>Crew Outb</vt:lpstr>
      <vt:lpstr>Crew Up</vt:lpstr>
      <vt:lpstr>Shore Pass</vt:lpstr>
      <vt:lpstr>Health Dclr</vt:lpstr>
      <vt:lpstr>Parts A</vt:lpstr>
      <vt:lpstr>Blst Wtr</vt:lpstr>
      <vt:lpstr>Q-Record In</vt:lpstr>
      <vt:lpstr>Q-Record Out</vt:lpstr>
      <vt:lpstr>Q-Inb</vt:lpstr>
      <vt:lpstr>Q-Outb</vt:lpstr>
      <vt:lpstr>Q-Process</vt:lpstr>
      <vt:lpstr>Formalities</vt:lpstr>
      <vt:lpstr>IMO Gen Inb</vt:lpstr>
      <vt:lpstr>IMO Gen Outb</vt:lpstr>
      <vt:lpstr>IMO Cgo Inb</vt:lpstr>
      <vt:lpstr>IMO Cgo Outb</vt:lpstr>
      <vt:lpstr>IMO Crew Inb</vt:lpstr>
      <vt:lpstr>IMO Crew Outb</vt:lpstr>
      <vt:lpstr>Tnng App</vt:lpstr>
      <vt:lpstr>Pre Immi</vt:lpstr>
      <vt:lpstr>Pre MSA</vt:lpstr>
      <vt:lpstr>Pre Cstm</vt:lpstr>
      <vt:lpstr>Receipt</vt:lpstr>
      <vt:lpstr>Mpt Cntr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TIM</cp:lastModifiedBy>
  <dcterms:created xsi:type="dcterms:W3CDTF">2006-09-13T11:21:00Z</dcterms:created>
  <cp:lastPrinted>2026-03-23T04:28:00Z</cp:lastPrinted>
  <dcterms:modified xsi:type="dcterms:W3CDTF">2026-07-21T05:34:22Z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286909F3144247309C5B2853B6072969_13</vt:lpwstr>
  </property>
  <property fmtid="{D5CDD505-2E9C-101B-9397-08002B2CF9AE}" pid="4" name="CalculationRule">
    <vt:i4>0</vt:i4>
  </property>
</Properties>
</file>